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65a67d06a1092ce/WORK/Peat/"/>
    </mc:Choice>
  </mc:AlternateContent>
  <xr:revisionPtr revIDLastSave="35" documentId="11_C55C2AB9B645FC4481CC9B70125CE7BD21EAD22A" xr6:coauthVersionLast="47" xr6:coauthVersionMax="47" xr10:uidLastSave="{0DFF2CF5-3CFD-42B2-98FB-13A86374A90F}"/>
  <bookViews>
    <workbookView xWindow="-110" yWindow="-110" windowWidth="19420" windowHeight="10300" firstSheet="6" activeTab="13" xr2:uid="{00000000-000D-0000-FFFF-FFFF00000000}"/>
  </bookViews>
  <sheets>
    <sheet name="Summary" sheetId="1" r:id="rId1"/>
    <sheet name="Quick Calculator" sheetId="2" r:id="rId2"/>
    <sheet name="January" sheetId="3" r:id="rId3"/>
    <sheet name="February" sheetId="4" r:id="rId4"/>
    <sheet name="March" sheetId="5" r:id="rId5"/>
    <sheet name="April" sheetId="6" r:id="rId6"/>
    <sheet name="May" sheetId="7" r:id="rId7"/>
    <sheet name="June" sheetId="8" r:id="rId8"/>
    <sheet name="July" sheetId="9" r:id="rId9"/>
    <sheet name="August" sheetId="10" r:id="rId10"/>
    <sheet name="September" sheetId="11" r:id="rId11"/>
    <sheet name="October" sheetId="12" r:id="rId12"/>
    <sheet name="November" sheetId="13" r:id="rId13"/>
    <sheet name="December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8" i="14" l="1"/>
  <c r="P29" i="1"/>
  <c r="AO129" i="14" l="1"/>
  <c r="AP129" i="14" s="1"/>
  <c r="AN129" i="14"/>
  <c r="AK129" i="14"/>
  <c r="AJ129" i="14"/>
  <c r="AI129" i="14"/>
  <c r="AM129" i="14" s="1"/>
  <c r="AQ129" i="14" s="1"/>
  <c r="AP128" i="14"/>
  <c r="AO128" i="14"/>
  <c r="AN128" i="14"/>
  <c r="AK128" i="14"/>
  <c r="AJ128" i="14"/>
  <c r="AI128" i="14"/>
  <c r="AM128" i="14" s="1"/>
  <c r="AO127" i="14"/>
  <c r="AP127" i="14" s="1"/>
  <c r="AN127" i="14"/>
  <c r="AK127" i="14"/>
  <c r="AJ127" i="14"/>
  <c r="AI127" i="14"/>
  <c r="AO126" i="14"/>
  <c r="AP126" i="14" s="1"/>
  <c r="AN126" i="14"/>
  <c r="AK126" i="14"/>
  <c r="AJ126" i="14"/>
  <c r="AI126" i="14"/>
  <c r="AO125" i="14"/>
  <c r="AP125" i="14" s="1"/>
  <c r="AN125" i="14"/>
  <c r="AK125" i="14"/>
  <c r="AJ125" i="14"/>
  <c r="AI125" i="14"/>
  <c r="AM125" i="14" s="1"/>
  <c r="AP124" i="14"/>
  <c r="AO124" i="14"/>
  <c r="AN124" i="14"/>
  <c r="AK124" i="14"/>
  <c r="AJ124" i="14"/>
  <c r="AI124" i="14"/>
  <c r="AM124" i="14" s="1"/>
  <c r="AO123" i="14"/>
  <c r="AP123" i="14" s="1"/>
  <c r="AN123" i="14"/>
  <c r="AK123" i="14"/>
  <c r="AJ123" i="14"/>
  <c r="AI123" i="14"/>
  <c r="AO122" i="14"/>
  <c r="AP122" i="14" s="1"/>
  <c r="AN122" i="14"/>
  <c r="AK122" i="14"/>
  <c r="AJ122" i="14"/>
  <c r="AI122" i="14"/>
  <c r="AO121" i="14"/>
  <c r="AP121" i="14" s="1"/>
  <c r="AN121" i="14"/>
  <c r="AK121" i="14"/>
  <c r="AJ121" i="14"/>
  <c r="AI121" i="14"/>
  <c r="AM121" i="14" s="1"/>
  <c r="AQ121" i="14" s="1"/>
  <c r="AP120" i="14"/>
  <c r="AO120" i="14"/>
  <c r="AN120" i="14"/>
  <c r="AK120" i="14"/>
  <c r="AJ120" i="14"/>
  <c r="AI120" i="14"/>
  <c r="AM120" i="14" s="1"/>
  <c r="AO119" i="14"/>
  <c r="AP119" i="14" s="1"/>
  <c r="AN119" i="14"/>
  <c r="AK119" i="14"/>
  <c r="AJ119" i="14"/>
  <c r="AI119" i="14"/>
  <c r="AO116" i="14"/>
  <c r="AP116" i="14" s="1"/>
  <c r="AN116" i="14"/>
  <c r="AK116" i="14"/>
  <c r="AJ116" i="14"/>
  <c r="AI116" i="14"/>
  <c r="AO115" i="14"/>
  <c r="AP115" i="14" s="1"/>
  <c r="AN115" i="14"/>
  <c r="AK115" i="14"/>
  <c r="AJ115" i="14"/>
  <c r="AI115" i="14"/>
  <c r="AM115" i="14" s="1"/>
  <c r="AQ115" i="14" s="1"/>
  <c r="AP114" i="14"/>
  <c r="AO114" i="14"/>
  <c r="AN114" i="14"/>
  <c r="AK114" i="14"/>
  <c r="AJ114" i="14"/>
  <c r="AI114" i="14"/>
  <c r="AM114" i="14" s="1"/>
  <c r="AO111" i="14"/>
  <c r="AP111" i="14" s="1"/>
  <c r="AN111" i="14"/>
  <c r="AK111" i="14"/>
  <c r="AJ111" i="14"/>
  <c r="AI111" i="14"/>
  <c r="AO110" i="14"/>
  <c r="AP110" i="14" s="1"/>
  <c r="AN110" i="14"/>
  <c r="AK110" i="14"/>
  <c r="AJ110" i="14"/>
  <c r="AI110" i="14"/>
  <c r="AO109" i="14"/>
  <c r="AP109" i="14" s="1"/>
  <c r="AN109" i="14"/>
  <c r="AK109" i="14"/>
  <c r="AJ109" i="14"/>
  <c r="AI109" i="14"/>
  <c r="AM109" i="14" s="1"/>
  <c r="AP108" i="14"/>
  <c r="AO108" i="14"/>
  <c r="AN108" i="14"/>
  <c r="AK108" i="14"/>
  <c r="AJ108" i="14"/>
  <c r="AI108" i="14"/>
  <c r="AM108" i="14" s="1"/>
  <c r="AO107" i="14"/>
  <c r="AP107" i="14" s="1"/>
  <c r="AN107" i="14"/>
  <c r="AK107" i="14"/>
  <c r="AJ107" i="14"/>
  <c r="AI107" i="14"/>
  <c r="AO106" i="14"/>
  <c r="AP106" i="14" s="1"/>
  <c r="AN106" i="14"/>
  <c r="AK106" i="14"/>
  <c r="AJ106" i="14"/>
  <c r="AI106" i="14"/>
  <c r="AO105" i="14"/>
  <c r="AP105" i="14" s="1"/>
  <c r="AN105" i="14"/>
  <c r="AK105" i="14"/>
  <c r="AJ105" i="14"/>
  <c r="AI105" i="14"/>
  <c r="AM105" i="14" s="1"/>
  <c r="AQ105" i="14" s="1"/>
  <c r="AP104" i="14"/>
  <c r="AO104" i="14"/>
  <c r="AN104" i="14"/>
  <c r="AK104" i="14"/>
  <c r="AJ104" i="14"/>
  <c r="AI104" i="14"/>
  <c r="AM104" i="14" s="1"/>
  <c r="AO103" i="14"/>
  <c r="AP103" i="14" s="1"/>
  <c r="AN103" i="14"/>
  <c r="AK103" i="14"/>
  <c r="AJ103" i="14"/>
  <c r="AI103" i="14"/>
  <c r="AO102" i="14"/>
  <c r="AP102" i="14" s="1"/>
  <c r="AN102" i="14"/>
  <c r="AK102" i="14"/>
  <c r="AJ102" i="14"/>
  <c r="AI102" i="14"/>
  <c r="AO101" i="14"/>
  <c r="AP101" i="14" s="1"/>
  <c r="AN101" i="14"/>
  <c r="AK101" i="14"/>
  <c r="AJ101" i="14"/>
  <c r="AI101" i="14"/>
  <c r="AM101" i="14" s="1"/>
  <c r="AQ101" i="14" s="1"/>
  <c r="AP100" i="14"/>
  <c r="AO100" i="14"/>
  <c r="AN100" i="14"/>
  <c r="AK100" i="14"/>
  <c r="AJ100" i="14"/>
  <c r="AI100" i="14"/>
  <c r="AM100" i="14" s="1"/>
  <c r="AO99" i="14"/>
  <c r="AP99" i="14" s="1"/>
  <c r="AN99" i="14"/>
  <c r="AK99" i="14"/>
  <c r="AJ99" i="14"/>
  <c r="AI99" i="14"/>
  <c r="AO98" i="14"/>
  <c r="AP98" i="14" s="1"/>
  <c r="AN98" i="14"/>
  <c r="AK98" i="14"/>
  <c r="AJ98" i="14"/>
  <c r="AI98" i="14"/>
  <c r="AO95" i="14"/>
  <c r="AP95" i="14" s="1"/>
  <c r="AN95" i="14"/>
  <c r="AK95" i="14"/>
  <c r="AJ95" i="14"/>
  <c r="AI95" i="14"/>
  <c r="AM95" i="14" s="1"/>
  <c r="AP94" i="14"/>
  <c r="AO94" i="14"/>
  <c r="AN94" i="14"/>
  <c r="AK94" i="14"/>
  <c r="AJ94" i="14"/>
  <c r="AI94" i="14"/>
  <c r="AM94" i="14" s="1"/>
  <c r="AO93" i="14"/>
  <c r="AP93" i="14" s="1"/>
  <c r="AN93" i="14"/>
  <c r="AK93" i="14"/>
  <c r="AJ93" i="14"/>
  <c r="AI93" i="14"/>
  <c r="AO92" i="14"/>
  <c r="AP92" i="14" s="1"/>
  <c r="AN92" i="14"/>
  <c r="AK92" i="14"/>
  <c r="AJ92" i="14"/>
  <c r="AI92" i="14"/>
  <c r="AO89" i="14"/>
  <c r="AP89" i="14" s="1"/>
  <c r="AN89" i="14"/>
  <c r="AK89" i="14"/>
  <c r="AJ89" i="14"/>
  <c r="AI89" i="14"/>
  <c r="AM89" i="14" s="1"/>
  <c r="AQ89" i="14" s="1"/>
  <c r="AP88" i="14"/>
  <c r="AO88" i="14"/>
  <c r="AN88" i="14"/>
  <c r="AK88" i="14"/>
  <c r="AJ88" i="14"/>
  <c r="AI88" i="14"/>
  <c r="AM88" i="14" s="1"/>
  <c r="AO87" i="14"/>
  <c r="AP87" i="14" s="1"/>
  <c r="AN87" i="14"/>
  <c r="AK87" i="14"/>
  <c r="AJ87" i="14"/>
  <c r="AI87" i="14"/>
  <c r="AO86" i="14"/>
  <c r="AP86" i="14" s="1"/>
  <c r="AN86" i="14"/>
  <c r="AK86" i="14"/>
  <c r="AJ86" i="14"/>
  <c r="AI86" i="14"/>
  <c r="AO85" i="14"/>
  <c r="AP85" i="14" s="1"/>
  <c r="AN85" i="14"/>
  <c r="AK85" i="14"/>
  <c r="AJ85" i="14"/>
  <c r="AI85" i="14"/>
  <c r="AM85" i="14" s="1"/>
  <c r="AP82" i="14"/>
  <c r="AO82" i="14"/>
  <c r="AN82" i="14"/>
  <c r="AK82" i="14"/>
  <c r="AJ82" i="14"/>
  <c r="AI82" i="14"/>
  <c r="AM82" i="14" s="1"/>
  <c r="AO81" i="14"/>
  <c r="AP81" i="14" s="1"/>
  <c r="AN81" i="14"/>
  <c r="AK81" i="14"/>
  <c r="AJ81" i="14"/>
  <c r="AI81" i="14"/>
  <c r="AO80" i="14"/>
  <c r="AP80" i="14" s="1"/>
  <c r="AN80" i="14"/>
  <c r="AK80" i="14"/>
  <c r="AJ80" i="14"/>
  <c r="AI80" i="14"/>
  <c r="AO79" i="14"/>
  <c r="AP79" i="14" s="1"/>
  <c r="AN79" i="14"/>
  <c r="AK79" i="14"/>
  <c r="AJ79" i="14"/>
  <c r="AI79" i="14"/>
  <c r="AM79" i="14" s="1"/>
  <c r="AQ79" i="14" s="1"/>
  <c r="AP78" i="14"/>
  <c r="AO78" i="14"/>
  <c r="AN78" i="14"/>
  <c r="AK78" i="14"/>
  <c r="AJ78" i="14"/>
  <c r="AI78" i="14"/>
  <c r="AM78" i="14" s="1"/>
  <c r="AO77" i="14"/>
  <c r="AP77" i="14" s="1"/>
  <c r="AN77" i="14"/>
  <c r="AK77" i="14"/>
  <c r="AJ77" i="14"/>
  <c r="AI77" i="14"/>
  <c r="AO74" i="14"/>
  <c r="AP74" i="14" s="1"/>
  <c r="AN74" i="14"/>
  <c r="AK74" i="14"/>
  <c r="AJ74" i="14"/>
  <c r="AI74" i="14"/>
  <c r="AO73" i="14"/>
  <c r="AP73" i="14" s="1"/>
  <c r="AN73" i="14"/>
  <c r="AK73" i="14"/>
  <c r="AJ73" i="14"/>
  <c r="AI73" i="14"/>
  <c r="AM73" i="14" s="1"/>
  <c r="AQ73" i="14" s="1"/>
  <c r="AP72" i="14"/>
  <c r="AO72" i="14"/>
  <c r="AN72" i="14"/>
  <c r="AK72" i="14"/>
  <c r="AJ72" i="14"/>
  <c r="AI72" i="14"/>
  <c r="AM72" i="14" s="1"/>
  <c r="AO71" i="14"/>
  <c r="AP71" i="14" s="1"/>
  <c r="AN71" i="14"/>
  <c r="AK71" i="14"/>
  <c r="AJ71" i="14"/>
  <c r="AI71" i="14"/>
  <c r="AO70" i="14"/>
  <c r="AP70" i="14" s="1"/>
  <c r="AN70" i="14"/>
  <c r="AK70" i="14"/>
  <c r="AJ70" i="14"/>
  <c r="AI70" i="14"/>
  <c r="AM70" i="14" s="1"/>
  <c r="AQ70" i="14" s="1"/>
  <c r="AO69" i="14"/>
  <c r="AP69" i="14" s="1"/>
  <c r="AN69" i="14"/>
  <c r="AK69" i="14"/>
  <c r="AJ69" i="14"/>
  <c r="AI69" i="14"/>
  <c r="AO68" i="14"/>
  <c r="AP68" i="14" s="1"/>
  <c r="AN68" i="14"/>
  <c r="AK68" i="14"/>
  <c r="AJ68" i="14"/>
  <c r="AI68" i="14"/>
  <c r="AO67" i="14"/>
  <c r="AP67" i="14" s="1"/>
  <c r="AN67" i="14"/>
  <c r="AK67" i="14"/>
  <c r="AJ67" i="14"/>
  <c r="AI67" i="14"/>
  <c r="AM67" i="14" s="1"/>
  <c r="AQ67" i="14" s="1"/>
  <c r="AO66" i="14"/>
  <c r="AP66" i="14" s="1"/>
  <c r="AN66" i="14"/>
  <c r="AK66" i="14"/>
  <c r="AJ66" i="14"/>
  <c r="AI66" i="14"/>
  <c r="AO65" i="14"/>
  <c r="AP65" i="14" s="1"/>
  <c r="AN65" i="14"/>
  <c r="AK65" i="14"/>
  <c r="AJ65" i="14"/>
  <c r="AI65" i="14"/>
  <c r="AM65" i="14" s="1"/>
  <c r="AQ65" i="14" s="1"/>
  <c r="AO64" i="14"/>
  <c r="AP64" i="14" s="1"/>
  <c r="AN64" i="14"/>
  <c r="AK64" i="14"/>
  <c r="AJ64" i="14"/>
  <c r="AI64" i="14"/>
  <c r="AO63" i="14"/>
  <c r="AP63" i="14" s="1"/>
  <c r="AN63" i="14"/>
  <c r="AK63" i="14"/>
  <c r="AJ63" i="14"/>
  <c r="AI63" i="14"/>
  <c r="AO62" i="14"/>
  <c r="AP62" i="14" s="1"/>
  <c r="AN62" i="14"/>
  <c r="AK62" i="14"/>
  <c r="AJ62" i="14"/>
  <c r="AI62" i="14"/>
  <c r="AM62" i="14" s="1"/>
  <c r="AQ62" i="14" s="1"/>
  <c r="AO61" i="14"/>
  <c r="AP61" i="14" s="1"/>
  <c r="AN61" i="14"/>
  <c r="AK61" i="14"/>
  <c r="AJ61" i="14"/>
  <c r="AI61" i="14"/>
  <c r="AM61" i="14" s="1"/>
  <c r="AO60" i="14"/>
  <c r="AP60" i="14" s="1"/>
  <c r="AN60" i="14"/>
  <c r="AK60" i="14"/>
  <c r="AJ60" i="14"/>
  <c r="AI60" i="14"/>
  <c r="AO59" i="14"/>
  <c r="AP59" i="14" s="1"/>
  <c r="AN59" i="14"/>
  <c r="AK59" i="14"/>
  <c r="AJ59" i="14"/>
  <c r="AI59" i="14"/>
  <c r="AM59" i="14" s="1"/>
  <c r="AQ59" i="14" s="1"/>
  <c r="AO58" i="14"/>
  <c r="AP58" i="14" s="1"/>
  <c r="AN58" i="14"/>
  <c r="AK58" i="14"/>
  <c r="AJ58" i="14"/>
  <c r="AI58" i="14"/>
  <c r="AM58" i="14" s="1"/>
  <c r="AO57" i="14"/>
  <c r="AP57" i="14" s="1"/>
  <c r="AN57" i="14"/>
  <c r="AK57" i="14"/>
  <c r="AJ57" i="14"/>
  <c r="AI57" i="14"/>
  <c r="AO56" i="14"/>
  <c r="AP56" i="14" s="1"/>
  <c r="AN56" i="14"/>
  <c r="AK56" i="14"/>
  <c r="AJ56" i="14"/>
  <c r="AI56" i="14"/>
  <c r="AM56" i="14" s="1"/>
  <c r="AO55" i="14"/>
  <c r="AP55" i="14" s="1"/>
  <c r="AN55" i="14"/>
  <c r="AK55" i="14"/>
  <c r="AJ55" i="14"/>
  <c r="AI55" i="14"/>
  <c r="AM55" i="14" s="1"/>
  <c r="AO54" i="14"/>
  <c r="AP54" i="14" s="1"/>
  <c r="AN54" i="14"/>
  <c r="AK54" i="14"/>
  <c r="AJ54" i="14"/>
  <c r="AI54" i="14"/>
  <c r="AO53" i="14"/>
  <c r="AP53" i="14" s="1"/>
  <c r="AN53" i="14"/>
  <c r="AK53" i="14"/>
  <c r="AJ53" i="14"/>
  <c r="AI53" i="14"/>
  <c r="AM53" i="14" s="1"/>
  <c r="AQ53" i="14" s="1"/>
  <c r="AP52" i="14"/>
  <c r="AO52" i="14"/>
  <c r="AN52" i="14"/>
  <c r="AK52" i="14"/>
  <c r="AJ52" i="14"/>
  <c r="AI52" i="14"/>
  <c r="AM52" i="14" s="1"/>
  <c r="AO51" i="14"/>
  <c r="AP51" i="14" s="1"/>
  <c r="AN51" i="14"/>
  <c r="AK51" i="14"/>
  <c r="AJ51" i="14"/>
  <c r="AI51" i="14"/>
  <c r="AO50" i="14"/>
  <c r="AP50" i="14" s="1"/>
  <c r="AN50" i="14"/>
  <c r="AK50" i="14"/>
  <c r="AJ50" i="14"/>
  <c r="AI50" i="14"/>
  <c r="AM50" i="14" s="1"/>
  <c r="AQ50" i="14" s="1"/>
  <c r="AO49" i="14"/>
  <c r="AP49" i="14" s="1"/>
  <c r="AN49" i="14"/>
  <c r="AK49" i="14"/>
  <c r="AJ49" i="14"/>
  <c r="AI49" i="14"/>
  <c r="AM49" i="14" s="1"/>
  <c r="AO48" i="14"/>
  <c r="AP48" i="14" s="1"/>
  <c r="AN48" i="14"/>
  <c r="AK48" i="14"/>
  <c r="AJ48" i="14"/>
  <c r="AI48" i="14"/>
  <c r="AO47" i="14"/>
  <c r="AP47" i="14" s="1"/>
  <c r="AN47" i="14"/>
  <c r="AK47" i="14"/>
  <c r="AJ47" i="14"/>
  <c r="AI47" i="14"/>
  <c r="AM47" i="14" s="1"/>
  <c r="AQ47" i="14" s="1"/>
  <c r="AO46" i="14"/>
  <c r="AP46" i="14" s="1"/>
  <c r="AN46" i="14"/>
  <c r="AK46" i="14"/>
  <c r="AJ46" i="14"/>
  <c r="AI46" i="14"/>
  <c r="AM46" i="14" s="1"/>
  <c r="AO45" i="14"/>
  <c r="AP45" i="14" s="1"/>
  <c r="AN45" i="14"/>
  <c r="AK45" i="14"/>
  <c r="AJ45" i="14"/>
  <c r="AI45" i="14"/>
  <c r="AO44" i="14"/>
  <c r="AP44" i="14" s="1"/>
  <c r="AN44" i="14"/>
  <c r="AK44" i="14"/>
  <c r="AJ44" i="14"/>
  <c r="AI44" i="14"/>
  <c r="AM44" i="14" s="1"/>
  <c r="AO43" i="14"/>
  <c r="AP43" i="14" s="1"/>
  <c r="AN43" i="14"/>
  <c r="AK43" i="14"/>
  <c r="AJ43" i="14"/>
  <c r="AI43" i="14"/>
  <c r="AM43" i="14" s="1"/>
  <c r="AO42" i="14"/>
  <c r="AP42" i="14" s="1"/>
  <c r="AN42" i="14"/>
  <c r="AK42" i="14"/>
  <c r="AJ42" i="14"/>
  <c r="AI42" i="14"/>
  <c r="AO41" i="14"/>
  <c r="AP41" i="14" s="1"/>
  <c r="AN41" i="14"/>
  <c r="AK41" i="14"/>
  <c r="AJ41" i="14"/>
  <c r="AI41" i="14"/>
  <c r="AM41" i="14" s="1"/>
  <c r="AQ41" i="14" s="1"/>
  <c r="AO40" i="14"/>
  <c r="AP40" i="14" s="1"/>
  <c r="AN40" i="14"/>
  <c r="AK40" i="14"/>
  <c r="AJ40" i="14"/>
  <c r="AI40" i="14"/>
  <c r="AM40" i="14" s="1"/>
  <c r="AO39" i="14"/>
  <c r="AP39" i="14" s="1"/>
  <c r="AN39" i="14"/>
  <c r="AK39" i="14"/>
  <c r="AJ39" i="14"/>
  <c r="AI39" i="14"/>
  <c r="AM39" i="14" s="1"/>
  <c r="AO38" i="14"/>
  <c r="AP38" i="14" s="1"/>
  <c r="AN38" i="14"/>
  <c r="AK38" i="14"/>
  <c r="AJ38" i="14"/>
  <c r="AI38" i="14"/>
  <c r="AM38" i="14" s="1"/>
  <c r="AQ38" i="14" s="1"/>
  <c r="AO35" i="14"/>
  <c r="AP35" i="14" s="1"/>
  <c r="AN35" i="14"/>
  <c r="AK35" i="14"/>
  <c r="AJ35" i="14"/>
  <c r="AI35" i="14"/>
  <c r="AM35" i="14" s="1"/>
  <c r="AQ35" i="14" s="1"/>
  <c r="AO34" i="14"/>
  <c r="AP34" i="14" s="1"/>
  <c r="AN34" i="14"/>
  <c r="AK34" i="14"/>
  <c r="AJ34" i="14"/>
  <c r="AI34" i="14"/>
  <c r="AM34" i="14" s="1"/>
  <c r="AO33" i="14"/>
  <c r="AP33" i="14" s="1"/>
  <c r="AN33" i="14"/>
  <c r="AK33" i="14"/>
  <c r="AJ33" i="14"/>
  <c r="AI33" i="14"/>
  <c r="AO32" i="14"/>
  <c r="AP32" i="14" s="1"/>
  <c r="AN32" i="14"/>
  <c r="AK32" i="14"/>
  <c r="AJ32" i="14"/>
  <c r="AI32" i="14"/>
  <c r="AM32" i="14" s="1"/>
  <c r="AQ32" i="14" s="1"/>
  <c r="AO31" i="14"/>
  <c r="AP31" i="14" s="1"/>
  <c r="AN31" i="14"/>
  <c r="AK31" i="14"/>
  <c r="AJ31" i="14"/>
  <c r="AI31" i="14"/>
  <c r="AM31" i="14" s="1"/>
  <c r="AP30" i="14"/>
  <c r="AO30" i="14"/>
  <c r="AN30" i="14"/>
  <c r="AK30" i="14"/>
  <c r="AJ30" i="14"/>
  <c r="AI30" i="14"/>
  <c r="AP29" i="14"/>
  <c r="AO29" i="14"/>
  <c r="AN29" i="14"/>
  <c r="AK29" i="14"/>
  <c r="AJ29" i="14"/>
  <c r="AI29" i="14"/>
  <c r="AO28" i="14"/>
  <c r="AP28" i="14" s="1"/>
  <c r="AN28" i="14"/>
  <c r="AK28" i="14"/>
  <c r="AM28" i="14" s="1"/>
  <c r="AJ28" i="14"/>
  <c r="AO27" i="14"/>
  <c r="AP27" i="14" s="1"/>
  <c r="AN27" i="14"/>
  <c r="AK27" i="14"/>
  <c r="AJ27" i="14"/>
  <c r="AI27" i="14"/>
  <c r="AM27" i="14" s="1"/>
  <c r="AQ27" i="14" s="1"/>
  <c r="AP26" i="14"/>
  <c r="AO26" i="14"/>
  <c r="AN26" i="14"/>
  <c r="AK26" i="14"/>
  <c r="AJ26" i="14"/>
  <c r="AI26" i="14"/>
  <c r="AM26" i="14" s="1"/>
  <c r="AQ26" i="14" s="1"/>
  <c r="AO25" i="14"/>
  <c r="AP25" i="14" s="1"/>
  <c r="AQ25" i="14" s="1"/>
  <c r="AN25" i="14"/>
  <c r="AK25" i="14"/>
  <c r="AJ25" i="14"/>
  <c r="AI25" i="14"/>
  <c r="AM25" i="14" s="1"/>
  <c r="AP24" i="14"/>
  <c r="AQ24" i="14" s="1"/>
  <c r="AO24" i="14"/>
  <c r="AN24" i="14"/>
  <c r="AK24" i="14"/>
  <c r="AJ24" i="14"/>
  <c r="AI24" i="14"/>
  <c r="AM24" i="14" s="1"/>
  <c r="AO23" i="14"/>
  <c r="AP23" i="14" s="1"/>
  <c r="AN23" i="14"/>
  <c r="AK23" i="14"/>
  <c r="AJ23" i="14"/>
  <c r="AI23" i="14"/>
  <c r="AM23" i="14" s="1"/>
  <c r="AP22" i="14"/>
  <c r="AO22" i="14"/>
  <c r="AN22" i="14"/>
  <c r="AK22" i="14"/>
  <c r="AJ22" i="14"/>
  <c r="AI22" i="14"/>
  <c r="AO19" i="14"/>
  <c r="AP19" i="14" s="1"/>
  <c r="AN19" i="14"/>
  <c r="AK19" i="14"/>
  <c r="AJ19" i="14"/>
  <c r="AI19" i="14"/>
  <c r="AP18" i="14"/>
  <c r="AO18" i="14"/>
  <c r="AN18" i="14"/>
  <c r="AK18" i="14"/>
  <c r="AJ18" i="14"/>
  <c r="AI18" i="14"/>
  <c r="AM18" i="14" s="1"/>
  <c r="AQ18" i="14" s="1"/>
  <c r="AO17" i="14"/>
  <c r="AP17" i="14" s="1"/>
  <c r="AN17" i="14"/>
  <c r="AK17" i="14"/>
  <c r="AJ17" i="14"/>
  <c r="AI17" i="14"/>
  <c r="AM17" i="14" s="1"/>
  <c r="AP16" i="14"/>
  <c r="AO16" i="14"/>
  <c r="AN16" i="14"/>
  <c r="AK16" i="14"/>
  <c r="AJ16" i="14"/>
  <c r="AI16" i="14"/>
  <c r="AM16" i="14" s="1"/>
  <c r="AQ16" i="14" s="1"/>
  <c r="AQ15" i="14"/>
  <c r="AO15" i="14"/>
  <c r="AP15" i="14" s="1"/>
  <c r="AN15" i="14"/>
  <c r="AK15" i="14"/>
  <c r="AJ15" i="14"/>
  <c r="AI15" i="14"/>
  <c r="AM15" i="14" s="1"/>
  <c r="AP14" i="14"/>
  <c r="AQ14" i="14" s="1"/>
  <c r="AO14" i="14"/>
  <c r="AN14" i="14"/>
  <c r="AK14" i="14"/>
  <c r="AJ14" i="14"/>
  <c r="AI14" i="14"/>
  <c r="AM14" i="14" s="1"/>
  <c r="AO13" i="14"/>
  <c r="AP13" i="14" s="1"/>
  <c r="AN13" i="14"/>
  <c r="AK13" i="14"/>
  <c r="AJ13" i="14"/>
  <c r="AI13" i="14"/>
  <c r="AM13" i="14" s="1"/>
  <c r="AP12" i="14"/>
  <c r="AO12" i="14"/>
  <c r="AN12" i="14"/>
  <c r="AK12" i="14"/>
  <c r="AJ12" i="14"/>
  <c r="AI12" i="14"/>
  <c r="AO11" i="14"/>
  <c r="AP11" i="14" s="1"/>
  <c r="AN11" i="14"/>
  <c r="AK11" i="14"/>
  <c r="AJ11" i="14"/>
  <c r="AI11" i="14"/>
  <c r="AP10" i="14"/>
  <c r="AO10" i="14"/>
  <c r="AN10" i="14"/>
  <c r="AK10" i="14"/>
  <c r="AJ10" i="14"/>
  <c r="AI10" i="14"/>
  <c r="AM10" i="14" s="1"/>
  <c r="AQ10" i="14" s="1"/>
  <c r="AO9" i="14"/>
  <c r="AP9" i="14" s="1"/>
  <c r="AN9" i="14"/>
  <c r="AK9" i="14"/>
  <c r="AJ9" i="14"/>
  <c r="AI9" i="14"/>
  <c r="AM9" i="14" s="1"/>
  <c r="AP8" i="14"/>
  <c r="AO8" i="14"/>
  <c r="AN8" i="14"/>
  <c r="AK8" i="14"/>
  <c r="AJ8" i="14"/>
  <c r="AI8" i="14"/>
  <c r="AM8" i="14" s="1"/>
  <c r="AQ8" i="14" s="1"/>
  <c r="AO7" i="14"/>
  <c r="AP7" i="14" s="1"/>
  <c r="AN7" i="14"/>
  <c r="AK7" i="14"/>
  <c r="AJ7" i="14"/>
  <c r="AI7" i="14"/>
  <c r="AP6" i="14"/>
  <c r="AQ6" i="14" s="1"/>
  <c r="AO6" i="14"/>
  <c r="AN6" i="14"/>
  <c r="AK6" i="14"/>
  <c r="AJ6" i="14"/>
  <c r="AI6" i="14"/>
  <c r="AM6" i="14" s="1"/>
  <c r="AO5" i="14"/>
  <c r="AP5" i="14" s="1"/>
  <c r="AN5" i="14"/>
  <c r="AK5" i="14"/>
  <c r="AJ5" i="14"/>
  <c r="AI5" i="14"/>
  <c r="AM5" i="14" s="1"/>
  <c r="AQ5" i="14" s="1"/>
  <c r="AO129" i="13"/>
  <c r="AN129" i="13"/>
  <c r="AM129" i="13"/>
  <c r="AJ129" i="13"/>
  <c r="AI129" i="13"/>
  <c r="AH129" i="13"/>
  <c r="AN128" i="13"/>
  <c r="AO128" i="13" s="1"/>
  <c r="AM128" i="13"/>
  <c r="AJ128" i="13"/>
  <c r="AI128" i="13"/>
  <c r="AH128" i="13"/>
  <c r="AO127" i="13"/>
  <c r="AN127" i="13"/>
  <c r="AM127" i="13"/>
  <c r="AJ127" i="13"/>
  <c r="AI127" i="13"/>
  <c r="AH127" i="13"/>
  <c r="AL127" i="13" s="1"/>
  <c r="AP127" i="13" s="1"/>
  <c r="AN126" i="13"/>
  <c r="AO126" i="13" s="1"/>
  <c r="AM126" i="13"/>
  <c r="AJ126" i="13"/>
  <c r="AI126" i="13"/>
  <c r="AH126" i="13"/>
  <c r="AL126" i="13" s="1"/>
  <c r="AP126" i="13" s="1"/>
  <c r="AO125" i="13"/>
  <c r="AP125" i="13" s="1"/>
  <c r="AN125" i="13"/>
  <c r="AM125" i="13"/>
  <c r="AJ125" i="13"/>
  <c r="AI125" i="13"/>
  <c r="AH125" i="13"/>
  <c r="AL125" i="13" s="1"/>
  <c r="AN124" i="13"/>
  <c r="AO124" i="13" s="1"/>
  <c r="AM124" i="13"/>
  <c r="AJ124" i="13"/>
  <c r="AI124" i="13"/>
  <c r="AH124" i="13"/>
  <c r="AO123" i="13"/>
  <c r="AP123" i="13" s="1"/>
  <c r="AN123" i="13"/>
  <c r="AM123" i="13"/>
  <c r="AJ123" i="13"/>
  <c r="AI123" i="13"/>
  <c r="AH123" i="13"/>
  <c r="AL123" i="13" s="1"/>
  <c r="AN122" i="13"/>
  <c r="AO122" i="13" s="1"/>
  <c r="AM122" i="13"/>
  <c r="AJ122" i="13"/>
  <c r="AI122" i="13"/>
  <c r="AH122" i="13"/>
  <c r="AO121" i="13"/>
  <c r="AN121" i="13"/>
  <c r="AM121" i="13"/>
  <c r="AJ121" i="13"/>
  <c r="AI121" i="13"/>
  <c r="AH121" i="13"/>
  <c r="AN120" i="13"/>
  <c r="AO120" i="13" s="1"/>
  <c r="AM120" i="13"/>
  <c r="AJ120" i="13"/>
  <c r="AI120" i="13"/>
  <c r="AH120" i="13"/>
  <c r="AO119" i="13"/>
  <c r="AN119" i="13"/>
  <c r="AM119" i="13"/>
  <c r="AJ119" i="13"/>
  <c r="AI119" i="13"/>
  <c r="AH119" i="13"/>
  <c r="AL119" i="13" s="1"/>
  <c r="AP119" i="13" s="1"/>
  <c r="AN116" i="13"/>
  <c r="AO116" i="13" s="1"/>
  <c r="AM116" i="13"/>
  <c r="AJ116" i="13"/>
  <c r="AI116" i="13"/>
  <c r="AH116" i="13"/>
  <c r="AL116" i="13" s="1"/>
  <c r="AO115" i="13"/>
  <c r="AP115" i="13" s="1"/>
  <c r="AN115" i="13"/>
  <c r="AM115" i="13"/>
  <c r="AJ115" i="13"/>
  <c r="AI115" i="13"/>
  <c r="AH115" i="13"/>
  <c r="AL115" i="13" s="1"/>
  <c r="AN114" i="13"/>
  <c r="AO114" i="13" s="1"/>
  <c r="AM114" i="13"/>
  <c r="AJ114" i="13"/>
  <c r="AI114" i="13"/>
  <c r="AH114" i="13"/>
  <c r="AO111" i="13"/>
  <c r="AP111" i="13" s="1"/>
  <c r="AN111" i="13"/>
  <c r="AM111" i="13"/>
  <c r="AJ111" i="13"/>
  <c r="AI111" i="13"/>
  <c r="AH111" i="13"/>
  <c r="AL111" i="13" s="1"/>
  <c r="AN110" i="13"/>
  <c r="AO110" i="13" s="1"/>
  <c r="AM110" i="13"/>
  <c r="AJ110" i="13"/>
  <c r="AI110" i="13"/>
  <c r="AH110" i="13"/>
  <c r="AO109" i="13"/>
  <c r="AN109" i="13"/>
  <c r="AM109" i="13"/>
  <c r="AJ109" i="13"/>
  <c r="AI109" i="13"/>
  <c r="AH109" i="13"/>
  <c r="AN108" i="13"/>
  <c r="AO108" i="13" s="1"/>
  <c r="AM108" i="13"/>
  <c r="AJ108" i="13"/>
  <c r="AI108" i="13"/>
  <c r="AH108" i="13"/>
  <c r="AO107" i="13"/>
  <c r="AN107" i="13"/>
  <c r="AM107" i="13"/>
  <c r="AJ107" i="13"/>
  <c r="AI107" i="13"/>
  <c r="AH107" i="13"/>
  <c r="AL107" i="13" s="1"/>
  <c r="AP107" i="13" s="1"/>
  <c r="AN106" i="13"/>
  <c r="AO106" i="13" s="1"/>
  <c r="AM106" i="13"/>
  <c r="AJ106" i="13"/>
  <c r="AI106" i="13"/>
  <c r="AH106" i="13"/>
  <c r="AL106" i="13" s="1"/>
  <c r="AP106" i="13" s="1"/>
  <c r="AO105" i="13"/>
  <c r="AP105" i="13" s="1"/>
  <c r="AN105" i="13"/>
  <c r="AM105" i="13"/>
  <c r="AJ105" i="13"/>
  <c r="AI105" i="13"/>
  <c r="AH105" i="13"/>
  <c r="AL105" i="13" s="1"/>
  <c r="AN104" i="13"/>
  <c r="AO104" i="13" s="1"/>
  <c r="AM104" i="13"/>
  <c r="AJ104" i="13"/>
  <c r="AI104" i="13"/>
  <c r="AH104" i="13"/>
  <c r="AO103" i="13"/>
  <c r="AN103" i="13"/>
  <c r="AM103" i="13"/>
  <c r="AJ103" i="13"/>
  <c r="AI103" i="13"/>
  <c r="AH103" i="13"/>
  <c r="AL103" i="13" s="1"/>
  <c r="AN102" i="13"/>
  <c r="AO102" i="13" s="1"/>
  <c r="AM102" i="13"/>
  <c r="AJ102" i="13"/>
  <c r="AI102" i="13"/>
  <c r="AH102" i="13"/>
  <c r="AO101" i="13"/>
  <c r="AN101" i="13"/>
  <c r="AM101" i="13"/>
  <c r="AJ101" i="13"/>
  <c r="AI101" i="13"/>
  <c r="AH101" i="13"/>
  <c r="AN100" i="13"/>
  <c r="AO100" i="13" s="1"/>
  <c r="AM100" i="13"/>
  <c r="AJ100" i="13"/>
  <c r="AI100" i="13"/>
  <c r="AH100" i="13"/>
  <c r="AO99" i="13"/>
  <c r="AN99" i="13"/>
  <c r="AM99" i="13"/>
  <c r="AJ99" i="13"/>
  <c r="AI99" i="13"/>
  <c r="AH99" i="13"/>
  <c r="AL99" i="13" s="1"/>
  <c r="AP99" i="13" s="1"/>
  <c r="AN98" i="13"/>
  <c r="AO98" i="13" s="1"/>
  <c r="AM98" i="13"/>
  <c r="AJ98" i="13"/>
  <c r="AI98" i="13"/>
  <c r="AH98" i="13"/>
  <c r="AL98" i="13" s="1"/>
  <c r="AP98" i="13" s="1"/>
  <c r="AO95" i="13"/>
  <c r="AP95" i="13" s="1"/>
  <c r="AN95" i="13"/>
  <c r="AM95" i="13"/>
  <c r="AJ95" i="13"/>
  <c r="AI95" i="13"/>
  <c r="AH95" i="13"/>
  <c r="AL95" i="13" s="1"/>
  <c r="AN94" i="13"/>
  <c r="AO94" i="13" s="1"/>
  <c r="AM94" i="13"/>
  <c r="AJ94" i="13"/>
  <c r="AI94" i="13"/>
  <c r="AH94" i="13"/>
  <c r="AO93" i="13"/>
  <c r="AN93" i="13"/>
  <c r="AM93" i="13"/>
  <c r="AJ93" i="13"/>
  <c r="AI93" i="13"/>
  <c r="AH93" i="13"/>
  <c r="AL93" i="13" s="1"/>
  <c r="AP93" i="13" s="1"/>
  <c r="AN92" i="13"/>
  <c r="AO92" i="13" s="1"/>
  <c r="AM92" i="13"/>
  <c r="AJ92" i="13"/>
  <c r="AI92" i="13"/>
  <c r="AH92" i="13"/>
  <c r="AO89" i="13"/>
  <c r="AN89" i="13"/>
  <c r="AM89" i="13"/>
  <c r="AJ89" i="13"/>
  <c r="AI89" i="13"/>
  <c r="AH89" i="13"/>
  <c r="AN88" i="13"/>
  <c r="AO88" i="13" s="1"/>
  <c r="AM88" i="13"/>
  <c r="AJ88" i="13"/>
  <c r="AI88" i="13"/>
  <c r="AH88" i="13"/>
  <c r="AO87" i="13"/>
  <c r="AN87" i="13"/>
  <c r="AM87" i="13"/>
  <c r="AJ87" i="13"/>
  <c r="AI87" i="13"/>
  <c r="AH87" i="13"/>
  <c r="AL87" i="13" s="1"/>
  <c r="AP87" i="13" s="1"/>
  <c r="AN86" i="13"/>
  <c r="AO86" i="13" s="1"/>
  <c r="AM86" i="13"/>
  <c r="AJ86" i="13"/>
  <c r="AI86" i="13"/>
  <c r="AH86" i="13"/>
  <c r="AL86" i="13" s="1"/>
  <c r="AO85" i="13"/>
  <c r="AP85" i="13" s="1"/>
  <c r="AN85" i="13"/>
  <c r="AM85" i="13"/>
  <c r="AJ85" i="13"/>
  <c r="AI85" i="13"/>
  <c r="AH85" i="13"/>
  <c r="AL85" i="13" s="1"/>
  <c r="AN82" i="13"/>
  <c r="AO82" i="13" s="1"/>
  <c r="AM82" i="13"/>
  <c r="AJ82" i="13"/>
  <c r="AI82" i="13"/>
  <c r="AH82" i="13"/>
  <c r="AO81" i="13"/>
  <c r="AP81" i="13" s="1"/>
  <c r="AN81" i="13"/>
  <c r="AM81" i="13"/>
  <c r="AJ81" i="13"/>
  <c r="AI81" i="13"/>
  <c r="AH81" i="13"/>
  <c r="AL81" i="13" s="1"/>
  <c r="AN80" i="13"/>
  <c r="AO80" i="13" s="1"/>
  <c r="AM80" i="13"/>
  <c r="AJ80" i="13"/>
  <c r="AI80" i="13"/>
  <c r="AH80" i="13"/>
  <c r="AO79" i="13"/>
  <c r="AN79" i="13"/>
  <c r="AM79" i="13"/>
  <c r="AJ79" i="13"/>
  <c r="AI79" i="13"/>
  <c r="AH79" i="13"/>
  <c r="AL79" i="13" s="1"/>
  <c r="AP79" i="13" s="1"/>
  <c r="AO78" i="13"/>
  <c r="AN78" i="13"/>
  <c r="AM78" i="13"/>
  <c r="AJ78" i="13"/>
  <c r="AI78" i="13"/>
  <c r="AH78" i="13"/>
  <c r="AL78" i="13" s="1"/>
  <c r="AP78" i="13" s="1"/>
  <c r="AN77" i="13"/>
  <c r="AO77" i="13" s="1"/>
  <c r="AM77" i="13"/>
  <c r="AJ77" i="13"/>
  <c r="AI77" i="13"/>
  <c r="AH77" i="13"/>
  <c r="AN74" i="13"/>
  <c r="AO74" i="13" s="1"/>
  <c r="AM74" i="13"/>
  <c r="AJ74" i="13"/>
  <c r="AI74" i="13"/>
  <c r="AH74" i="13"/>
  <c r="AL74" i="13" s="1"/>
  <c r="AP74" i="13" s="1"/>
  <c r="AN73" i="13"/>
  <c r="AO73" i="13" s="1"/>
  <c r="AM73" i="13"/>
  <c r="AJ73" i="13"/>
  <c r="AI73" i="13"/>
  <c r="AH73" i="13"/>
  <c r="AL73" i="13" s="1"/>
  <c r="AN72" i="13"/>
  <c r="AO72" i="13" s="1"/>
  <c r="AM72" i="13"/>
  <c r="AJ72" i="13"/>
  <c r="AI72" i="13"/>
  <c r="AH72" i="13"/>
  <c r="AN71" i="13"/>
  <c r="AO71" i="13" s="1"/>
  <c r="AM71" i="13"/>
  <c r="AJ71" i="13"/>
  <c r="AI71" i="13"/>
  <c r="AH71" i="13"/>
  <c r="AN70" i="13"/>
  <c r="AO70" i="13" s="1"/>
  <c r="AM70" i="13"/>
  <c r="AJ70" i="13"/>
  <c r="AI70" i="13"/>
  <c r="AH70" i="13"/>
  <c r="AL70" i="13" s="1"/>
  <c r="AN69" i="13"/>
  <c r="AO69" i="13" s="1"/>
  <c r="AM69" i="13"/>
  <c r="AJ69" i="13"/>
  <c r="AI69" i="13"/>
  <c r="AH69" i="13"/>
  <c r="AL69" i="13" s="1"/>
  <c r="AP69" i="13" s="1"/>
  <c r="AN68" i="13"/>
  <c r="AO68" i="13" s="1"/>
  <c r="AM68" i="13"/>
  <c r="AJ68" i="13"/>
  <c r="AI68" i="13"/>
  <c r="AH68" i="13"/>
  <c r="AL68" i="13" s="1"/>
  <c r="AP68" i="13" s="1"/>
  <c r="AN67" i="13"/>
  <c r="AO67" i="13" s="1"/>
  <c r="AM67" i="13"/>
  <c r="AJ67" i="13"/>
  <c r="AI67" i="13"/>
  <c r="AH67" i="13"/>
  <c r="AN66" i="13"/>
  <c r="AO66" i="13" s="1"/>
  <c r="AM66" i="13"/>
  <c r="AJ66" i="13"/>
  <c r="AI66" i="13"/>
  <c r="AH66" i="13"/>
  <c r="AL66" i="13" s="1"/>
  <c r="AP66" i="13" s="1"/>
  <c r="AN65" i="13"/>
  <c r="AO65" i="13" s="1"/>
  <c r="AM65" i="13"/>
  <c r="AJ65" i="13"/>
  <c r="AI65" i="13"/>
  <c r="AH65" i="13"/>
  <c r="AL65" i="13" s="1"/>
  <c r="AN64" i="13"/>
  <c r="AO64" i="13" s="1"/>
  <c r="AM64" i="13"/>
  <c r="AJ64" i="13"/>
  <c r="AI64" i="13"/>
  <c r="AH64" i="13"/>
  <c r="AN63" i="13"/>
  <c r="AO63" i="13" s="1"/>
  <c r="AM63" i="13"/>
  <c r="AJ63" i="13"/>
  <c r="AI63" i="13"/>
  <c r="AH63" i="13"/>
  <c r="AN62" i="13"/>
  <c r="AO62" i="13" s="1"/>
  <c r="AM62" i="13"/>
  <c r="AJ62" i="13"/>
  <c r="AI62" i="13"/>
  <c r="AH62" i="13"/>
  <c r="AL62" i="13" s="1"/>
  <c r="AN61" i="13"/>
  <c r="AO61" i="13" s="1"/>
  <c r="AM61" i="13"/>
  <c r="AJ61" i="13"/>
  <c r="AI61" i="13"/>
  <c r="AH61" i="13"/>
  <c r="AL61" i="13" s="1"/>
  <c r="AP61" i="13" s="1"/>
  <c r="AN60" i="13"/>
  <c r="AO60" i="13" s="1"/>
  <c r="AM60" i="13"/>
  <c r="AJ60" i="13"/>
  <c r="AI60" i="13"/>
  <c r="AH60" i="13"/>
  <c r="AL60" i="13" s="1"/>
  <c r="AP60" i="13" s="1"/>
  <c r="AN59" i="13"/>
  <c r="AO59" i="13" s="1"/>
  <c r="AM59" i="13"/>
  <c r="AJ59" i="13"/>
  <c r="AI59" i="13"/>
  <c r="AH59" i="13"/>
  <c r="AN58" i="13"/>
  <c r="AO58" i="13" s="1"/>
  <c r="AM58" i="13"/>
  <c r="AJ58" i="13"/>
  <c r="AI58" i="13"/>
  <c r="AH58" i="13"/>
  <c r="AL58" i="13" s="1"/>
  <c r="AP58" i="13" s="1"/>
  <c r="AN57" i="13"/>
  <c r="AO57" i="13" s="1"/>
  <c r="AM57" i="13"/>
  <c r="AJ57" i="13"/>
  <c r="AI57" i="13"/>
  <c r="AH57" i="13"/>
  <c r="AL57" i="13" s="1"/>
  <c r="AN56" i="13"/>
  <c r="AO56" i="13" s="1"/>
  <c r="AM56" i="13"/>
  <c r="AJ56" i="13"/>
  <c r="AI56" i="13"/>
  <c r="AH56" i="13"/>
  <c r="AN55" i="13"/>
  <c r="AO55" i="13" s="1"/>
  <c r="AM55" i="13"/>
  <c r="AJ55" i="13"/>
  <c r="AI55" i="13"/>
  <c r="AH55" i="13"/>
  <c r="AL55" i="13" s="1"/>
  <c r="AP55" i="13" s="1"/>
  <c r="AN54" i="13"/>
  <c r="AO54" i="13" s="1"/>
  <c r="AM54" i="13"/>
  <c r="AJ54" i="13"/>
  <c r="AI54" i="13"/>
  <c r="AH54" i="13"/>
  <c r="AL54" i="13" s="1"/>
  <c r="AN53" i="13"/>
  <c r="AO53" i="13" s="1"/>
  <c r="AM53" i="13"/>
  <c r="AJ53" i="13"/>
  <c r="AI53" i="13"/>
  <c r="AH53" i="13"/>
  <c r="AL53" i="13" s="1"/>
  <c r="AP53" i="13" s="1"/>
  <c r="AO52" i="13"/>
  <c r="AN52" i="13"/>
  <c r="AM52" i="13"/>
  <c r="AL52" i="13"/>
  <c r="AP52" i="13" s="1"/>
  <c r="AJ52" i="13"/>
  <c r="AI52" i="13"/>
  <c r="AH52" i="13"/>
  <c r="AN51" i="13"/>
  <c r="AO51" i="13" s="1"/>
  <c r="AM51" i="13"/>
  <c r="AJ51" i="13"/>
  <c r="AL51" i="13" s="1"/>
  <c r="AP51" i="13" s="1"/>
  <c r="AI51" i="13"/>
  <c r="AH51" i="13"/>
  <c r="AO50" i="13"/>
  <c r="AN50" i="13"/>
  <c r="AM50" i="13"/>
  <c r="AJ50" i="13"/>
  <c r="AI50" i="13"/>
  <c r="AH50" i="13"/>
  <c r="AL50" i="13" s="1"/>
  <c r="AP50" i="13" s="1"/>
  <c r="AN49" i="13"/>
  <c r="AO49" i="13" s="1"/>
  <c r="AM49" i="13"/>
  <c r="AJ49" i="13"/>
  <c r="AI49" i="13"/>
  <c r="AH49" i="13"/>
  <c r="AL49" i="13" s="1"/>
  <c r="AP49" i="13" s="1"/>
  <c r="AN48" i="13"/>
  <c r="AO48" i="13" s="1"/>
  <c r="AM48" i="13"/>
  <c r="AJ48" i="13"/>
  <c r="AI48" i="13"/>
  <c r="AH48" i="13"/>
  <c r="AL48" i="13" s="1"/>
  <c r="AP48" i="13" s="1"/>
  <c r="AO47" i="13"/>
  <c r="AN47" i="13"/>
  <c r="AM47" i="13"/>
  <c r="AL47" i="13"/>
  <c r="AJ47" i="13"/>
  <c r="AI47" i="13"/>
  <c r="AH47" i="13"/>
  <c r="AO46" i="13"/>
  <c r="AN46" i="13"/>
  <c r="AM46" i="13"/>
  <c r="AJ46" i="13"/>
  <c r="AI46" i="13"/>
  <c r="AH46" i="13"/>
  <c r="AL46" i="13" s="1"/>
  <c r="AN45" i="13"/>
  <c r="AO45" i="13" s="1"/>
  <c r="AM45" i="13"/>
  <c r="AJ45" i="13"/>
  <c r="AI45" i="13"/>
  <c r="AH45" i="13"/>
  <c r="AL45" i="13" s="1"/>
  <c r="AP45" i="13" s="1"/>
  <c r="AO44" i="13"/>
  <c r="AN44" i="13"/>
  <c r="AM44" i="13"/>
  <c r="AL44" i="13"/>
  <c r="AP44" i="13" s="1"/>
  <c r="AJ44" i="13"/>
  <c r="AI44" i="13"/>
  <c r="AH44" i="13"/>
  <c r="AN43" i="13"/>
  <c r="AO43" i="13" s="1"/>
  <c r="AM43" i="13"/>
  <c r="AJ43" i="13"/>
  <c r="AL43" i="13" s="1"/>
  <c r="AP43" i="13" s="1"/>
  <c r="AI43" i="13"/>
  <c r="AH43" i="13"/>
  <c r="AO42" i="13"/>
  <c r="AN42" i="13"/>
  <c r="AM42" i="13"/>
  <c r="AJ42" i="13"/>
  <c r="AI42" i="13"/>
  <c r="AH42" i="13"/>
  <c r="AN41" i="13"/>
  <c r="AO41" i="13" s="1"/>
  <c r="AM41" i="13"/>
  <c r="AJ41" i="13"/>
  <c r="AI41" i="13"/>
  <c r="AH41" i="13"/>
  <c r="AL41" i="13" s="1"/>
  <c r="AP41" i="13" s="1"/>
  <c r="AN40" i="13"/>
  <c r="AO40" i="13" s="1"/>
  <c r="AM40" i="13"/>
  <c r="AJ40" i="13"/>
  <c r="AI40" i="13"/>
  <c r="AH40" i="13"/>
  <c r="AL40" i="13" s="1"/>
  <c r="AO39" i="13"/>
  <c r="AN39" i="13"/>
  <c r="AM39" i="13"/>
  <c r="AL39" i="13"/>
  <c r="AJ39" i="13"/>
  <c r="AI39" i="13"/>
  <c r="AH39" i="13"/>
  <c r="AN38" i="13"/>
  <c r="AO38" i="13" s="1"/>
  <c r="AM38" i="13"/>
  <c r="AJ38" i="13"/>
  <c r="AI38" i="13"/>
  <c r="AH38" i="13"/>
  <c r="AL38" i="13" s="1"/>
  <c r="AN35" i="13"/>
  <c r="AO35" i="13" s="1"/>
  <c r="AM35" i="13"/>
  <c r="AJ35" i="13"/>
  <c r="AI35" i="13"/>
  <c r="AH35" i="13"/>
  <c r="AL35" i="13" s="1"/>
  <c r="AO34" i="13"/>
  <c r="AN34" i="13"/>
  <c r="AM34" i="13"/>
  <c r="AL34" i="13"/>
  <c r="AP34" i="13" s="1"/>
  <c r="AJ34" i="13"/>
  <c r="AI34" i="13"/>
  <c r="AH34" i="13"/>
  <c r="AN33" i="13"/>
  <c r="AO33" i="13" s="1"/>
  <c r="AM33" i="13"/>
  <c r="AL33" i="13"/>
  <c r="AP33" i="13" s="1"/>
  <c r="AJ33" i="13"/>
  <c r="AI33" i="13"/>
  <c r="AH33" i="13"/>
  <c r="AO32" i="13"/>
  <c r="AN32" i="13"/>
  <c r="AM32" i="13"/>
  <c r="AJ32" i="13"/>
  <c r="AI32" i="13"/>
  <c r="AH32" i="13"/>
  <c r="AN31" i="13"/>
  <c r="AO31" i="13" s="1"/>
  <c r="AM31" i="13"/>
  <c r="AJ31" i="13"/>
  <c r="AI31" i="13"/>
  <c r="AH31" i="13"/>
  <c r="AL31" i="13" s="1"/>
  <c r="AN30" i="13"/>
  <c r="AO30" i="13" s="1"/>
  <c r="AM30" i="13"/>
  <c r="AJ30" i="13"/>
  <c r="AI30" i="13"/>
  <c r="AH30" i="13"/>
  <c r="AL30" i="13" s="1"/>
  <c r="AO29" i="13"/>
  <c r="AN29" i="13"/>
  <c r="AM29" i="13"/>
  <c r="AL29" i="13"/>
  <c r="AJ29" i="13"/>
  <c r="AI29" i="13"/>
  <c r="AH29" i="13"/>
  <c r="AN28" i="13"/>
  <c r="AO28" i="13" s="1"/>
  <c r="AM28" i="13"/>
  <c r="AJ28" i="13"/>
  <c r="AI28" i="13"/>
  <c r="AH28" i="13"/>
  <c r="AL28" i="13" s="1"/>
  <c r="AN27" i="13"/>
  <c r="AO27" i="13" s="1"/>
  <c r="AM27" i="13"/>
  <c r="AJ27" i="13"/>
  <c r="AI27" i="13"/>
  <c r="AH27" i="13"/>
  <c r="AL27" i="13" s="1"/>
  <c r="AP27" i="13" s="1"/>
  <c r="AO26" i="13"/>
  <c r="AN26" i="13"/>
  <c r="AM26" i="13"/>
  <c r="AL26" i="13"/>
  <c r="AP26" i="13" s="1"/>
  <c r="AJ26" i="13"/>
  <c r="AI26" i="13"/>
  <c r="AH26" i="13"/>
  <c r="AN25" i="13"/>
  <c r="AO25" i="13" s="1"/>
  <c r="AM25" i="13"/>
  <c r="AL25" i="13"/>
  <c r="AJ25" i="13"/>
  <c r="AI25" i="13"/>
  <c r="AH25" i="13"/>
  <c r="AO24" i="13"/>
  <c r="AN24" i="13"/>
  <c r="AM24" i="13"/>
  <c r="AJ24" i="13"/>
  <c r="AI24" i="13"/>
  <c r="AH24" i="13"/>
  <c r="AL24" i="13" s="1"/>
  <c r="AP24" i="13" s="1"/>
  <c r="AN23" i="13"/>
  <c r="AO23" i="13" s="1"/>
  <c r="AM23" i="13"/>
  <c r="AJ23" i="13"/>
  <c r="AI23" i="13"/>
  <c r="AH23" i="13"/>
  <c r="AL23" i="13" s="1"/>
  <c r="AP23" i="13" s="1"/>
  <c r="AN22" i="13"/>
  <c r="AO22" i="13" s="1"/>
  <c r="AM22" i="13"/>
  <c r="AJ22" i="13"/>
  <c r="AI22" i="13"/>
  <c r="AH22" i="13"/>
  <c r="AL22" i="13" s="1"/>
  <c r="AP22" i="13" s="1"/>
  <c r="AO19" i="13"/>
  <c r="AN19" i="13"/>
  <c r="AM19" i="13"/>
  <c r="AL19" i="13"/>
  <c r="AJ19" i="13"/>
  <c r="AI19" i="13"/>
  <c r="AH19" i="13"/>
  <c r="AN18" i="13"/>
  <c r="AO18" i="13" s="1"/>
  <c r="AM18" i="13"/>
  <c r="AJ18" i="13"/>
  <c r="AI18" i="13"/>
  <c r="AH18" i="13"/>
  <c r="AL18" i="13" s="1"/>
  <c r="AN17" i="13"/>
  <c r="AO17" i="13" s="1"/>
  <c r="AM17" i="13"/>
  <c r="AJ17" i="13"/>
  <c r="AI17" i="13"/>
  <c r="AH17" i="13"/>
  <c r="AL17" i="13" s="1"/>
  <c r="AO16" i="13"/>
  <c r="AN16" i="13"/>
  <c r="AM16" i="13"/>
  <c r="AL16" i="13"/>
  <c r="AP16" i="13" s="1"/>
  <c r="AJ16" i="13"/>
  <c r="AI16" i="13"/>
  <c r="AH16" i="13"/>
  <c r="AN15" i="13"/>
  <c r="AO15" i="13" s="1"/>
  <c r="AM15" i="13"/>
  <c r="AJ15" i="13"/>
  <c r="AL15" i="13" s="1"/>
  <c r="AP15" i="13" s="1"/>
  <c r="AI15" i="13"/>
  <c r="AH15" i="13"/>
  <c r="AO14" i="13"/>
  <c r="AN14" i="13"/>
  <c r="AM14" i="13"/>
  <c r="AJ14" i="13"/>
  <c r="AI14" i="13"/>
  <c r="AH14" i="13"/>
  <c r="AN13" i="13"/>
  <c r="AO13" i="13" s="1"/>
  <c r="AM13" i="13"/>
  <c r="AJ13" i="13"/>
  <c r="AI13" i="13"/>
  <c r="AH13" i="13"/>
  <c r="AL13" i="13" s="1"/>
  <c r="AN12" i="13"/>
  <c r="AO12" i="13" s="1"/>
  <c r="AM12" i="13"/>
  <c r="AJ12" i="13"/>
  <c r="AI12" i="13"/>
  <c r="AH12" i="13"/>
  <c r="AL12" i="13" s="1"/>
  <c r="AO11" i="13"/>
  <c r="AN11" i="13"/>
  <c r="AM11" i="13"/>
  <c r="AL11" i="13"/>
  <c r="AJ11" i="13"/>
  <c r="AI11" i="13"/>
  <c r="AH11" i="13"/>
  <c r="AP10" i="13"/>
  <c r="AO10" i="13"/>
  <c r="AN10" i="13"/>
  <c r="AM10" i="13"/>
  <c r="AL10" i="13"/>
  <c r="AJ10" i="13"/>
  <c r="AI10" i="13"/>
  <c r="AH10" i="13"/>
  <c r="AP9" i="13"/>
  <c r="AO9" i="13"/>
  <c r="AN9" i="13"/>
  <c r="AM9" i="13"/>
  <c r="AL9" i="13"/>
  <c r="AJ9" i="13"/>
  <c r="AI9" i="13"/>
  <c r="AH9" i="13"/>
  <c r="AP8" i="13"/>
  <c r="AO8" i="13"/>
  <c r="AN8" i="13"/>
  <c r="AM8" i="13"/>
  <c r="AL8" i="13"/>
  <c r="AJ8" i="13"/>
  <c r="AI8" i="13"/>
  <c r="AH8" i="13"/>
  <c r="AP7" i="13"/>
  <c r="AO7" i="13"/>
  <c r="AN7" i="13"/>
  <c r="AM7" i="13"/>
  <c r="AL7" i="13"/>
  <c r="AJ7" i="13"/>
  <c r="AI7" i="13"/>
  <c r="AH7" i="13"/>
  <c r="AP6" i="13"/>
  <c r="AO6" i="13"/>
  <c r="AN6" i="13"/>
  <c r="AM6" i="13"/>
  <c r="AL6" i="13"/>
  <c r="AJ6" i="13"/>
  <c r="AI6" i="13"/>
  <c r="AH6" i="13"/>
  <c r="AP5" i="13"/>
  <c r="AO5" i="13"/>
  <c r="AN5" i="13"/>
  <c r="AM5" i="13"/>
  <c r="AL5" i="13"/>
  <c r="AJ5" i="13"/>
  <c r="AI5" i="13"/>
  <c r="AH5" i="13"/>
  <c r="AQ129" i="12"/>
  <c r="AP129" i="12"/>
  <c r="AO129" i="12"/>
  <c r="AN129" i="12"/>
  <c r="AM129" i="12"/>
  <c r="AK129" i="12"/>
  <c r="AJ129" i="12"/>
  <c r="AI129" i="12"/>
  <c r="AQ128" i="12"/>
  <c r="AP128" i="12"/>
  <c r="AO128" i="12"/>
  <c r="AN128" i="12"/>
  <c r="AM128" i="12"/>
  <c r="AK128" i="12"/>
  <c r="AJ128" i="12"/>
  <c r="AI128" i="12"/>
  <c r="AP127" i="12"/>
  <c r="AO127" i="12"/>
  <c r="AN127" i="12"/>
  <c r="AK127" i="12"/>
  <c r="AM127" i="12" s="1"/>
  <c r="AQ127" i="12" s="1"/>
  <c r="AJ127" i="12"/>
  <c r="AI127" i="12"/>
  <c r="AQ126" i="12"/>
  <c r="AP126" i="12"/>
  <c r="AO126" i="12"/>
  <c r="AN126" i="12"/>
  <c r="AK126" i="12"/>
  <c r="AM126" i="12" s="1"/>
  <c r="AJ126" i="12"/>
  <c r="AI126" i="12"/>
  <c r="AQ125" i="12"/>
  <c r="AP125" i="12"/>
  <c r="AO125" i="12"/>
  <c r="AN125" i="12"/>
  <c r="AK125" i="12"/>
  <c r="AM125" i="12" s="1"/>
  <c r="AJ125" i="12"/>
  <c r="AI125" i="12"/>
  <c r="AP124" i="12"/>
  <c r="AO124" i="12"/>
  <c r="AN124" i="12"/>
  <c r="AK124" i="12"/>
  <c r="AM124" i="12" s="1"/>
  <c r="AQ124" i="12" s="1"/>
  <c r="AJ124" i="12"/>
  <c r="AI124" i="12"/>
  <c r="AQ123" i="12"/>
  <c r="AP123" i="12"/>
  <c r="AO123" i="12"/>
  <c r="AN123" i="12"/>
  <c r="AK123" i="12"/>
  <c r="AM123" i="12" s="1"/>
  <c r="AJ123" i="12"/>
  <c r="AI123" i="12"/>
  <c r="AP122" i="12"/>
  <c r="AQ122" i="12" s="1"/>
  <c r="AO122" i="12"/>
  <c r="AN122" i="12"/>
  <c r="AK122" i="12"/>
  <c r="AJ122" i="12"/>
  <c r="AI122" i="12"/>
  <c r="AM122" i="12" s="1"/>
  <c r="AP121" i="12"/>
  <c r="AQ121" i="12" s="1"/>
  <c r="AO121" i="12"/>
  <c r="AN121" i="12"/>
  <c r="AK121" i="12"/>
  <c r="AJ121" i="12"/>
  <c r="AI121" i="12"/>
  <c r="AM121" i="12" s="1"/>
  <c r="AP120" i="12"/>
  <c r="AO120" i="12"/>
  <c r="AN120" i="12"/>
  <c r="AK120" i="12"/>
  <c r="AJ120" i="12"/>
  <c r="AI120" i="12"/>
  <c r="AM120" i="12" s="1"/>
  <c r="AQ120" i="12" s="1"/>
  <c r="AP119" i="12"/>
  <c r="AO119" i="12"/>
  <c r="AN119" i="12"/>
  <c r="AK119" i="12"/>
  <c r="AJ119" i="12"/>
  <c r="AI119" i="12"/>
  <c r="AM119" i="12" s="1"/>
  <c r="AQ119" i="12" s="1"/>
  <c r="AQ116" i="12"/>
  <c r="AP116" i="12"/>
  <c r="AO116" i="12"/>
  <c r="AN116" i="12"/>
  <c r="AK116" i="12"/>
  <c r="AJ116" i="12"/>
  <c r="AI116" i="12"/>
  <c r="AM116" i="12" s="1"/>
  <c r="AP115" i="12"/>
  <c r="AO115" i="12"/>
  <c r="AN115" i="12"/>
  <c r="AK115" i="12"/>
  <c r="AJ115" i="12"/>
  <c r="AI115" i="12"/>
  <c r="AM115" i="12" s="1"/>
  <c r="AQ115" i="12" s="1"/>
  <c r="AP114" i="12"/>
  <c r="AO114" i="12"/>
  <c r="AN114" i="12"/>
  <c r="AK114" i="12"/>
  <c r="AJ114" i="12"/>
  <c r="AI114" i="12"/>
  <c r="AM114" i="12" s="1"/>
  <c r="AQ114" i="12" s="1"/>
  <c r="AQ111" i="12"/>
  <c r="AO111" i="12"/>
  <c r="AP111" i="12" s="1"/>
  <c r="AN111" i="12"/>
  <c r="AK111" i="12"/>
  <c r="AJ111" i="12"/>
  <c r="AI111" i="12"/>
  <c r="AM111" i="12" s="1"/>
  <c r="AP110" i="12"/>
  <c r="AO110" i="12"/>
  <c r="AN110" i="12"/>
  <c r="AK110" i="12"/>
  <c r="AJ110" i="12"/>
  <c r="AI110" i="12"/>
  <c r="AO109" i="12"/>
  <c r="AP109" i="12" s="1"/>
  <c r="AN109" i="12"/>
  <c r="AK109" i="12"/>
  <c r="AJ109" i="12"/>
  <c r="AI109" i="12"/>
  <c r="AO108" i="12"/>
  <c r="AP108" i="12" s="1"/>
  <c r="AN108" i="12"/>
  <c r="AK108" i="12"/>
  <c r="AJ108" i="12"/>
  <c r="AI108" i="12"/>
  <c r="AM108" i="12" s="1"/>
  <c r="AQ108" i="12" s="1"/>
  <c r="AO107" i="12"/>
  <c r="AP107" i="12" s="1"/>
  <c r="AN107" i="12"/>
  <c r="AK107" i="12"/>
  <c r="AJ107" i="12"/>
  <c r="AI107" i="12"/>
  <c r="AP106" i="12"/>
  <c r="AO106" i="12"/>
  <c r="AN106" i="12"/>
  <c r="AK106" i="12"/>
  <c r="AJ106" i="12"/>
  <c r="AI106" i="12"/>
  <c r="AP105" i="12"/>
  <c r="AO105" i="12"/>
  <c r="AN105" i="12"/>
  <c r="AK105" i="12"/>
  <c r="AJ105" i="12"/>
  <c r="AI105" i="12"/>
  <c r="AM105" i="12" s="1"/>
  <c r="AQ105" i="12" s="1"/>
  <c r="AP104" i="12"/>
  <c r="AO104" i="12"/>
  <c r="AN104" i="12"/>
  <c r="AK104" i="12"/>
  <c r="AJ104" i="12"/>
  <c r="AI104" i="12"/>
  <c r="AM104" i="12" s="1"/>
  <c r="AQ104" i="12" s="1"/>
  <c r="AO103" i="12"/>
  <c r="AP103" i="12" s="1"/>
  <c r="AQ103" i="12" s="1"/>
  <c r="AN103" i="12"/>
  <c r="AK103" i="12"/>
  <c r="AJ103" i="12"/>
  <c r="AI103" i="12"/>
  <c r="AM103" i="12" s="1"/>
  <c r="AP102" i="12"/>
  <c r="AO102" i="12"/>
  <c r="AN102" i="12"/>
  <c r="AK102" i="12"/>
  <c r="AJ102" i="12"/>
  <c r="AI102" i="12"/>
  <c r="AO101" i="12"/>
  <c r="AP101" i="12" s="1"/>
  <c r="AN101" i="12"/>
  <c r="AK101" i="12"/>
  <c r="AJ101" i="12"/>
  <c r="AI101" i="12"/>
  <c r="AO100" i="12"/>
  <c r="AP100" i="12" s="1"/>
  <c r="AN100" i="12"/>
  <c r="AK100" i="12"/>
  <c r="AJ100" i="12"/>
  <c r="AI100" i="12"/>
  <c r="AM100" i="12" s="1"/>
  <c r="AO99" i="12"/>
  <c r="AP99" i="12" s="1"/>
  <c r="AN99" i="12"/>
  <c r="AK99" i="12"/>
  <c r="AJ99" i="12"/>
  <c r="AI99" i="12"/>
  <c r="AO98" i="12"/>
  <c r="AP98" i="12" s="1"/>
  <c r="AN98" i="12"/>
  <c r="AK98" i="12"/>
  <c r="AJ98" i="12"/>
  <c r="AI98" i="12"/>
  <c r="AP95" i="12"/>
  <c r="AO95" i="12"/>
  <c r="AN95" i="12"/>
  <c r="AK95" i="12"/>
  <c r="AJ95" i="12"/>
  <c r="AI95" i="12"/>
  <c r="AM95" i="12" s="1"/>
  <c r="AQ95" i="12" s="1"/>
  <c r="AP94" i="12"/>
  <c r="AO94" i="12"/>
  <c r="AN94" i="12"/>
  <c r="AK94" i="12"/>
  <c r="AJ94" i="12"/>
  <c r="AI94" i="12"/>
  <c r="AM94" i="12" s="1"/>
  <c r="AQ94" i="12" s="1"/>
  <c r="AO93" i="12"/>
  <c r="AP93" i="12" s="1"/>
  <c r="AQ93" i="12" s="1"/>
  <c r="AN93" i="12"/>
  <c r="AK93" i="12"/>
  <c r="AJ93" i="12"/>
  <c r="AI93" i="12"/>
  <c r="AM93" i="12" s="1"/>
  <c r="AP92" i="12"/>
  <c r="AO92" i="12"/>
  <c r="AN92" i="12"/>
  <c r="AK92" i="12"/>
  <c r="AJ92" i="12"/>
  <c r="AI92" i="12"/>
  <c r="AO89" i="12"/>
  <c r="AP89" i="12" s="1"/>
  <c r="AN89" i="12"/>
  <c r="AK89" i="12"/>
  <c r="AJ89" i="12"/>
  <c r="AI89" i="12"/>
  <c r="AO88" i="12"/>
  <c r="AP88" i="12" s="1"/>
  <c r="AN88" i="12"/>
  <c r="AK88" i="12"/>
  <c r="AJ88" i="12"/>
  <c r="AI88" i="12"/>
  <c r="AM88" i="12" s="1"/>
  <c r="AQ88" i="12" s="1"/>
  <c r="AO87" i="12"/>
  <c r="AP87" i="12" s="1"/>
  <c r="AN87" i="12"/>
  <c r="AK87" i="12"/>
  <c r="AJ87" i="12"/>
  <c r="AI87" i="12"/>
  <c r="AO86" i="12"/>
  <c r="AP86" i="12" s="1"/>
  <c r="AN86" i="12"/>
  <c r="AK86" i="12"/>
  <c r="AJ86" i="12"/>
  <c r="AI86" i="12"/>
  <c r="AP85" i="12"/>
  <c r="AO85" i="12"/>
  <c r="AN85" i="12"/>
  <c r="AK85" i="12"/>
  <c r="AJ85" i="12"/>
  <c r="AI85" i="12"/>
  <c r="AM85" i="12" s="1"/>
  <c r="AQ85" i="12" s="1"/>
  <c r="AP82" i="12"/>
  <c r="AO82" i="12"/>
  <c r="AN82" i="12"/>
  <c r="AK82" i="12"/>
  <c r="AJ82" i="12"/>
  <c r="AI82" i="12"/>
  <c r="AM82" i="12" s="1"/>
  <c r="AQ82" i="12" s="1"/>
  <c r="AO81" i="12"/>
  <c r="AP81" i="12" s="1"/>
  <c r="AQ81" i="12" s="1"/>
  <c r="AN81" i="12"/>
  <c r="AK81" i="12"/>
  <c r="AJ81" i="12"/>
  <c r="AI81" i="12"/>
  <c r="AM81" i="12" s="1"/>
  <c r="AP80" i="12"/>
  <c r="AO80" i="12"/>
  <c r="AN80" i="12"/>
  <c r="AK80" i="12"/>
  <c r="AJ80" i="12"/>
  <c r="AI80" i="12"/>
  <c r="AO79" i="12"/>
  <c r="AP79" i="12" s="1"/>
  <c r="AN79" i="12"/>
  <c r="AK79" i="12"/>
  <c r="AJ79" i="12"/>
  <c r="AI79" i="12"/>
  <c r="AO78" i="12"/>
  <c r="AP78" i="12" s="1"/>
  <c r="AN78" i="12"/>
  <c r="AK78" i="12"/>
  <c r="AJ78" i="12"/>
  <c r="AI78" i="12"/>
  <c r="AM78" i="12" s="1"/>
  <c r="AO77" i="12"/>
  <c r="AP77" i="12" s="1"/>
  <c r="AN77" i="12"/>
  <c r="AK77" i="12"/>
  <c r="AJ77" i="12"/>
  <c r="AI77" i="12"/>
  <c r="AO74" i="12"/>
  <c r="AP74" i="12" s="1"/>
  <c r="AN74" i="12"/>
  <c r="AK74" i="12"/>
  <c r="AJ74" i="12"/>
  <c r="AI74" i="12"/>
  <c r="AP73" i="12"/>
  <c r="AO73" i="12"/>
  <c r="AN73" i="12"/>
  <c r="AK73" i="12"/>
  <c r="AJ73" i="12"/>
  <c r="AI73" i="12"/>
  <c r="AM73" i="12" s="1"/>
  <c r="AQ73" i="12" s="1"/>
  <c r="AP72" i="12"/>
  <c r="AO72" i="12"/>
  <c r="AN72" i="12"/>
  <c r="AK72" i="12"/>
  <c r="AJ72" i="12"/>
  <c r="AI72" i="12"/>
  <c r="AM72" i="12" s="1"/>
  <c r="AQ72" i="12" s="1"/>
  <c r="AO71" i="12"/>
  <c r="AP71" i="12" s="1"/>
  <c r="AQ71" i="12" s="1"/>
  <c r="AN71" i="12"/>
  <c r="AK71" i="12"/>
  <c r="AJ71" i="12"/>
  <c r="AI71" i="12"/>
  <c r="AM71" i="12" s="1"/>
  <c r="AP70" i="12"/>
  <c r="AO70" i="12"/>
  <c r="AN70" i="12"/>
  <c r="AK70" i="12"/>
  <c r="AJ70" i="12"/>
  <c r="AI70" i="12"/>
  <c r="AO69" i="12"/>
  <c r="AP69" i="12" s="1"/>
  <c r="AN69" i="12"/>
  <c r="AK69" i="12"/>
  <c r="AJ69" i="12"/>
  <c r="AI69" i="12"/>
  <c r="AO68" i="12"/>
  <c r="AP68" i="12" s="1"/>
  <c r="AN68" i="12"/>
  <c r="AK68" i="12"/>
  <c r="AJ68" i="12"/>
  <c r="AI68" i="12"/>
  <c r="AM68" i="12" s="1"/>
  <c r="AQ68" i="12" s="1"/>
  <c r="AO67" i="12"/>
  <c r="AP67" i="12" s="1"/>
  <c r="AN67" i="12"/>
  <c r="AK67" i="12"/>
  <c r="AJ67" i="12"/>
  <c r="AI67" i="12"/>
  <c r="AP66" i="12"/>
  <c r="AO66" i="12"/>
  <c r="AN66" i="12"/>
  <c r="AK66" i="12"/>
  <c r="AJ66" i="12"/>
  <c r="AI66" i="12"/>
  <c r="AP65" i="12"/>
  <c r="AO65" i="12"/>
  <c r="AN65" i="12"/>
  <c r="AK65" i="12"/>
  <c r="AJ65" i="12"/>
  <c r="AI65" i="12"/>
  <c r="AM65" i="12" s="1"/>
  <c r="AQ65" i="12" s="1"/>
  <c r="AP64" i="12"/>
  <c r="AO64" i="12"/>
  <c r="AN64" i="12"/>
  <c r="AK64" i="12"/>
  <c r="AJ64" i="12"/>
  <c r="AI64" i="12"/>
  <c r="AM64" i="12" s="1"/>
  <c r="AQ64" i="12" s="1"/>
  <c r="AQ63" i="12"/>
  <c r="AO63" i="12"/>
  <c r="AP63" i="12" s="1"/>
  <c r="AN63" i="12"/>
  <c r="AK63" i="12"/>
  <c r="AJ63" i="12"/>
  <c r="AI63" i="12"/>
  <c r="AM63" i="12" s="1"/>
  <c r="AP62" i="12"/>
  <c r="AO62" i="12"/>
  <c r="AN62" i="12"/>
  <c r="AK62" i="12"/>
  <c r="AJ62" i="12"/>
  <c r="AI62" i="12"/>
  <c r="AO61" i="12"/>
  <c r="AP61" i="12" s="1"/>
  <c r="AN61" i="12"/>
  <c r="AK61" i="12"/>
  <c r="AJ61" i="12"/>
  <c r="AI61" i="12"/>
  <c r="AO60" i="12"/>
  <c r="AP60" i="12" s="1"/>
  <c r="AN60" i="12"/>
  <c r="AK60" i="12"/>
  <c r="AJ60" i="12"/>
  <c r="AI60" i="12"/>
  <c r="AM60" i="12" s="1"/>
  <c r="AQ60" i="12" s="1"/>
  <c r="AO59" i="12"/>
  <c r="AP59" i="12" s="1"/>
  <c r="AN59" i="12"/>
  <c r="AK59" i="12"/>
  <c r="AJ59" i="12"/>
  <c r="AI59" i="12"/>
  <c r="AP58" i="12"/>
  <c r="AO58" i="12"/>
  <c r="AN58" i="12"/>
  <c r="AK58" i="12"/>
  <c r="AJ58" i="12"/>
  <c r="AI58" i="12"/>
  <c r="AP57" i="12"/>
  <c r="AO57" i="12"/>
  <c r="AN57" i="12"/>
  <c r="AK57" i="12"/>
  <c r="AJ57" i="12"/>
  <c r="AI57" i="12"/>
  <c r="AM57" i="12" s="1"/>
  <c r="AQ57" i="12" s="1"/>
  <c r="AP56" i="12"/>
  <c r="AO56" i="12"/>
  <c r="AN56" i="12"/>
  <c r="AK56" i="12"/>
  <c r="AJ56" i="12"/>
  <c r="AI56" i="12"/>
  <c r="AM56" i="12" s="1"/>
  <c r="AQ56" i="12" s="1"/>
  <c r="AQ55" i="12"/>
  <c r="AO55" i="12"/>
  <c r="AP55" i="12" s="1"/>
  <c r="AN55" i="12"/>
  <c r="AK55" i="12"/>
  <c r="AJ55" i="12"/>
  <c r="AI55" i="12"/>
  <c r="AM55" i="12" s="1"/>
  <c r="AP54" i="12"/>
  <c r="AO54" i="12"/>
  <c r="AN54" i="12"/>
  <c r="AK54" i="12"/>
  <c r="AJ54" i="12"/>
  <c r="AI54" i="12"/>
  <c r="AO53" i="12"/>
  <c r="AP53" i="12" s="1"/>
  <c r="AN53" i="12"/>
  <c r="AK53" i="12"/>
  <c r="AJ53" i="12"/>
  <c r="AI53" i="12"/>
  <c r="AO52" i="12"/>
  <c r="AP52" i="12" s="1"/>
  <c r="AN52" i="12"/>
  <c r="AK52" i="12"/>
  <c r="AJ52" i="12"/>
  <c r="AI52" i="12"/>
  <c r="AM52" i="12" s="1"/>
  <c r="AQ52" i="12" s="1"/>
  <c r="AO51" i="12"/>
  <c r="AP51" i="12" s="1"/>
  <c r="AN51" i="12"/>
  <c r="AK51" i="12"/>
  <c r="AJ51" i="12"/>
  <c r="AI51" i="12"/>
  <c r="AO50" i="12"/>
  <c r="AP50" i="12" s="1"/>
  <c r="AN50" i="12"/>
  <c r="AK50" i="12"/>
  <c r="AJ50" i="12"/>
  <c r="AI50" i="12"/>
  <c r="AP49" i="12"/>
  <c r="AO49" i="12"/>
  <c r="AN49" i="12"/>
  <c r="AK49" i="12"/>
  <c r="AJ49" i="12"/>
  <c r="AI49" i="12"/>
  <c r="AM49" i="12" s="1"/>
  <c r="AQ49" i="12" s="1"/>
  <c r="AP48" i="12"/>
  <c r="AO48" i="12"/>
  <c r="AN48" i="12"/>
  <c r="AK48" i="12"/>
  <c r="AJ48" i="12"/>
  <c r="AI48" i="12"/>
  <c r="AM48" i="12" s="1"/>
  <c r="AQ48" i="12" s="1"/>
  <c r="AO47" i="12"/>
  <c r="AP47" i="12" s="1"/>
  <c r="AQ47" i="12" s="1"/>
  <c r="AN47" i="12"/>
  <c r="AK47" i="12"/>
  <c r="AJ47" i="12"/>
  <c r="AI47" i="12"/>
  <c r="AM47" i="12" s="1"/>
  <c r="AP46" i="12"/>
  <c r="AO46" i="12"/>
  <c r="AN46" i="12"/>
  <c r="AK46" i="12"/>
  <c r="AJ46" i="12"/>
  <c r="AI46" i="12"/>
  <c r="AO45" i="12"/>
  <c r="AP45" i="12" s="1"/>
  <c r="AN45" i="12"/>
  <c r="AK45" i="12"/>
  <c r="AJ45" i="12"/>
  <c r="AI45" i="12"/>
  <c r="AO44" i="12"/>
  <c r="AP44" i="12" s="1"/>
  <c r="AN44" i="12"/>
  <c r="AK44" i="12"/>
  <c r="AJ44" i="12"/>
  <c r="AI44" i="12"/>
  <c r="AM44" i="12" s="1"/>
  <c r="AO43" i="12"/>
  <c r="AP43" i="12" s="1"/>
  <c r="AN43" i="12"/>
  <c r="AK43" i="12"/>
  <c r="AJ43" i="12"/>
  <c r="AI43" i="12"/>
  <c r="AO42" i="12"/>
  <c r="AP42" i="12" s="1"/>
  <c r="AN42" i="12"/>
  <c r="AK42" i="12"/>
  <c r="AJ42" i="12"/>
  <c r="AI42" i="12"/>
  <c r="AP41" i="12"/>
  <c r="AO41" i="12"/>
  <c r="AN41" i="12"/>
  <c r="AK41" i="12"/>
  <c r="AJ41" i="12"/>
  <c r="AI41" i="12"/>
  <c r="AM41" i="12" s="1"/>
  <c r="AQ41" i="12" s="1"/>
  <c r="AP40" i="12"/>
  <c r="AO40" i="12"/>
  <c r="AN40" i="12"/>
  <c r="AK40" i="12"/>
  <c r="AJ40" i="12"/>
  <c r="AI40" i="12"/>
  <c r="AM40" i="12" s="1"/>
  <c r="AQ40" i="12" s="1"/>
  <c r="AQ39" i="12"/>
  <c r="AO39" i="12"/>
  <c r="AP39" i="12" s="1"/>
  <c r="AN39" i="12"/>
  <c r="AK39" i="12"/>
  <c r="AJ39" i="12"/>
  <c r="AI39" i="12"/>
  <c r="AM39" i="12" s="1"/>
  <c r="AP38" i="12"/>
  <c r="AO38" i="12"/>
  <c r="AN38" i="12"/>
  <c r="AK38" i="12"/>
  <c r="AJ38" i="12"/>
  <c r="AI38" i="12"/>
  <c r="AO35" i="12"/>
  <c r="AP35" i="12" s="1"/>
  <c r="AN35" i="12"/>
  <c r="AK35" i="12"/>
  <c r="AJ35" i="12"/>
  <c r="AI35" i="12"/>
  <c r="AO34" i="12"/>
  <c r="AP34" i="12" s="1"/>
  <c r="AN34" i="12"/>
  <c r="AK34" i="12"/>
  <c r="AJ34" i="12"/>
  <c r="AI34" i="12"/>
  <c r="AM34" i="12" s="1"/>
  <c r="AQ34" i="12" s="1"/>
  <c r="AO33" i="12"/>
  <c r="AP33" i="12" s="1"/>
  <c r="AN33" i="12"/>
  <c r="AK33" i="12"/>
  <c r="AJ33" i="12"/>
  <c r="AI33" i="12"/>
  <c r="AO32" i="12"/>
  <c r="AP32" i="12" s="1"/>
  <c r="AN32" i="12"/>
  <c r="AK32" i="12"/>
  <c r="AJ32" i="12"/>
  <c r="AI32" i="12"/>
  <c r="AP31" i="12"/>
  <c r="AO31" i="12"/>
  <c r="AN31" i="12"/>
  <c r="AK31" i="12"/>
  <c r="AJ31" i="12"/>
  <c r="AI31" i="12"/>
  <c r="AM31" i="12" s="1"/>
  <c r="AQ31" i="12" s="1"/>
  <c r="AP30" i="12"/>
  <c r="AO30" i="12"/>
  <c r="AN30" i="12"/>
  <c r="AK30" i="12"/>
  <c r="AJ30" i="12"/>
  <c r="AI30" i="12"/>
  <c r="AM30" i="12" s="1"/>
  <c r="AQ30" i="12" s="1"/>
  <c r="AO29" i="12"/>
  <c r="AP29" i="12" s="1"/>
  <c r="AQ29" i="12" s="1"/>
  <c r="AN29" i="12"/>
  <c r="AK29" i="12"/>
  <c r="AJ29" i="12"/>
  <c r="AI29" i="12"/>
  <c r="AM29" i="12" s="1"/>
  <c r="AP28" i="12"/>
  <c r="AO28" i="12"/>
  <c r="AN28" i="12"/>
  <c r="AK28" i="12"/>
  <c r="AJ28" i="12"/>
  <c r="AI28" i="12"/>
  <c r="AO27" i="12"/>
  <c r="AP27" i="12" s="1"/>
  <c r="AN27" i="12"/>
  <c r="AK27" i="12"/>
  <c r="AJ27" i="12"/>
  <c r="AI27" i="12"/>
  <c r="AO26" i="12"/>
  <c r="AP26" i="12" s="1"/>
  <c r="AN26" i="12"/>
  <c r="AK26" i="12"/>
  <c r="AJ26" i="12"/>
  <c r="AI26" i="12"/>
  <c r="AM26" i="12" s="1"/>
  <c r="AO25" i="12"/>
  <c r="AP25" i="12" s="1"/>
  <c r="AN25" i="12"/>
  <c r="AK25" i="12"/>
  <c r="AJ25" i="12"/>
  <c r="AI25" i="12"/>
  <c r="AP24" i="12"/>
  <c r="AO24" i="12"/>
  <c r="AN24" i="12"/>
  <c r="AK24" i="12"/>
  <c r="AJ24" i="12"/>
  <c r="AI24" i="12"/>
  <c r="AP23" i="12"/>
  <c r="AO23" i="12"/>
  <c r="AN23" i="12"/>
  <c r="AK23" i="12"/>
  <c r="AJ23" i="12"/>
  <c r="AI23" i="12"/>
  <c r="AM23" i="12" s="1"/>
  <c r="AQ23" i="12" s="1"/>
  <c r="AP22" i="12"/>
  <c r="AO22" i="12"/>
  <c r="AN22" i="12"/>
  <c r="AK22" i="12"/>
  <c r="AJ22" i="12"/>
  <c r="AI22" i="12"/>
  <c r="AM22" i="12" s="1"/>
  <c r="AQ22" i="12" s="1"/>
  <c r="AO19" i="12"/>
  <c r="AP19" i="12" s="1"/>
  <c r="AQ19" i="12" s="1"/>
  <c r="AN19" i="12"/>
  <c r="AK19" i="12"/>
  <c r="AJ19" i="12"/>
  <c r="AI19" i="12"/>
  <c r="AM19" i="12" s="1"/>
  <c r="AP18" i="12"/>
  <c r="AO18" i="12"/>
  <c r="AN18" i="12"/>
  <c r="AK18" i="12"/>
  <c r="AJ18" i="12"/>
  <c r="AI18" i="12"/>
  <c r="AO17" i="12"/>
  <c r="AP17" i="12" s="1"/>
  <c r="AN17" i="12"/>
  <c r="AK17" i="12"/>
  <c r="AJ17" i="12"/>
  <c r="AI17" i="12"/>
  <c r="AO16" i="12"/>
  <c r="AP16" i="12" s="1"/>
  <c r="AN16" i="12"/>
  <c r="AK16" i="12"/>
  <c r="AJ16" i="12"/>
  <c r="AI16" i="12"/>
  <c r="AM16" i="12" s="1"/>
  <c r="AO15" i="12"/>
  <c r="AP15" i="12" s="1"/>
  <c r="AN15" i="12"/>
  <c r="AK15" i="12"/>
  <c r="AJ15" i="12"/>
  <c r="AI15" i="12"/>
  <c r="AP14" i="12"/>
  <c r="AO14" i="12"/>
  <c r="AN14" i="12"/>
  <c r="AK14" i="12"/>
  <c r="AJ14" i="12"/>
  <c r="AI14" i="12"/>
  <c r="AP13" i="12"/>
  <c r="AO13" i="12"/>
  <c r="AN13" i="12"/>
  <c r="AK13" i="12"/>
  <c r="AJ13" i="12"/>
  <c r="AI13" i="12"/>
  <c r="AM13" i="12" s="1"/>
  <c r="AQ13" i="12" s="1"/>
  <c r="AP12" i="12"/>
  <c r="AO12" i="12"/>
  <c r="AN12" i="12"/>
  <c r="AK12" i="12"/>
  <c r="AJ12" i="12"/>
  <c r="AI12" i="12"/>
  <c r="AM12" i="12" s="1"/>
  <c r="AQ12" i="12" s="1"/>
  <c r="AO11" i="12"/>
  <c r="AP11" i="12" s="1"/>
  <c r="AQ11" i="12" s="1"/>
  <c r="AN11" i="12"/>
  <c r="AK11" i="12"/>
  <c r="AJ11" i="12"/>
  <c r="AI11" i="12"/>
  <c r="AM11" i="12" s="1"/>
  <c r="AP10" i="12"/>
  <c r="AO10" i="12"/>
  <c r="AN10" i="12"/>
  <c r="AK10" i="12"/>
  <c r="AJ10" i="12"/>
  <c r="AI10" i="12"/>
  <c r="AO9" i="12"/>
  <c r="AP9" i="12" s="1"/>
  <c r="AN9" i="12"/>
  <c r="AK9" i="12"/>
  <c r="AJ9" i="12"/>
  <c r="AI9" i="12"/>
  <c r="AO8" i="12"/>
  <c r="AP8" i="12" s="1"/>
  <c r="AN8" i="12"/>
  <c r="AK8" i="12"/>
  <c r="AJ8" i="12"/>
  <c r="AI8" i="12"/>
  <c r="AM8" i="12" s="1"/>
  <c r="AQ8" i="12" s="1"/>
  <c r="AO7" i="12"/>
  <c r="AP7" i="12" s="1"/>
  <c r="AN7" i="12"/>
  <c r="AK7" i="12"/>
  <c r="AJ7" i="12"/>
  <c r="AI7" i="12"/>
  <c r="AP6" i="12"/>
  <c r="AO6" i="12"/>
  <c r="AN6" i="12"/>
  <c r="AK6" i="12"/>
  <c r="AJ6" i="12"/>
  <c r="AI6" i="12"/>
  <c r="AP5" i="12"/>
  <c r="AO5" i="12"/>
  <c r="AN5" i="12"/>
  <c r="AK5" i="12"/>
  <c r="AJ5" i="12"/>
  <c r="AI5" i="12"/>
  <c r="AM5" i="12" s="1"/>
  <c r="AQ5" i="12" s="1"/>
  <c r="AO129" i="11"/>
  <c r="AN129" i="11"/>
  <c r="AM129" i="11"/>
  <c r="AJ129" i="11"/>
  <c r="AI129" i="11"/>
  <c r="AH129" i="11"/>
  <c r="AL129" i="11" s="1"/>
  <c r="AP129" i="11" s="1"/>
  <c r="AP128" i="11"/>
  <c r="AN128" i="11"/>
  <c r="AO128" i="11" s="1"/>
  <c r="AM128" i="11"/>
  <c r="AJ128" i="11"/>
  <c r="AI128" i="11"/>
  <c r="AH128" i="11"/>
  <c r="AL128" i="11" s="1"/>
  <c r="AO127" i="11"/>
  <c r="AN127" i="11"/>
  <c r="AM127" i="11"/>
  <c r="AJ127" i="11"/>
  <c r="AI127" i="11"/>
  <c r="AH127" i="11"/>
  <c r="AN126" i="11"/>
  <c r="AO126" i="11" s="1"/>
  <c r="AM126" i="11"/>
  <c r="AJ126" i="11"/>
  <c r="AI126" i="11"/>
  <c r="AH126" i="11"/>
  <c r="AN125" i="11"/>
  <c r="AO125" i="11" s="1"/>
  <c r="AM125" i="11"/>
  <c r="AJ125" i="11"/>
  <c r="AI125" i="11"/>
  <c r="AH125" i="11"/>
  <c r="AL125" i="11" s="1"/>
  <c r="AP125" i="11" s="1"/>
  <c r="AN124" i="11"/>
  <c r="AO124" i="11" s="1"/>
  <c r="AM124" i="11"/>
  <c r="AJ124" i="11"/>
  <c r="AI124" i="11"/>
  <c r="AH124" i="11"/>
  <c r="AO123" i="11"/>
  <c r="AN123" i="11"/>
  <c r="AM123" i="11"/>
  <c r="AJ123" i="11"/>
  <c r="AI123" i="11"/>
  <c r="AH123" i="11"/>
  <c r="AO122" i="11"/>
  <c r="AN122" i="11"/>
  <c r="AM122" i="11"/>
  <c r="AJ122" i="11"/>
  <c r="AI122" i="11"/>
  <c r="AH122" i="11"/>
  <c r="AL122" i="11" s="1"/>
  <c r="AP122" i="11" s="1"/>
  <c r="AO121" i="11"/>
  <c r="AN121" i="11"/>
  <c r="AM121" i="11"/>
  <c r="AJ121" i="11"/>
  <c r="AI121" i="11"/>
  <c r="AH121" i="11"/>
  <c r="AL121" i="11" s="1"/>
  <c r="AP121" i="11" s="1"/>
  <c r="AP120" i="11"/>
  <c r="AN120" i="11"/>
  <c r="AO120" i="11" s="1"/>
  <c r="AM120" i="11"/>
  <c r="AJ120" i="11"/>
  <c r="AI120" i="11"/>
  <c r="AH120" i="11"/>
  <c r="AL120" i="11" s="1"/>
  <c r="AO119" i="11"/>
  <c r="AN119" i="11"/>
  <c r="AM119" i="11"/>
  <c r="AJ119" i="11"/>
  <c r="AI119" i="11"/>
  <c r="AH119" i="11"/>
  <c r="AN116" i="11"/>
  <c r="AO116" i="11" s="1"/>
  <c r="AM116" i="11"/>
  <c r="AJ116" i="11"/>
  <c r="AI116" i="11"/>
  <c r="AH116" i="11"/>
  <c r="AN115" i="11"/>
  <c r="AO115" i="11" s="1"/>
  <c r="AM115" i="11"/>
  <c r="AJ115" i="11"/>
  <c r="AI115" i="11"/>
  <c r="AH115" i="11"/>
  <c r="AL115" i="11" s="1"/>
  <c r="AP115" i="11" s="1"/>
  <c r="AN114" i="11"/>
  <c r="AO114" i="11" s="1"/>
  <c r="AM114" i="11"/>
  <c r="AJ114" i="11"/>
  <c r="AI114" i="11"/>
  <c r="AH114" i="11"/>
  <c r="AO111" i="11"/>
  <c r="AN111" i="11"/>
  <c r="AM111" i="11"/>
  <c r="AJ111" i="11"/>
  <c r="AI111" i="11"/>
  <c r="AH111" i="11"/>
  <c r="AO110" i="11"/>
  <c r="AN110" i="11"/>
  <c r="AM110" i="11"/>
  <c r="AJ110" i="11"/>
  <c r="AI110" i="11"/>
  <c r="AH110" i="11"/>
  <c r="AL110" i="11" s="1"/>
  <c r="AP110" i="11" s="1"/>
  <c r="AO109" i="11"/>
  <c r="AN109" i="11"/>
  <c r="AM109" i="11"/>
  <c r="AJ109" i="11"/>
  <c r="AI109" i="11"/>
  <c r="AH109" i="11"/>
  <c r="AL109" i="11" s="1"/>
  <c r="AP109" i="11" s="1"/>
  <c r="AP108" i="11"/>
  <c r="AN108" i="11"/>
  <c r="AO108" i="11" s="1"/>
  <c r="AM108" i="11"/>
  <c r="AJ108" i="11"/>
  <c r="AI108" i="11"/>
  <c r="AH108" i="11"/>
  <c r="AL108" i="11" s="1"/>
  <c r="AO107" i="11"/>
  <c r="AN107" i="11"/>
  <c r="AM107" i="11"/>
  <c r="AJ107" i="11"/>
  <c r="AI107" i="11"/>
  <c r="AH107" i="11"/>
  <c r="AN106" i="11"/>
  <c r="AO106" i="11" s="1"/>
  <c r="AM106" i="11"/>
  <c r="AJ106" i="11"/>
  <c r="AI106" i="11"/>
  <c r="AH106" i="11"/>
  <c r="AN105" i="11"/>
  <c r="AO105" i="11" s="1"/>
  <c r="AM105" i="11"/>
  <c r="AJ105" i="11"/>
  <c r="AI105" i="11"/>
  <c r="AH105" i="11"/>
  <c r="AL105" i="11" s="1"/>
  <c r="AP105" i="11" s="1"/>
  <c r="AN104" i="11"/>
  <c r="AO104" i="11" s="1"/>
  <c r="AM104" i="11"/>
  <c r="AJ104" i="11"/>
  <c r="AI104" i="11"/>
  <c r="AH104" i="11"/>
  <c r="AN103" i="11"/>
  <c r="AO103" i="11" s="1"/>
  <c r="AM103" i="11"/>
  <c r="AJ103" i="11"/>
  <c r="AI103" i="11"/>
  <c r="AH103" i="11"/>
  <c r="AO102" i="11"/>
  <c r="AN102" i="11"/>
  <c r="AM102" i="11"/>
  <c r="AJ102" i="11"/>
  <c r="AI102" i="11"/>
  <c r="AH102" i="11"/>
  <c r="AL102" i="11" s="1"/>
  <c r="AP102" i="11" s="1"/>
  <c r="AO101" i="11"/>
  <c r="AN101" i="11"/>
  <c r="AM101" i="11"/>
  <c r="AJ101" i="11"/>
  <c r="AI101" i="11"/>
  <c r="AH101" i="11"/>
  <c r="AL101" i="11" s="1"/>
  <c r="AP101" i="11" s="1"/>
  <c r="AN100" i="11"/>
  <c r="AO100" i="11" s="1"/>
  <c r="AP100" i="11" s="1"/>
  <c r="AM100" i="11"/>
  <c r="AJ100" i="11"/>
  <c r="AI100" i="11"/>
  <c r="AH100" i="11"/>
  <c r="AL100" i="11" s="1"/>
  <c r="AO99" i="11"/>
  <c r="AN99" i="11"/>
  <c r="AM99" i="11"/>
  <c r="AJ99" i="11"/>
  <c r="AI99" i="11"/>
  <c r="AH99" i="11"/>
  <c r="AN98" i="11"/>
  <c r="AO98" i="11" s="1"/>
  <c r="AM98" i="11"/>
  <c r="AJ98" i="11"/>
  <c r="AI98" i="11"/>
  <c r="AH98" i="11"/>
  <c r="AN95" i="11"/>
  <c r="AO95" i="11" s="1"/>
  <c r="AM95" i="11"/>
  <c r="AJ95" i="11"/>
  <c r="AI95" i="11"/>
  <c r="AH95" i="11"/>
  <c r="AL95" i="11" s="1"/>
  <c r="AN94" i="11"/>
  <c r="AO94" i="11" s="1"/>
  <c r="AM94" i="11"/>
  <c r="AJ94" i="11"/>
  <c r="AI94" i="11"/>
  <c r="AH94" i="11"/>
  <c r="AN93" i="11"/>
  <c r="AO93" i="11" s="1"/>
  <c r="AM93" i="11"/>
  <c r="AJ93" i="11"/>
  <c r="AI93" i="11"/>
  <c r="AH93" i="11"/>
  <c r="AO92" i="11"/>
  <c r="AN92" i="11"/>
  <c r="AM92" i="11"/>
  <c r="AJ92" i="11"/>
  <c r="AI92" i="11"/>
  <c r="AH92" i="11"/>
  <c r="AL92" i="11" s="1"/>
  <c r="AP92" i="11" s="1"/>
  <c r="AO89" i="11"/>
  <c r="AN89" i="11"/>
  <c r="AM89" i="11"/>
  <c r="AJ89" i="11"/>
  <c r="AI89" i="11"/>
  <c r="AH89" i="11"/>
  <c r="AL89" i="11" s="1"/>
  <c r="AP89" i="11" s="1"/>
  <c r="AP88" i="11"/>
  <c r="AN88" i="11"/>
  <c r="AO88" i="11" s="1"/>
  <c r="AM88" i="11"/>
  <c r="AJ88" i="11"/>
  <c r="AI88" i="11"/>
  <c r="AH88" i="11"/>
  <c r="AL88" i="11" s="1"/>
  <c r="AO87" i="11"/>
  <c r="AN87" i="11"/>
  <c r="AM87" i="11"/>
  <c r="AJ87" i="11"/>
  <c r="AI87" i="11"/>
  <c r="AH87" i="11"/>
  <c r="AN86" i="11"/>
  <c r="AO86" i="11" s="1"/>
  <c r="AM86" i="11"/>
  <c r="AJ86" i="11"/>
  <c r="AI86" i="11"/>
  <c r="AH86" i="11"/>
  <c r="AN85" i="11"/>
  <c r="AO85" i="11" s="1"/>
  <c r="AM85" i="11"/>
  <c r="AJ85" i="11"/>
  <c r="AI85" i="11"/>
  <c r="AH85" i="11"/>
  <c r="AL85" i="11" s="1"/>
  <c r="AP85" i="11" s="1"/>
  <c r="AN82" i="11"/>
  <c r="AO82" i="11" s="1"/>
  <c r="AM82" i="11"/>
  <c r="AJ82" i="11"/>
  <c r="AI82" i="11"/>
  <c r="AH82" i="11"/>
  <c r="AN81" i="11"/>
  <c r="AO81" i="11" s="1"/>
  <c r="AM81" i="11"/>
  <c r="AJ81" i="11"/>
  <c r="AI81" i="11"/>
  <c r="AH81" i="11"/>
  <c r="AO80" i="11"/>
  <c r="AN80" i="11"/>
  <c r="AM80" i="11"/>
  <c r="AJ80" i="11"/>
  <c r="AI80" i="11"/>
  <c r="AH80" i="11"/>
  <c r="AL80" i="11" s="1"/>
  <c r="AP80" i="11" s="1"/>
  <c r="AO79" i="11"/>
  <c r="AN79" i="11"/>
  <c r="AM79" i="11"/>
  <c r="AJ79" i="11"/>
  <c r="AI79" i="11"/>
  <c r="AH79" i="11"/>
  <c r="AL79" i="11" s="1"/>
  <c r="AP79" i="11" s="1"/>
  <c r="AN78" i="11"/>
  <c r="AO78" i="11" s="1"/>
  <c r="AP78" i="11" s="1"/>
  <c r="AM78" i="11"/>
  <c r="AJ78" i="11"/>
  <c r="AI78" i="11"/>
  <c r="AH78" i="11"/>
  <c r="AL78" i="11" s="1"/>
  <c r="AO77" i="11"/>
  <c r="AN77" i="11"/>
  <c r="AM77" i="11"/>
  <c r="AJ77" i="11"/>
  <c r="AI77" i="11"/>
  <c r="AH77" i="11"/>
  <c r="AN74" i="11"/>
  <c r="AO74" i="11" s="1"/>
  <c r="AM74" i="11"/>
  <c r="AJ74" i="11"/>
  <c r="AI74" i="11"/>
  <c r="AH74" i="11"/>
  <c r="AN73" i="11"/>
  <c r="AO73" i="11" s="1"/>
  <c r="AM73" i="11"/>
  <c r="AJ73" i="11"/>
  <c r="AI73" i="11"/>
  <c r="AH73" i="11"/>
  <c r="AL73" i="11" s="1"/>
  <c r="AN72" i="11"/>
  <c r="AO72" i="11" s="1"/>
  <c r="AM72" i="11"/>
  <c r="AJ72" i="11"/>
  <c r="AI72" i="11"/>
  <c r="AH72" i="11"/>
  <c r="AL72" i="11" s="1"/>
  <c r="AP72" i="11" s="1"/>
  <c r="AN71" i="11"/>
  <c r="AO71" i="11" s="1"/>
  <c r="AM71" i="11"/>
  <c r="AJ71" i="11"/>
  <c r="AI71" i="11"/>
  <c r="AH71" i="11"/>
  <c r="AO70" i="11"/>
  <c r="AN70" i="11"/>
  <c r="AM70" i="11"/>
  <c r="AJ70" i="11"/>
  <c r="AI70" i="11"/>
  <c r="AH70" i="11"/>
  <c r="AL70" i="11" s="1"/>
  <c r="AP70" i="11" s="1"/>
  <c r="AO69" i="11"/>
  <c r="AN69" i="11"/>
  <c r="AM69" i="11"/>
  <c r="AJ69" i="11"/>
  <c r="AI69" i="11"/>
  <c r="AH69" i="11"/>
  <c r="AL69" i="11" s="1"/>
  <c r="AP69" i="11" s="1"/>
  <c r="AN68" i="11"/>
  <c r="AO68" i="11" s="1"/>
  <c r="AP68" i="11" s="1"/>
  <c r="AM68" i="11"/>
  <c r="AJ68" i="11"/>
  <c r="AI68" i="11"/>
  <c r="AH68" i="11"/>
  <c r="AL68" i="11" s="1"/>
  <c r="AO67" i="11"/>
  <c r="AN67" i="11"/>
  <c r="AM67" i="11"/>
  <c r="AJ67" i="11"/>
  <c r="AI67" i="11"/>
  <c r="AH67" i="11"/>
  <c r="AN66" i="11"/>
  <c r="AO66" i="11" s="1"/>
  <c r="AM66" i="11"/>
  <c r="AJ66" i="11"/>
  <c r="AI66" i="11"/>
  <c r="AH66" i="11"/>
  <c r="AN65" i="11"/>
  <c r="AO65" i="11" s="1"/>
  <c r="AM65" i="11"/>
  <c r="AJ65" i="11"/>
  <c r="AI65" i="11"/>
  <c r="AH65" i="11"/>
  <c r="AL65" i="11" s="1"/>
  <c r="AP65" i="11" s="1"/>
  <c r="AN64" i="11"/>
  <c r="AO64" i="11" s="1"/>
  <c r="AM64" i="11"/>
  <c r="AJ64" i="11"/>
  <c r="AI64" i="11"/>
  <c r="AH64" i="11"/>
  <c r="AL64" i="11" s="1"/>
  <c r="AP64" i="11" s="1"/>
  <c r="AN63" i="11"/>
  <c r="AO63" i="11" s="1"/>
  <c r="AM63" i="11"/>
  <c r="AJ63" i="11"/>
  <c r="AI63" i="11"/>
  <c r="AH63" i="11"/>
  <c r="AL63" i="11" s="1"/>
  <c r="AP63" i="11" s="1"/>
  <c r="AN62" i="11"/>
  <c r="AO62" i="11" s="1"/>
  <c r="AM62" i="11"/>
  <c r="AJ62" i="11"/>
  <c r="AI62" i="11"/>
  <c r="AH62" i="11"/>
  <c r="AN61" i="11"/>
  <c r="AO61" i="11" s="1"/>
  <c r="AM61" i="11"/>
  <c r="AJ61" i="11"/>
  <c r="AI61" i="11"/>
  <c r="AH61" i="11"/>
  <c r="AN60" i="11"/>
  <c r="AO60" i="11" s="1"/>
  <c r="AM60" i="11"/>
  <c r="AJ60" i="11"/>
  <c r="AI60" i="11"/>
  <c r="AH60" i="11"/>
  <c r="AN59" i="11"/>
  <c r="AO59" i="11" s="1"/>
  <c r="AM59" i="11"/>
  <c r="AJ59" i="11"/>
  <c r="AI59" i="11"/>
  <c r="AH59" i="11"/>
  <c r="AN58" i="11"/>
  <c r="AO58" i="11" s="1"/>
  <c r="AM58" i="11"/>
  <c r="AJ58" i="11"/>
  <c r="AI58" i="11"/>
  <c r="AH58" i="11"/>
  <c r="AL58" i="11" s="1"/>
  <c r="AN57" i="11"/>
  <c r="AO57" i="11" s="1"/>
  <c r="AM57" i="11"/>
  <c r="AJ57" i="11"/>
  <c r="AI57" i="11"/>
  <c r="AH57" i="11"/>
  <c r="AL57" i="11" s="1"/>
  <c r="AP57" i="11" s="1"/>
  <c r="AN56" i="11"/>
  <c r="AO56" i="11" s="1"/>
  <c r="AM56" i="11"/>
  <c r="AJ56" i="11"/>
  <c r="AI56" i="11"/>
  <c r="AH56" i="11"/>
  <c r="AL56" i="11" s="1"/>
  <c r="AP56" i="11" s="1"/>
  <c r="AN55" i="11"/>
  <c r="AO55" i="11" s="1"/>
  <c r="AM55" i="11"/>
  <c r="AJ55" i="11"/>
  <c r="AI55" i="11"/>
  <c r="AH55" i="11"/>
  <c r="AL55" i="11" s="1"/>
  <c r="AP55" i="11" s="1"/>
  <c r="AN54" i="11"/>
  <c r="AO54" i="11" s="1"/>
  <c r="AM54" i="11"/>
  <c r="AJ54" i="11"/>
  <c r="AI54" i="11"/>
  <c r="AH54" i="11"/>
  <c r="AN53" i="11"/>
  <c r="AO53" i="11" s="1"/>
  <c r="AM53" i="11"/>
  <c r="AJ53" i="11"/>
  <c r="AI53" i="11"/>
  <c r="AH53" i="11"/>
  <c r="AN52" i="11"/>
  <c r="AO52" i="11" s="1"/>
  <c r="AM52" i="11"/>
  <c r="AJ52" i="11"/>
  <c r="AI52" i="11"/>
  <c r="AH52" i="11"/>
  <c r="AN51" i="11"/>
  <c r="AO51" i="11" s="1"/>
  <c r="AM51" i="11"/>
  <c r="AJ51" i="11"/>
  <c r="AI51" i="11"/>
  <c r="AH51" i="11"/>
  <c r="AN50" i="11"/>
  <c r="AO50" i="11" s="1"/>
  <c r="AM50" i="11"/>
  <c r="AJ50" i="11"/>
  <c r="AI50" i="11"/>
  <c r="AH50" i="11"/>
  <c r="AL50" i="11" s="1"/>
  <c r="AN49" i="11"/>
  <c r="AO49" i="11" s="1"/>
  <c r="AM49" i="11"/>
  <c r="AJ49" i="11"/>
  <c r="AI49" i="11"/>
  <c r="AH49" i="11"/>
  <c r="AL49" i="11" s="1"/>
  <c r="AP49" i="11" s="1"/>
  <c r="AN48" i="11"/>
  <c r="AO48" i="11" s="1"/>
  <c r="AM48" i="11"/>
  <c r="AJ48" i="11"/>
  <c r="AI48" i="11"/>
  <c r="AH48" i="11"/>
  <c r="AL48" i="11" s="1"/>
  <c r="AP48" i="11" s="1"/>
  <c r="AN47" i="11"/>
  <c r="AO47" i="11" s="1"/>
  <c r="AM47" i="11"/>
  <c r="AJ47" i="11"/>
  <c r="AI47" i="11"/>
  <c r="AH47" i="11"/>
  <c r="AL47" i="11" s="1"/>
  <c r="AP47" i="11" s="1"/>
  <c r="AN46" i="11"/>
  <c r="AO46" i="11" s="1"/>
  <c r="AM46" i="11"/>
  <c r="AJ46" i="11"/>
  <c r="AI46" i="11"/>
  <c r="AH46" i="11"/>
  <c r="AN45" i="11"/>
  <c r="AO45" i="11" s="1"/>
  <c r="AM45" i="11"/>
  <c r="AJ45" i="11"/>
  <c r="AI45" i="11"/>
  <c r="AH45" i="11"/>
  <c r="AN44" i="11"/>
  <c r="AO44" i="11" s="1"/>
  <c r="AM44" i="11"/>
  <c r="AJ44" i="11"/>
  <c r="AI44" i="11"/>
  <c r="AH44" i="11"/>
  <c r="AN43" i="11"/>
  <c r="AO43" i="11" s="1"/>
  <c r="AM43" i="11"/>
  <c r="AJ43" i="11"/>
  <c r="AI43" i="11"/>
  <c r="AH43" i="11"/>
  <c r="AN42" i="11"/>
  <c r="AO42" i="11" s="1"/>
  <c r="AM42" i="11"/>
  <c r="AJ42" i="11"/>
  <c r="AI42" i="11"/>
  <c r="AH42" i="11"/>
  <c r="AL42" i="11" s="1"/>
  <c r="AN41" i="11"/>
  <c r="AO41" i="11" s="1"/>
  <c r="AM41" i="11"/>
  <c r="AJ41" i="11"/>
  <c r="AI41" i="11"/>
  <c r="AH41" i="11"/>
  <c r="AL41" i="11" s="1"/>
  <c r="AP41" i="11" s="1"/>
  <c r="AN40" i="11"/>
  <c r="AO40" i="11" s="1"/>
  <c r="AM40" i="11"/>
  <c r="AJ40" i="11"/>
  <c r="AI40" i="11"/>
  <c r="AH40" i="11"/>
  <c r="AL40" i="11" s="1"/>
  <c r="AP40" i="11" s="1"/>
  <c r="AN39" i="11"/>
  <c r="AO39" i="11" s="1"/>
  <c r="AM39" i="11"/>
  <c r="AJ39" i="11"/>
  <c r="AI39" i="11"/>
  <c r="AH39" i="11"/>
  <c r="AL39" i="11" s="1"/>
  <c r="AP39" i="11" s="1"/>
  <c r="AN38" i="11"/>
  <c r="AO38" i="11" s="1"/>
  <c r="AM38" i="11"/>
  <c r="AJ38" i="11"/>
  <c r="AI38" i="11"/>
  <c r="AH38" i="11"/>
  <c r="AL38" i="11" s="1"/>
  <c r="AP38" i="11" s="1"/>
  <c r="AN35" i="11"/>
  <c r="AO35" i="11" s="1"/>
  <c r="AM35" i="11"/>
  <c r="AJ35" i="11"/>
  <c r="AI35" i="11"/>
  <c r="AH35" i="11"/>
  <c r="AN34" i="11"/>
  <c r="AO34" i="11" s="1"/>
  <c r="AM34" i="11"/>
  <c r="AJ34" i="11"/>
  <c r="AI34" i="11"/>
  <c r="AH34" i="11"/>
  <c r="AN33" i="11"/>
  <c r="AO33" i="11" s="1"/>
  <c r="AM33" i="11"/>
  <c r="AJ33" i="11"/>
  <c r="AI33" i="11"/>
  <c r="AH33" i="11"/>
  <c r="AN32" i="11"/>
  <c r="AO32" i="11" s="1"/>
  <c r="AM32" i="11"/>
  <c r="AJ32" i="11"/>
  <c r="AI32" i="11"/>
  <c r="AH32" i="11"/>
  <c r="AL32" i="11" s="1"/>
  <c r="AN31" i="11"/>
  <c r="AO31" i="11" s="1"/>
  <c r="AM31" i="11"/>
  <c r="AJ31" i="11"/>
  <c r="AI31" i="11"/>
  <c r="AH31" i="11"/>
  <c r="AL31" i="11" s="1"/>
  <c r="AP31" i="11" s="1"/>
  <c r="AN30" i="11"/>
  <c r="AO30" i="11" s="1"/>
  <c r="AM30" i="11"/>
  <c r="AJ30" i="11"/>
  <c r="AI30" i="11"/>
  <c r="AH30" i="11"/>
  <c r="AL30" i="11" s="1"/>
  <c r="AP30" i="11" s="1"/>
  <c r="AN29" i="11"/>
  <c r="AO29" i="11" s="1"/>
  <c r="AM29" i="11"/>
  <c r="AJ29" i="11"/>
  <c r="AI29" i="11"/>
  <c r="AH29" i="11"/>
  <c r="AL29" i="11" s="1"/>
  <c r="AP29" i="11" s="1"/>
  <c r="AN28" i="11"/>
  <c r="AO28" i="11" s="1"/>
  <c r="AM28" i="11"/>
  <c r="AJ28" i="11"/>
  <c r="AI28" i="11"/>
  <c r="AH28" i="11"/>
  <c r="AL28" i="11" s="1"/>
  <c r="AP28" i="11" s="1"/>
  <c r="AN27" i="11"/>
  <c r="AO27" i="11" s="1"/>
  <c r="AM27" i="11"/>
  <c r="AJ27" i="11"/>
  <c r="AI27" i="11"/>
  <c r="AH27" i="11"/>
  <c r="AN26" i="11"/>
  <c r="AO26" i="11" s="1"/>
  <c r="AM26" i="11"/>
  <c r="AJ26" i="11"/>
  <c r="AI26" i="11"/>
  <c r="AH26" i="11"/>
  <c r="AN25" i="11"/>
  <c r="AO25" i="11" s="1"/>
  <c r="AM25" i="11"/>
  <c r="AJ25" i="11"/>
  <c r="AI25" i="11"/>
  <c r="AH25" i="11"/>
  <c r="AN24" i="11"/>
  <c r="AO24" i="11" s="1"/>
  <c r="AM24" i="11"/>
  <c r="AJ24" i="11"/>
  <c r="AI24" i="11"/>
  <c r="AH24" i="11"/>
  <c r="AL24" i="11" s="1"/>
  <c r="AN23" i="11"/>
  <c r="AO23" i="11" s="1"/>
  <c r="AM23" i="11"/>
  <c r="AJ23" i="11"/>
  <c r="AI23" i="11"/>
  <c r="AH23" i="11"/>
  <c r="AL23" i="11" s="1"/>
  <c r="AP23" i="11" s="1"/>
  <c r="AN22" i="11"/>
  <c r="AO22" i="11" s="1"/>
  <c r="AM22" i="11"/>
  <c r="AJ22" i="11"/>
  <c r="AI22" i="11"/>
  <c r="AH22" i="11"/>
  <c r="AL22" i="11" s="1"/>
  <c r="AP22" i="11" s="1"/>
  <c r="AN19" i="11"/>
  <c r="AO19" i="11" s="1"/>
  <c r="AM19" i="11"/>
  <c r="AJ19" i="11"/>
  <c r="AI19" i="11"/>
  <c r="AH19" i="11"/>
  <c r="AL19" i="11" s="1"/>
  <c r="AP19" i="11" s="1"/>
  <c r="AN18" i="11"/>
  <c r="AO18" i="11" s="1"/>
  <c r="AM18" i="11"/>
  <c r="AJ18" i="11"/>
  <c r="AI18" i="11"/>
  <c r="AH18" i="11"/>
  <c r="AL18" i="11" s="1"/>
  <c r="AP18" i="11" s="1"/>
  <c r="AN17" i="11"/>
  <c r="AO17" i="11" s="1"/>
  <c r="AM17" i="11"/>
  <c r="AJ17" i="11"/>
  <c r="AI17" i="11"/>
  <c r="AH17" i="11"/>
  <c r="AN16" i="11"/>
  <c r="AO16" i="11" s="1"/>
  <c r="AM16" i="11"/>
  <c r="AJ16" i="11"/>
  <c r="AI16" i="11"/>
  <c r="AH16" i="11"/>
  <c r="AN15" i="11"/>
  <c r="AO15" i="11" s="1"/>
  <c r="AM15" i="11"/>
  <c r="AJ15" i="11"/>
  <c r="AI15" i="11"/>
  <c r="AH15" i="11"/>
  <c r="AN14" i="11"/>
  <c r="AO14" i="11" s="1"/>
  <c r="AM14" i="11"/>
  <c r="AJ14" i="11"/>
  <c r="AI14" i="11"/>
  <c r="AH14" i="11"/>
  <c r="AL14" i="11" s="1"/>
  <c r="AN13" i="11"/>
  <c r="AO13" i="11" s="1"/>
  <c r="AM13" i="11"/>
  <c r="AJ13" i="11"/>
  <c r="AI13" i="11"/>
  <c r="AH13" i="11"/>
  <c r="AL13" i="11" s="1"/>
  <c r="AP13" i="11" s="1"/>
  <c r="AN12" i="11"/>
  <c r="AO12" i="11" s="1"/>
  <c r="AM12" i="11"/>
  <c r="AJ12" i="11"/>
  <c r="AI12" i="11"/>
  <c r="AH12" i="11"/>
  <c r="AL12" i="11" s="1"/>
  <c r="AP12" i="11" s="1"/>
  <c r="AN11" i="11"/>
  <c r="AO11" i="11" s="1"/>
  <c r="AM11" i="11"/>
  <c r="AJ11" i="11"/>
  <c r="AI11" i="11"/>
  <c r="AH11" i="11"/>
  <c r="AL11" i="11" s="1"/>
  <c r="AP11" i="11" s="1"/>
  <c r="AN10" i="11"/>
  <c r="AO10" i="11" s="1"/>
  <c r="AM10" i="11"/>
  <c r="AJ10" i="11"/>
  <c r="AI10" i="11"/>
  <c r="AH10" i="11"/>
  <c r="AL10" i="11" s="1"/>
  <c r="AP10" i="11" s="1"/>
  <c r="AN9" i="11"/>
  <c r="AO9" i="11" s="1"/>
  <c r="AM9" i="11"/>
  <c r="AJ9" i="11"/>
  <c r="AI9" i="11"/>
  <c r="AH9" i="11"/>
  <c r="AN8" i="11"/>
  <c r="AO8" i="11" s="1"/>
  <c r="AM8" i="11"/>
  <c r="AJ8" i="11"/>
  <c r="AI8" i="11"/>
  <c r="AH8" i="11"/>
  <c r="AN7" i="11"/>
  <c r="AO7" i="11" s="1"/>
  <c r="AM7" i="11"/>
  <c r="AJ7" i="11"/>
  <c r="AI7" i="11"/>
  <c r="AH7" i="11"/>
  <c r="AN6" i="11"/>
  <c r="AO6" i="11" s="1"/>
  <c r="AM6" i="11"/>
  <c r="AJ6" i="11"/>
  <c r="AI6" i="11"/>
  <c r="AH6" i="11"/>
  <c r="AL6" i="11" s="1"/>
  <c r="AN5" i="11"/>
  <c r="AO5" i="11" s="1"/>
  <c r="AM5" i="11"/>
  <c r="AJ5" i="11"/>
  <c r="AI5" i="11"/>
  <c r="AH5" i="11"/>
  <c r="AL5" i="11" s="1"/>
  <c r="AP5" i="11" s="1"/>
  <c r="AO129" i="10"/>
  <c r="AP129" i="10" s="1"/>
  <c r="AN129" i="10"/>
  <c r="AK129" i="10"/>
  <c r="AJ129" i="10"/>
  <c r="AI129" i="10"/>
  <c r="AM129" i="10" s="1"/>
  <c r="AQ129" i="10" s="1"/>
  <c r="AO128" i="10"/>
  <c r="AP128" i="10" s="1"/>
  <c r="AN128" i="10"/>
  <c r="AK128" i="10"/>
  <c r="AJ128" i="10"/>
  <c r="AI128" i="10"/>
  <c r="AM128" i="10" s="1"/>
  <c r="AQ128" i="10" s="1"/>
  <c r="AO127" i="10"/>
  <c r="AP127" i="10" s="1"/>
  <c r="AN127" i="10"/>
  <c r="AK127" i="10"/>
  <c r="AJ127" i="10"/>
  <c r="AI127" i="10"/>
  <c r="AM127" i="10" s="1"/>
  <c r="AQ127" i="10" s="1"/>
  <c r="AO126" i="10"/>
  <c r="AP126" i="10" s="1"/>
  <c r="AN126" i="10"/>
  <c r="AK126" i="10"/>
  <c r="AJ126" i="10"/>
  <c r="AI126" i="10"/>
  <c r="AO125" i="10"/>
  <c r="AP125" i="10" s="1"/>
  <c r="AN125" i="10"/>
  <c r="AK125" i="10"/>
  <c r="AJ125" i="10"/>
  <c r="AI125" i="10"/>
  <c r="AO124" i="10"/>
  <c r="AP124" i="10" s="1"/>
  <c r="AN124" i="10"/>
  <c r="AK124" i="10"/>
  <c r="AJ124" i="10"/>
  <c r="AI124" i="10"/>
  <c r="AO123" i="10"/>
  <c r="AP123" i="10" s="1"/>
  <c r="AN123" i="10"/>
  <c r="AK123" i="10"/>
  <c r="AJ123" i="10"/>
  <c r="AI123" i="10"/>
  <c r="AM123" i="10" s="1"/>
  <c r="AO122" i="10"/>
  <c r="AP122" i="10" s="1"/>
  <c r="AN122" i="10"/>
  <c r="AK122" i="10"/>
  <c r="AJ122" i="10"/>
  <c r="AI122" i="10"/>
  <c r="AM122" i="10" s="1"/>
  <c r="AQ122" i="10" s="1"/>
  <c r="AO121" i="10"/>
  <c r="AP121" i="10" s="1"/>
  <c r="AN121" i="10"/>
  <c r="AK121" i="10"/>
  <c r="AJ121" i="10"/>
  <c r="AI121" i="10"/>
  <c r="AM121" i="10" s="1"/>
  <c r="AQ121" i="10" s="1"/>
  <c r="AO120" i="10"/>
  <c r="AP120" i="10" s="1"/>
  <c r="AN120" i="10"/>
  <c r="AK120" i="10"/>
  <c r="AJ120" i="10"/>
  <c r="AI120" i="10"/>
  <c r="AM120" i="10" s="1"/>
  <c r="AQ120" i="10" s="1"/>
  <c r="AO119" i="10"/>
  <c r="AP119" i="10" s="1"/>
  <c r="AN119" i="10"/>
  <c r="AK119" i="10"/>
  <c r="AJ119" i="10"/>
  <c r="AI119" i="10"/>
  <c r="AM119" i="10" s="1"/>
  <c r="AQ119" i="10" s="1"/>
  <c r="AO116" i="10"/>
  <c r="AP116" i="10" s="1"/>
  <c r="AN116" i="10"/>
  <c r="AK116" i="10"/>
  <c r="AJ116" i="10"/>
  <c r="AI116" i="10"/>
  <c r="AO115" i="10"/>
  <c r="AP115" i="10" s="1"/>
  <c r="AN115" i="10"/>
  <c r="AK115" i="10"/>
  <c r="AJ115" i="10"/>
  <c r="AI115" i="10"/>
  <c r="AO114" i="10"/>
  <c r="AP114" i="10" s="1"/>
  <c r="AN114" i="10"/>
  <c r="AK114" i="10"/>
  <c r="AJ114" i="10"/>
  <c r="AI114" i="10"/>
  <c r="AO111" i="10"/>
  <c r="AP111" i="10" s="1"/>
  <c r="AN111" i="10"/>
  <c r="AK111" i="10"/>
  <c r="AJ111" i="10"/>
  <c r="AI111" i="10"/>
  <c r="AM111" i="10" s="1"/>
  <c r="AO110" i="10"/>
  <c r="AP110" i="10" s="1"/>
  <c r="AN110" i="10"/>
  <c r="AK110" i="10"/>
  <c r="AJ110" i="10"/>
  <c r="AI110" i="10"/>
  <c r="AM110" i="10" s="1"/>
  <c r="AQ110" i="10" s="1"/>
  <c r="AO109" i="10"/>
  <c r="AP109" i="10" s="1"/>
  <c r="AN109" i="10"/>
  <c r="AK109" i="10"/>
  <c r="AJ109" i="10"/>
  <c r="AI109" i="10"/>
  <c r="AM109" i="10" s="1"/>
  <c r="AQ109" i="10" s="1"/>
  <c r="AO108" i="10"/>
  <c r="AP108" i="10" s="1"/>
  <c r="AN108" i="10"/>
  <c r="AK108" i="10"/>
  <c r="AJ108" i="10"/>
  <c r="AI108" i="10"/>
  <c r="AM108" i="10" s="1"/>
  <c r="AQ108" i="10" s="1"/>
  <c r="AO107" i="10"/>
  <c r="AP107" i="10" s="1"/>
  <c r="AN107" i="10"/>
  <c r="AK107" i="10"/>
  <c r="AJ107" i="10"/>
  <c r="AI107" i="10"/>
  <c r="AM107" i="10" s="1"/>
  <c r="AQ107" i="10" s="1"/>
  <c r="AO106" i="10"/>
  <c r="AP106" i="10" s="1"/>
  <c r="AN106" i="10"/>
  <c r="AK106" i="10"/>
  <c r="AJ106" i="10"/>
  <c r="AI106" i="10"/>
  <c r="AO105" i="10"/>
  <c r="AP105" i="10" s="1"/>
  <c r="AN105" i="10"/>
  <c r="AK105" i="10"/>
  <c r="AJ105" i="10"/>
  <c r="AI105" i="10"/>
  <c r="AO104" i="10"/>
  <c r="AP104" i="10" s="1"/>
  <c r="AN104" i="10"/>
  <c r="AK104" i="10"/>
  <c r="AJ104" i="10"/>
  <c r="AI104" i="10"/>
  <c r="AO103" i="10"/>
  <c r="AP103" i="10" s="1"/>
  <c r="AN103" i="10"/>
  <c r="AK103" i="10"/>
  <c r="AJ103" i="10"/>
  <c r="AI103" i="10"/>
  <c r="AM103" i="10" s="1"/>
  <c r="AO102" i="10"/>
  <c r="AP102" i="10" s="1"/>
  <c r="AN102" i="10"/>
  <c r="AK102" i="10"/>
  <c r="AJ102" i="10"/>
  <c r="AI102" i="10"/>
  <c r="AM102" i="10" s="1"/>
  <c r="AQ102" i="10" s="1"/>
  <c r="AO101" i="10"/>
  <c r="AP101" i="10" s="1"/>
  <c r="AN101" i="10"/>
  <c r="AK101" i="10"/>
  <c r="AJ101" i="10"/>
  <c r="AI101" i="10"/>
  <c r="AM101" i="10" s="1"/>
  <c r="AQ101" i="10" s="1"/>
  <c r="AO100" i="10"/>
  <c r="AP100" i="10" s="1"/>
  <c r="AN100" i="10"/>
  <c r="AK100" i="10"/>
  <c r="AJ100" i="10"/>
  <c r="AI100" i="10"/>
  <c r="AM100" i="10" s="1"/>
  <c r="AQ100" i="10" s="1"/>
  <c r="AO99" i="10"/>
  <c r="AP99" i="10" s="1"/>
  <c r="AN99" i="10"/>
  <c r="AK99" i="10"/>
  <c r="AJ99" i="10"/>
  <c r="AI99" i="10"/>
  <c r="AM99" i="10" s="1"/>
  <c r="AQ99" i="10" s="1"/>
  <c r="AO98" i="10"/>
  <c r="AP98" i="10" s="1"/>
  <c r="AN98" i="10"/>
  <c r="AK98" i="10"/>
  <c r="AJ98" i="10"/>
  <c r="AI98" i="10"/>
  <c r="AO95" i="10"/>
  <c r="AP95" i="10" s="1"/>
  <c r="AN95" i="10"/>
  <c r="AK95" i="10"/>
  <c r="AJ95" i="10"/>
  <c r="AI95" i="10"/>
  <c r="AO94" i="10"/>
  <c r="AP94" i="10" s="1"/>
  <c r="AN94" i="10"/>
  <c r="AK94" i="10"/>
  <c r="AJ94" i="10"/>
  <c r="AI94" i="10"/>
  <c r="AO93" i="10"/>
  <c r="AP93" i="10" s="1"/>
  <c r="AN93" i="10"/>
  <c r="AK93" i="10"/>
  <c r="AJ93" i="10"/>
  <c r="AI93" i="10"/>
  <c r="AM93" i="10" s="1"/>
  <c r="AO92" i="10"/>
  <c r="AP92" i="10" s="1"/>
  <c r="AN92" i="10"/>
  <c r="AK92" i="10"/>
  <c r="AJ92" i="10"/>
  <c r="AI92" i="10"/>
  <c r="AM92" i="10" s="1"/>
  <c r="AQ92" i="10" s="1"/>
  <c r="AO89" i="10"/>
  <c r="AP89" i="10" s="1"/>
  <c r="AN89" i="10"/>
  <c r="AK89" i="10"/>
  <c r="AJ89" i="10"/>
  <c r="AI89" i="10"/>
  <c r="AM89" i="10" s="1"/>
  <c r="AQ89" i="10" s="1"/>
  <c r="AO88" i="10"/>
  <c r="AP88" i="10" s="1"/>
  <c r="AN88" i="10"/>
  <c r="AK88" i="10"/>
  <c r="AJ88" i="10"/>
  <c r="AI88" i="10"/>
  <c r="AM88" i="10" s="1"/>
  <c r="AQ88" i="10" s="1"/>
  <c r="AO87" i="10"/>
  <c r="AP87" i="10" s="1"/>
  <c r="AN87" i="10"/>
  <c r="AK87" i="10"/>
  <c r="AJ87" i="10"/>
  <c r="AI87" i="10"/>
  <c r="AM87" i="10" s="1"/>
  <c r="AQ87" i="10" s="1"/>
  <c r="AO86" i="10"/>
  <c r="AP86" i="10" s="1"/>
  <c r="AN86" i="10"/>
  <c r="AK86" i="10"/>
  <c r="AJ86" i="10"/>
  <c r="AI86" i="10"/>
  <c r="AO85" i="10"/>
  <c r="AP85" i="10" s="1"/>
  <c r="AN85" i="10"/>
  <c r="AK85" i="10"/>
  <c r="AJ85" i="10"/>
  <c r="AI85" i="10"/>
  <c r="AO82" i="10"/>
  <c r="AP82" i="10" s="1"/>
  <c r="AN82" i="10"/>
  <c r="AK82" i="10"/>
  <c r="AJ82" i="10"/>
  <c r="AI82" i="10"/>
  <c r="AO81" i="10"/>
  <c r="AP81" i="10" s="1"/>
  <c r="AN81" i="10"/>
  <c r="AK81" i="10"/>
  <c r="AJ81" i="10"/>
  <c r="AI81" i="10"/>
  <c r="AM81" i="10" s="1"/>
  <c r="AO80" i="10"/>
  <c r="AP80" i="10" s="1"/>
  <c r="AN80" i="10"/>
  <c r="AK80" i="10"/>
  <c r="AJ80" i="10"/>
  <c r="AI80" i="10"/>
  <c r="AM80" i="10" s="1"/>
  <c r="AQ80" i="10" s="1"/>
  <c r="AO79" i="10"/>
  <c r="AP79" i="10" s="1"/>
  <c r="AN79" i="10"/>
  <c r="AK79" i="10"/>
  <c r="AJ79" i="10"/>
  <c r="AI79" i="10"/>
  <c r="AM79" i="10" s="1"/>
  <c r="AQ79" i="10" s="1"/>
  <c r="AO78" i="10"/>
  <c r="AP78" i="10" s="1"/>
  <c r="AN78" i="10"/>
  <c r="AK78" i="10"/>
  <c r="AJ78" i="10"/>
  <c r="AI78" i="10"/>
  <c r="AM78" i="10" s="1"/>
  <c r="AQ78" i="10" s="1"/>
  <c r="AO77" i="10"/>
  <c r="AP77" i="10" s="1"/>
  <c r="AN77" i="10"/>
  <c r="AK77" i="10"/>
  <c r="AJ77" i="10"/>
  <c r="AI77" i="10"/>
  <c r="AM77" i="10" s="1"/>
  <c r="AQ77" i="10" s="1"/>
  <c r="AO74" i="10"/>
  <c r="AP74" i="10" s="1"/>
  <c r="AN74" i="10"/>
  <c r="AK74" i="10"/>
  <c r="AJ74" i="10"/>
  <c r="AI74" i="10"/>
  <c r="AO73" i="10"/>
  <c r="AP73" i="10" s="1"/>
  <c r="AN73" i="10"/>
  <c r="AK73" i="10"/>
  <c r="AJ73" i="10"/>
  <c r="AI73" i="10"/>
  <c r="AO72" i="10"/>
  <c r="AP72" i="10" s="1"/>
  <c r="AN72" i="10"/>
  <c r="AK72" i="10"/>
  <c r="AJ72" i="10"/>
  <c r="AI72" i="10"/>
  <c r="AO71" i="10"/>
  <c r="AP71" i="10" s="1"/>
  <c r="AN71" i="10"/>
  <c r="AK71" i="10"/>
  <c r="AJ71" i="10"/>
  <c r="AI71" i="10"/>
  <c r="AM71" i="10" s="1"/>
  <c r="AO70" i="10"/>
  <c r="AP70" i="10" s="1"/>
  <c r="AN70" i="10"/>
  <c r="AK70" i="10"/>
  <c r="AJ70" i="10"/>
  <c r="AI70" i="10"/>
  <c r="AM70" i="10" s="1"/>
  <c r="AQ70" i="10" s="1"/>
  <c r="AO69" i="10"/>
  <c r="AP69" i="10" s="1"/>
  <c r="AN69" i="10"/>
  <c r="AK69" i="10"/>
  <c r="AJ69" i="10"/>
  <c r="AI69" i="10"/>
  <c r="AM69" i="10" s="1"/>
  <c r="AQ69" i="10" s="1"/>
  <c r="AO68" i="10"/>
  <c r="AP68" i="10" s="1"/>
  <c r="AN68" i="10"/>
  <c r="AK68" i="10"/>
  <c r="AJ68" i="10"/>
  <c r="AI68" i="10"/>
  <c r="AM68" i="10" s="1"/>
  <c r="AQ68" i="10" s="1"/>
  <c r="AO67" i="10"/>
  <c r="AP67" i="10" s="1"/>
  <c r="AN67" i="10"/>
  <c r="AK67" i="10"/>
  <c r="AJ67" i="10"/>
  <c r="AI67" i="10"/>
  <c r="AM67" i="10" s="1"/>
  <c r="AQ67" i="10" s="1"/>
  <c r="AO66" i="10"/>
  <c r="AP66" i="10" s="1"/>
  <c r="AN66" i="10"/>
  <c r="AK66" i="10"/>
  <c r="AJ66" i="10"/>
  <c r="AI66" i="10"/>
  <c r="AO65" i="10"/>
  <c r="AP65" i="10" s="1"/>
  <c r="AN65" i="10"/>
  <c r="AM65" i="10"/>
  <c r="AQ65" i="10" s="1"/>
  <c r="AK65" i="10"/>
  <c r="AJ65" i="10"/>
  <c r="AI65" i="10"/>
  <c r="AO64" i="10"/>
  <c r="AP64" i="10" s="1"/>
  <c r="AN64" i="10"/>
  <c r="AK64" i="10"/>
  <c r="AJ64" i="10"/>
  <c r="AI64" i="10"/>
  <c r="AM64" i="10" s="1"/>
  <c r="AQ64" i="10" s="1"/>
  <c r="AO63" i="10"/>
  <c r="AP63" i="10" s="1"/>
  <c r="AN63" i="10"/>
  <c r="AK63" i="10"/>
  <c r="AJ63" i="10"/>
  <c r="AI63" i="10"/>
  <c r="AM63" i="10" s="1"/>
  <c r="AQ63" i="10" s="1"/>
  <c r="AQ62" i="10"/>
  <c r="AO62" i="10"/>
  <c r="AP62" i="10" s="1"/>
  <c r="AN62" i="10"/>
  <c r="AK62" i="10"/>
  <c r="AJ62" i="10"/>
  <c r="AI62" i="10"/>
  <c r="AM62" i="10" s="1"/>
  <c r="AO61" i="10"/>
  <c r="AP61" i="10" s="1"/>
  <c r="AN61" i="10"/>
  <c r="AK61" i="10"/>
  <c r="AJ61" i="10"/>
  <c r="AI61" i="10"/>
  <c r="AM61" i="10" s="1"/>
  <c r="AQ61" i="10" s="1"/>
  <c r="AO60" i="10"/>
  <c r="AP60" i="10" s="1"/>
  <c r="AN60" i="10"/>
  <c r="AK60" i="10"/>
  <c r="AM60" i="10" s="1"/>
  <c r="AQ60" i="10" s="1"/>
  <c r="AJ60" i="10"/>
  <c r="AI60" i="10"/>
  <c r="AO59" i="10"/>
  <c r="AP59" i="10" s="1"/>
  <c r="AN59" i="10"/>
  <c r="AM59" i="10"/>
  <c r="AQ59" i="10" s="1"/>
  <c r="AK59" i="10"/>
  <c r="AJ59" i="10"/>
  <c r="AI59" i="10"/>
  <c r="AO58" i="10"/>
  <c r="AP58" i="10" s="1"/>
  <c r="AN58" i="10"/>
  <c r="AK58" i="10"/>
  <c r="AJ58" i="10"/>
  <c r="AI58" i="10"/>
  <c r="AO57" i="10"/>
  <c r="AP57" i="10" s="1"/>
  <c r="AN57" i="10"/>
  <c r="AK57" i="10"/>
  <c r="AJ57" i="10"/>
  <c r="AI57" i="10"/>
  <c r="AO56" i="10"/>
  <c r="AP56" i="10" s="1"/>
  <c r="AN56" i="10"/>
  <c r="AK56" i="10"/>
  <c r="AJ56" i="10"/>
  <c r="AI56" i="10"/>
  <c r="AM56" i="10" s="1"/>
  <c r="AO55" i="10"/>
  <c r="AP55" i="10" s="1"/>
  <c r="AN55" i="10"/>
  <c r="AK55" i="10"/>
  <c r="AJ55" i="10"/>
  <c r="AI55" i="10"/>
  <c r="AO54" i="10"/>
  <c r="AP54" i="10" s="1"/>
  <c r="AN54" i="10"/>
  <c r="AK54" i="10"/>
  <c r="AJ54" i="10"/>
  <c r="AI54" i="10"/>
  <c r="AM54" i="10" s="1"/>
  <c r="AQ54" i="10" s="1"/>
  <c r="AO53" i="10"/>
  <c r="AP53" i="10" s="1"/>
  <c r="AN53" i="10"/>
  <c r="AK53" i="10"/>
  <c r="AJ53" i="10"/>
  <c r="AI53" i="10"/>
  <c r="AO52" i="10"/>
  <c r="AP52" i="10" s="1"/>
  <c r="AN52" i="10"/>
  <c r="AK52" i="10"/>
  <c r="AJ52" i="10"/>
  <c r="AI52" i="10"/>
  <c r="AM52" i="10" s="1"/>
  <c r="AQ52" i="10" s="1"/>
  <c r="AO51" i="10"/>
  <c r="AP51" i="10" s="1"/>
  <c r="AN51" i="10"/>
  <c r="AK51" i="10"/>
  <c r="AJ51" i="10"/>
  <c r="AI51" i="10"/>
  <c r="AO50" i="10"/>
  <c r="AP50" i="10" s="1"/>
  <c r="AN50" i="10"/>
  <c r="AK50" i="10"/>
  <c r="AJ50" i="10"/>
  <c r="AI50" i="10"/>
  <c r="AM50" i="10" s="1"/>
  <c r="AQ50" i="10" s="1"/>
  <c r="AO49" i="10"/>
  <c r="AP49" i="10" s="1"/>
  <c r="AN49" i="10"/>
  <c r="AK49" i="10"/>
  <c r="AJ49" i="10"/>
  <c r="AI49" i="10"/>
  <c r="AO48" i="10"/>
  <c r="AP48" i="10" s="1"/>
  <c r="AN48" i="10"/>
  <c r="AK48" i="10"/>
  <c r="AJ48" i="10"/>
  <c r="AI48" i="10"/>
  <c r="AM48" i="10" s="1"/>
  <c r="AQ48" i="10" s="1"/>
  <c r="AO47" i="10"/>
  <c r="AP47" i="10" s="1"/>
  <c r="AN47" i="10"/>
  <c r="AK47" i="10"/>
  <c r="AJ47" i="10"/>
  <c r="AI47" i="10"/>
  <c r="AO46" i="10"/>
  <c r="AP46" i="10" s="1"/>
  <c r="AN46" i="10"/>
  <c r="AK46" i="10"/>
  <c r="AJ46" i="10"/>
  <c r="AI46" i="10"/>
  <c r="AM46" i="10" s="1"/>
  <c r="AQ46" i="10" s="1"/>
  <c r="AO45" i="10"/>
  <c r="AP45" i="10" s="1"/>
  <c r="AN45" i="10"/>
  <c r="AK45" i="10"/>
  <c r="AJ45" i="10"/>
  <c r="AI45" i="10"/>
  <c r="AO44" i="10"/>
  <c r="AP44" i="10" s="1"/>
  <c r="AN44" i="10"/>
  <c r="AK44" i="10"/>
  <c r="AJ44" i="10"/>
  <c r="AI44" i="10"/>
  <c r="AM44" i="10" s="1"/>
  <c r="AQ44" i="10" s="1"/>
  <c r="AO43" i="10"/>
  <c r="AP43" i="10" s="1"/>
  <c r="AN43" i="10"/>
  <c r="AK43" i="10"/>
  <c r="AJ43" i="10"/>
  <c r="AI43" i="10"/>
  <c r="AO42" i="10"/>
  <c r="AP42" i="10" s="1"/>
  <c r="AN42" i="10"/>
  <c r="AK42" i="10"/>
  <c r="AJ42" i="10"/>
  <c r="AI42" i="10"/>
  <c r="AM42" i="10" s="1"/>
  <c r="AQ42" i="10" s="1"/>
  <c r="AO41" i="10"/>
  <c r="AP41" i="10" s="1"/>
  <c r="AN41" i="10"/>
  <c r="AK41" i="10"/>
  <c r="AJ41" i="10"/>
  <c r="AI41" i="10"/>
  <c r="AO40" i="10"/>
  <c r="AP40" i="10" s="1"/>
  <c r="AN40" i="10"/>
  <c r="AK40" i="10"/>
  <c r="AJ40" i="10"/>
  <c r="AI40" i="10"/>
  <c r="AM40" i="10" s="1"/>
  <c r="AQ40" i="10" s="1"/>
  <c r="AO39" i="10"/>
  <c r="AP39" i="10" s="1"/>
  <c r="AN39" i="10"/>
  <c r="AK39" i="10"/>
  <c r="AJ39" i="10"/>
  <c r="AI39" i="10"/>
  <c r="AO38" i="10"/>
  <c r="AP38" i="10" s="1"/>
  <c r="AN38" i="10"/>
  <c r="AK38" i="10"/>
  <c r="AJ38" i="10"/>
  <c r="AI38" i="10"/>
  <c r="AM38" i="10" s="1"/>
  <c r="AQ38" i="10" s="1"/>
  <c r="AO35" i="10"/>
  <c r="AP35" i="10" s="1"/>
  <c r="AN35" i="10"/>
  <c r="AK35" i="10"/>
  <c r="AJ35" i="10"/>
  <c r="AI35" i="10"/>
  <c r="AO34" i="10"/>
  <c r="AP34" i="10" s="1"/>
  <c r="AN34" i="10"/>
  <c r="AK34" i="10"/>
  <c r="AJ34" i="10"/>
  <c r="AI34" i="10"/>
  <c r="AM34" i="10" s="1"/>
  <c r="AO33" i="10"/>
  <c r="AP33" i="10" s="1"/>
  <c r="AN33" i="10"/>
  <c r="AK33" i="10"/>
  <c r="AJ33" i="10"/>
  <c r="AI33" i="10"/>
  <c r="AO32" i="10"/>
  <c r="AP32" i="10" s="1"/>
  <c r="AN32" i="10"/>
  <c r="AK32" i="10"/>
  <c r="AJ32" i="10"/>
  <c r="AI32" i="10"/>
  <c r="AM32" i="10" s="1"/>
  <c r="AQ32" i="10" s="1"/>
  <c r="AO31" i="10"/>
  <c r="AP31" i="10" s="1"/>
  <c r="AN31" i="10"/>
  <c r="AK31" i="10"/>
  <c r="AJ31" i="10"/>
  <c r="AI31" i="10"/>
  <c r="AO30" i="10"/>
  <c r="AP30" i="10" s="1"/>
  <c r="AN30" i="10"/>
  <c r="AK30" i="10"/>
  <c r="AJ30" i="10"/>
  <c r="AI30" i="10"/>
  <c r="AM30" i="10" s="1"/>
  <c r="AO29" i="10"/>
  <c r="AP29" i="10" s="1"/>
  <c r="AN29" i="10"/>
  <c r="AK29" i="10"/>
  <c r="AJ29" i="10"/>
  <c r="AI29" i="10"/>
  <c r="AO28" i="10"/>
  <c r="AP28" i="10" s="1"/>
  <c r="AN28" i="10"/>
  <c r="AK28" i="10"/>
  <c r="AJ28" i="10"/>
  <c r="AI28" i="10"/>
  <c r="AM28" i="10" s="1"/>
  <c r="AQ28" i="10" s="1"/>
  <c r="AO27" i="10"/>
  <c r="AP27" i="10" s="1"/>
  <c r="AN27" i="10"/>
  <c r="AK27" i="10"/>
  <c r="AJ27" i="10"/>
  <c r="AI27" i="10"/>
  <c r="AO26" i="10"/>
  <c r="AP26" i="10" s="1"/>
  <c r="AN26" i="10"/>
  <c r="AK26" i="10"/>
  <c r="AJ26" i="10"/>
  <c r="AI26" i="10"/>
  <c r="AM26" i="10" s="1"/>
  <c r="AO25" i="10"/>
  <c r="AP25" i="10" s="1"/>
  <c r="AN25" i="10"/>
  <c r="AK25" i="10"/>
  <c r="AJ25" i="10"/>
  <c r="AI25" i="10"/>
  <c r="AO24" i="10"/>
  <c r="AP24" i="10" s="1"/>
  <c r="AN24" i="10"/>
  <c r="AK24" i="10"/>
  <c r="AJ24" i="10"/>
  <c r="AI24" i="10"/>
  <c r="AM24" i="10" s="1"/>
  <c r="AQ24" i="10" s="1"/>
  <c r="AO23" i="10"/>
  <c r="AP23" i="10" s="1"/>
  <c r="AN23" i="10"/>
  <c r="AK23" i="10"/>
  <c r="AJ23" i="10"/>
  <c r="AI23" i="10"/>
  <c r="AO22" i="10"/>
  <c r="AP22" i="10" s="1"/>
  <c r="AN22" i="10"/>
  <c r="AK22" i="10"/>
  <c r="AJ22" i="10"/>
  <c r="AI22" i="10"/>
  <c r="AM22" i="10" s="1"/>
  <c r="AO19" i="10"/>
  <c r="AP19" i="10" s="1"/>
  <c r="AN19" i="10"/>
  <c r="AK19" i="10"/>
  <c r="AJ19" i="10"/>
  <c r="AI19" i="10"/>
  <c r="AO18" i="10"/>
  <c r="AP18" i="10" s="1"/>
  <c r="AN18" i="10"/>
  <c r="AK18" i="10"/>
  <c r="AJ18" i="10"/>
  <c r="AI18" i="10"/>
  <c r="AM18" i="10" s="1"/>
  <c r="AQ18" i="10" s="1"/>
  <c r="AO17" i="10"/>
  <c r="AP17" i="10" s="1"/>
  <c r="AN17" i="10"/>
  <c r="AK17" i="10"/>
  <c r="AJ17" i="10"/>
  <c r="AI17" i="10"/>
  <c r="AO16" i="10"/>
  <c r="AP16" i="10" s="1"/>
  <c r="AN16" i="10"/>
  <c r="AK16" i="10"/>
  <c r="AJ16" i="10"/>
  <c r="AI16" i="10"/>
  <c r="AM16" i="10" s="1"/>
  <c r="AO15" i="10"/>
  <c r="AP15" i="10" s="1"/>
  <c r="AN15" i="10"/>
  <c r="AK15" i="10"/>
  <c r="AJ15" i="10"/>
  <c r="AI15" i="10"/>
  <c r="AO14" i="10"/>
  <c r="AP14" i="10" s="1"/>
  <c r="AN14" i="10"/>
  <c r="AK14" i="10"/>
  <c r="AJ14" i="10"/>
  <c r="AI14" i="10"/>
  <c r="AM14" i="10" s="1"/>
  <c r="AQ14" i="10" s="1"/>
  <c r="AO13" i="10"/>
  <c r="AP13" i="10" s="1"/>
  <c r="AN13" i="10"/>
  <c r="AK13" i="10"/>
  <c r="AJ13" i="10"/>
  <c r="AI13" i="10"/>
  <c r="AO12" i="10"/>
  <c r="AP12" i="10" s="1"/>
  <c r="AN12" i="10"/>
  <c r="AK12" i="10"/>
  <c r="AJ12" i="10"/>
  <c r="AI12" i="10"/>
  <c r="AM12" i="10" s="1"/>
  <c r="AQ12" i="10" s="1"/>
  <c r="AO11" i="10"/>
  <c r="AP11" i="10" s="1"/>
  <c r="AN11" i="10"/>
  <c r="AK11" i="10"/>
  <c r="AJ11" i="10"/>
  <c r="AI11" i="10"/>
  <c r="AO10" i="10"/>
  <c r="AP10" i="10" s="1"/>
  <c r="AN10" i="10"/>
  <c r="AK10" i="10"/>
  <c r="AJ10" i="10"/>
  <c r="AI10" i="10"/>
  <c r="AM10" i="10" s="1"/>
  <c r="AQ10" i="10" s="1"/>
  <c r="AO9" i="10"/>
  <c r="AP9" i="10" s="1"/>
  <c r="AN9" i="10"/>
  <c r="AK9" i="10"/>
  <c r="AJ9" i="10"/>
  <c r="AI9" i="10"/>
  <c r="AO8" i="10"/>
  <c r="AP8" i="10" s="1"/>
  <c r="AN8" i="10"/>
  <c r="AK8" i="10"/>
  <c r="AJ8" i="10"/>
  <c r="AI8" i="10"/>
  <c r="AM8" i="10" s="1"/>
  <c r="AQ8" i="10" s="1"/>
  <c r="AO7" i="10"/>
  <c r="AP7" i="10" s="1"/>
  <c r="AN7" i="10"/>
  <c r="AK7" i="10"/>
  <c r="AJ7" i="10"/>
  <c r="AI7" i="10"/>
  <c r="AO6" i="10"/>
  <c r="AP6" i="10" s="1"/>
  <c r="AN6" i="10"/>
  <c r="AK6" i="10"/>
  <c r="AJ6" i="10"/>
  <c r="AI6" i="10"/>
  <c r="AM6" i="10" s="1"/>
  <c r="AQ6" i="10" s="1"/>
  <c r="AO5" i="10"/>
  <c r="AP5" i="10" s="1"/>
  <c r="AN5" i="10"/>
  <c r="AK5" i="10"/>
  <c r="AJ5" i="10"/>
  <c r="AI5" i="10"/>
  <c r="AO129" i="9"/>
  <c r="AP129" i="9" s="1"/>
  <c r="AN129" i="9"/>
  <c r="AK129" i="9"/>
  <c r="AJ129" i="9"/>
  <c r="AI129" i="9"/>
  <c r="AM129" i="9" s="1"/>
  <c r="AO128" i="9"/>
  <c r="AP128" i="9" s="1"/>
  <c r="AN128" i="9"/>
  <c r="AK128" i="9"/>
  <c r="AJ128" i="9"/>
  <c r="AI128" i="9"/>
  <c r="AO127" i="9"/>
  <c r="AP127" i="9" s="1"/>
  <c r="AN127" i="9"/>
  <c r="AK127" i="9"/>
  <c r="AJ127" i="9"/>
  <c r="AI127" i="9"/>
  <c r="AM127" i="9" s="1"/>
  <c r="AQ127" i="9" s="1"/>
  <c r="AO126" i="9"/>
  <c r="AP126" i="9" s="1"/>
  <c r="AN126" i="9"/>
  <c r="AK126" i="9"/>
  <c r="AJ126" i="9"/>
  <c r="AI126" i="9"/>
  <c r="AO125" i="9"/>
  <c r="AP125" i="9" s="1"/>
  <c r="AN125" i="9"/>
  <c r="AK125" i="9"/>
  <c r="AJ125" i="9"/>
  <c r="AI125" i="9"/>
  <c r="AM125" i="9" s="1"/>
  <c r="AO124" i="9"/>
  <c r="AP124" i="9" s="1"/>
  <c r="AN124" i="9"/>
  <c r="AK124" i="9"/>
  <c r="AJ124" i="9"/>
  <c r="AI124" i="9"/>
  <c r="AO123" i="9"/>
  <c r="AP123" i="9" s="1"/>
  <c r="AN123" i="9"/>
  <c r="AK123" i="9"/>
  <c r="AJ123" i="9"/>
  <c r="AI123" i="9"/>
  <c r="AM123" i="9" s="1"/>
  <c r="AQ123" i="9" s="1"/>
  <c r="AO122" i="9"/>
  <c r="AP122" i="9" s="1"/>
  <c r="AN122" i="9"/>
  <c r="AK122" i="9"/>
  <c r="AJ122" i="9"/>
  <c r="AI122" i="9"/>
  <c r="AO121" i="9"/>
  <c r="AP121" i="9" s="1"/>
  <c r="AN121" i="9"/>
  <c r="AK121" i="9"/>
  <c r="AJ121" i="9"/>
  <c r="AI121" i="9"/>
  <c r="AM121" i="9" s="1"/>
  <c r="AQ121" i="9" s="1"/>
  <c r="AO120" i="9"/>
  <c r="AP120" i="9" s="1"/>
  <c r="AN120" i="9"/>
  <c r="AK120" i="9"/>
  <c r="AJ120" i="9"/>
  <c r="AI120" i="9"/>
  <c r="AO119" i="9"/>
  <c r="AP119" i="9" s="1"/>
  <c r="AN119" i="9"/>
  <c r="AK119" i="9"/>
  <c r="AJ119" i="9"/>
  <c r="AI119" i="9"/>
  <c r="AM119" i="9" s="1"/>
  <c r="AQ119" i="9" s="1"/>
  <c r="AO116" i="9"/>
  <c r="AP116" i="9" s="1"/>
  <c r="AN116" i="9"/>
  <c r="AK116" i="9"/>
  <c r="AJ116" i="9"/>
  <c r="AI116" i="9"/>
  <c r="AO115" i="9"/>
  <c r="AP115" i="9" s="1"/>
  <c r="AN115" i="9"/>
  <c r="AK115" i="9"/>
  <c r="AJ115" i="9"/>
  <c r="AI115" i="9"/>
  <c r="AM115" i="9" s="1"/>
  <c r="AQ115" i="9" s="1"/>
  <c r="AO114" i="9"/>
  <c r="AP114" i="9" s="1"/>
  <c r="AN114" i="9"/>
  <c r="AK114" i="9"/>
  <c r="AJ114" i="9"/>
  <c r="AI114" i="9"/>
  <c r="AO111" i="9"/>
  <c r="AP111" i="9" s="1"/>
  <c r="AN111" i="9"/>
  <c r="AK111" i="9"/>
  <c r="AJ111" i="9"/>
  <c r="AI111" i="9"/>
  <c r="AM111" i="9" s="1"/>
  <c r="AQ111" i="9" s="1"/>
  <c r="AO110" i="9"/>
  <c r="AP110" i="9" s="1"/>
  <c r="AN110" i="9"/>
  <c r="AK110" i="9"/>
  <c r="AJ110" i="9"/>
  <c r="AI110" i="9"/>
  <c r="AO109" i="9"/>
  <c r="AP109" i="9" s="1"/>
  <c r="AN109" i="9"/>
  <c r="AK109" i="9"/>
  <c r="AJ109" i="9"/>
  <c r="AI109" i="9"/>
  <c r="AM109" i="9" s="1"/>
  <c r="AO108" i="9"/>
  <c r="AP108" i="9" s="1"/>
  <c r="AN108" i="9"/>
  <c r="AK108" i="9"/>
  <c r="AJ108" i="9"/>
  <c r="AI108" i="9"/>
  <c r="AO107" i="9"/>
  <c r="AP107" i="9" s="1"/>
  <c r="AN107" i="9"/>
  <c r="AK107" i="9"/>
  <c r="AJ107" i="9"/>
  <c r="AI107" i="9"/>
  <c r="AM107" i="9" s="1"/>
  <c r="AQ107" i="9" s="1"/>
  <c r="AO106" i="9"/>
  <c r="AP106" i="9" s="1"/>
  <c r="AN106" i="9"/>
  <c r="AK106" i="9"/>
  <c r="AJ106" i="9"/>
  <c r="AI106" i="9"/>
  <c r="AO105" i="9"/>
  <c r="AP105" i="9" s="1"/>
  <c r="AN105" i="9"/>
  <c r="AK105" i="9"/>
  <c r="AJ105" i="9"/>
  <c r="AI105" i="9"/>
  <c r="AM105" i="9" s="1"/>
  <c r="AO104" i="9"/>
  <c r="AP104" i="9" s="1"/>
  <c r="AN104" i="9"/>
  <c r="AK104" i="9"/>
  <c r="AJ104" i="9"/>
  <c r="AI104" i="9"/>
  <c r="AO103" i="9"/>
  <c r="AP103" i="9" s="1"/>
  <c r="AN103" i="9"/>
  <c r="AK103" i="9"/>
  <c r="AJ103" i="9"/>
  <c r="AI103" i="9"/>
  <c r="AM103" i="9" s="1"/>
  <c r="AQ103" i="9" s="1"/>
  <c r="AO102" i="9"/>
  <c r="AP102" i="9" s="1"/>
  <c r="AN102" i="9"/>
  <c r="AK102" i="9"/>
  <c r="AJ102" i="9"/>
  <c r="AI102" i="9"/>
  <c r="AO101" i="9"/>
  <c r="AP101" i="9" s="1"/>
  <c r="AN101" i="9"/>
  <c r="AK101" i="9"/>
  <c r="AJ101" i="9"/>
  <c r="AI101" i="9"/>
  <c r="AM101" i="9" s="1"/>
  <c r="AQ101" i="9" s="1"/>
  <c r="AO100" i="9"/>
  <c r="AP100" i="9" s="1"/>
  <c r="AN100" i="9"/>
  <c r="AK100" i="9"/>
  <c r="AJ100" i="9"/>
  <c r="AI100" i="9"/>
  <c r="AO99" i="9"/>
  <c r="AP99" i="9" s="1"/>
  <c r="AN99" i="9"/>
  <c r="AK99" i="9"/>
  <c r="AJ99" i="9"/>
  <c r="AI99" i="9"/>
  <c r="AM99" i="9" s="1"/>
  <c r="AO98" i="9"/>
  <c r="AP98" i="9" s="1"/>
  <c r="AN98" i="9"/>
  <c r="AK98" i="9"/>
  <c r="AJ98" i="9"/>
  <c r="AI98" i="9"/>
  <c r="AO95" i="9"/>
  <c r="AP95" i="9" s="1"/>
  <c r="AN95" i="9"/>
  <c r="AK95" i="9"/>
  <c r="AJ95" i="9"/>
  <c r="AI95" i="9"/>
  <c r="AM95" i="9" s="1"/>
  <c r="AQ95" i="9" s="1"/>
  <c r="AO94" i="9"/>
  <c r="AP94" i="9" s="1"/>
  <c r="AN94" i="9"/>
  <c r="AK94" i="9"/>
  <c r="AJ94" i="9"/>
  <c r="AI94" i="9"/>
  <c r="AO93" i="9"/>
  <c r="AP93" i="9" s="1"/>
  <c r="AN93" i="9"/>
  <c r="AK93" i="9"/>
  <c r="AJ93" i="9"/>
  <c r="AI93" i="9"/>
  <c r="AM93" i="9" s="1"/>
  <c r="AO92" i="9"/>
  <c r="AP92" i="9" s="1"/>
  <c r="AN92" i="9"/>
  <c r="AK92" i="9"/>
  <c r="AJ92" i="9"/>
  <c r="AI92" i="9"/>
  <c r="AO89" i="9"/>
  <c r="AP89" i="9" s="1"/>
  <c r="AN89" i="9"/>
  <c r="AK89" i="9"/>
  <c r="AJ89" i="9"/>
  <c r="AI89" i="9"/>
  <c r="AM89" i="9" s="1"/>
  <c r="AO88" i="9"/>
  <c r="AP88" i="9" s="1"/>
  <c r="AN88" i="9"/>
  <c r="AK88" i="9"/>
  <c r="AJ88" i="9"/>
  <c r="AI88" i="9"/>
  <c r="AO87" i="9"/>
  <c r="AP87" i="9" s="1"/>
  <c r="AN87" i="9"/>
  <c r="AK87" i="9"/>
  <c r="AJ87" i="9"/>
  <c r="AI87" i="9"/>
  <c r="AM87" i="9" s="1"/>
  <c r="AQ87" i="9" s="1"/>
  <c r="AO86" i="9"/>
  <c r="AP86" i="9" s="1"/>
  <c r="AN86" i="9"/>
  <c r="AK86" i="9"/>
  <c r="AJ86" i="9"/>
  <c r="AI86" i="9"/>
  <c r="AO85" i="9"/>
  <c r="AP85" i="9" s="1"/>
  <c r="AN85" i="9"/>
  <c r="AK85" i="9"/>
  <c r="AJ85" i="9"/>
  <c r="AI85" i="9"/>
  <c r="AO82" i="9"/>
  <c r="AP82" i="9" s="1"/>
  <c r="AN82" i="9"/>
  <c r="AK82" i="9"/>
  <c r="AJ82" i="9"/>
  <c r="AI82" i="9"/>
  <c r="AM82" i="9" s="1"/>
  <c r="AQ82" i="9" s="1"/>
  <c r="AO81" i="9"/>
  <c r="AP81" i="9" s="1"/>
  <c r="AN81" i="9"/>
  <c r="AK81" i="9"/>
  <c r="AJ81" i="9"/>
  <c r="AI81" i="9"/>
  <c r="AO80" i="9"/>
  <c r="AP80" i="9" s="1"/>
  <c r="AN80" i="9"/>
  <c r="AK80" i="9"/>
  <c r="AJ80" i="9"/>
  <c r="AI80" i="9"/>
  <c r="AM80" i="9" s="1"/>
  <c r="AQ80" i="9" s="1"/>
  <c r="AO79" i="9"/>
  <c r="AP79" i="9" s="1"/>
  <c r="AN79" i="9"/>
  <c r="AK79" i="9"/>
  <c r="AJ79" i="9"/>
  <c r="AI79" i="9"/>
  <c r="AM79" i="9" s="1"/>
  <c r="AQ79" i="9" s="1"/>
  <c r="AO78" i="9"/>
  <c r="AP78" i="9" s="1"/>
  <c r="AN78" i="9"/>
  <c r="AK78" i="9"/>
  <c r="AJ78" i="9"/>
  <c r="AI78" i="9"/>
  <c r="AM78" i="9" s="1"/>
  <c r="AQ78" i="9" s="1"/>
  <c r="AO77" i="9"/>
  <c r="AP77" i="9" s="1"/>
  <c r="AN77" i="9"/>
  <c r="AK77" i="9"/>
  <c r="AJ77" i="9"/>
  <c r="AI77" i="9"/>
  <c r="AM77" i="9" s="1"/>
  <c r="AO74" i="9"/>
  <c r="AP74" i="9" s="1"/>
  <c r="AN74" i="9"/>
  <c r="AK74" i="9"/>
  <c r="AJ74" i="9"/>
  <c r="AI74" i="9"/>
  <c r="AO73" i="9"/>
  <c r="AP73" i="9" s="1"/>
  <c r="AN73" i="9"/>
  <c r="AK73" i="9"/>
  <c r="AJ73" i="9"/>
  <c r="AI73" i="9"/>
  <c r="AM73" i="9" s="1"/>
  <c r="AQ73" i="9" s="1"/>
  <c r="AO72" i="9"/>
  <c r="AP72" i="9" s="1"/>
  <c r="AQ72" i="9" s="1"/>
  <c r="AN72" i="9"/>
  <c r="AK72" i="9"/>
  <c r="AJ72" i="9"/>
  <c r="AI72" i="9"/>
  <c r="AM72" i="9" s="1"/>
  <c r="AO71" i="9"/>
  <c r="AP71" i="9" s="1"/>
  <c r="AN71" i="9"/>
  <c r="AK71" i="9"/>
  <c r="AJ71" i="9"/>
  <c r="AI71" i="9"/>
  <c r="AO70" i="9"/>
  <c r="AP70" i="9" s="1"/>
  <c r="AN70" i="9"/>
  <c r="AK70" i="9"/>
  <c r="AJ70" i="9"/>
  <c r="AI70" i="9"/>
  <c r="AM70" i="9" s="1"/>
  <c r="AQ70" i="9" s="1"/>
  <c r="AO69" i="9"/>
  <c r="AP69" i="9" s="1"/>
  <c r="AN69" i="9"/>
  <c r="AK69" i="9"/>
  <c r="AJ69" i="9"/>
  <c r="AI69" i="9"/>
  <c r="AM69" i="9" s="1"/>
  <c r="AO68" i="9"/>
  <c r="AP68" i="9" s="1"/>
  <c r="AN68" i="9"/>
  <c r="AK68" i="9"/>
  <c r="AJ68" i="9"/>
  <c r="AI68" i="9"/>
  <c r="AO67" i="9"/>
  <c r="AP67" i="9" s="1"/>
  <c r="AN67" i="9"/>
  <c r="AK67" i="9"/>
  <c r="AJ67" i="9"/>
  <c r="AI67" i="9"/>
  <c r="AM67" i="9" s="1"/>
  <c r="AQ67" i="9" s="1"/>
  <c r="AO66" i="9"/>
  <c r="AP66" i="9" s="1"/>
  <c r="AN66" i="9"/>
  <c r="AK66" i="9"/>
  <c r="AJ66" i="9"/>
  <c r="AI66" i="9"/>
  <c r="AO65" i="9"/>
  <c r="AP65" i="9" s="1"/>
  <c r="AN65" i="9"/>
  <c r="AK65" i="9"/>
  <c r="AJ65" i="9"/>
  <c r="AI65" i="9"/>
  <c r="AO64" i="9"/>
  <c r="AP64" i="9" s="1"/>
  <c r="AN64" i="9"/>
  <c r="AK64" i="9"/>
  <c r="AJ64" i="9"/>
  <c r="AI64" i="9"/>
  <c r="AM64" i="9" s="1"/>
  <c r="AQ64" i="9" s="1"/>
  <c r="AO63" i="9"/>
  <c r="AP63" i="9" s="1"/>
  <c r="AN63" i="9"/>
  <c r="AK63" i="9"/>
  <c r="AJ63" i="9"/>
  <c r="AI63" i="9"/>
  <c r="AO62" i="9"/>
  <c r="AP62" i="9" s="1"/>
  <c r="AN62" i="9"/>
  <c r="AK62" i="9"/>
  <c r="AJ62" i="9"/>
  <c r="AI62" i="9"/>
  <c r="AM62" i="9" s="1"/>
  <c r="AQ62" i="9" s="1"/>
  <c r="AO61" i="9"/>
  <c r="AP61" i="9" s="1"/>
  <c r="AN61" i="9"/>
  <c r="AK61" i="9"/>
  <c r="AJ61" i="9"/>
  <c r="AI61" i="9"/>
  <c r="AM61" i="9" s="1"/>
  <c r="AQ61" i="9" s="1"/>
  <c r="AO60" i="9"/>
  <c r="AP60" i="9" s="1"/>
  <c r="AN60" i="9"/>
  <c r="AK60" i="9"/>
  <c r="AJ60" i="9"/>
  <c r="AI60" i="9"/>
  <c r="AM60" i="9" s="1"/>
  <c r="AQ60" i="9" s="1"/>
  <c r="AO59" i="9"/>
  <c r="AP59" i="9" s="1"/>
  <c r="AN59" i="9"/>
  <c r="AK59" i="9"/>
  <c r="AJ59" i="9"/>
  <c r="AI59" i="9"/>
  <c r="AM59" i="9" s="1"/>
  <c r="AO58" i="9"/>
  <c r="AP58" i="9" s="1"/>
  <c r="AN58" i="9"/>
  <c r="AK58" i="9"/>
  <c r="AJ58" i="9"/>
  <c r="AI58" i="9"/>
  <c r="AO57" i="9"/>
  <c r="AP57" i="9" s="1"/>
  <c r="AN57" i="9"/>
  <c r="AK57" i="9"/>
  <c r="AJ57" i="9"/>
  <c r="AI57" i="9"/>
  <c r="AM57" i="9" s="1"/>
  <c r="AQ57" i="9" s="1"/>
  <c r="AO56" i="9"/>
  <c r="AP56" i="9" s="1"/>
  <c r="AQ56" i="9" s="1"/>
  <c r="AN56" i="9"/>
  <c r="AK56" i="9"/>
  <c r="AJ56" i="9"/>
  <c r="AI56" i="9"/>
  <c r="AM56" i="9" s="1"/>
  <c r="AO55" i="9"/>
  <c r="AP55" i="9" s="1"/>
  <c r="AN55" i="9"/>
  <c r="AK55" i="9"/>
  <c r="AJ55" i="9"/>
  <c r="AI55" i="9"/>
  <c r="AO54" i="9"/>
  <c r="AP54" i="9" s="1"/>
  <c r="AN54" i="9"/>
  <c r="AK54" i="9"/>
  <c r="AJ54" i="9"/>
  <c r="AI54" i="9"/>
  <c r="AM54" i="9" s="1"/>
  <c r="AQ54" i="9" s="1"/>
  <c r="AO53" i="9"/>
  <c r="AP53" i="9" s="1"/>
  <c r="AN53" i="9"/>
  <c r="AK53" i="9"/>
  <c r="AJ53" i="9"/>
  <c r="AI53" i="9"/>
  <c r="AM53" i="9" s="1"/>
  <c r="AO52" i="9"/>
  <c r="AP52" i="9" s="1"/>
  <c r="AN52" i="9"/>
  <c r="AK52" i="9"/>
  <c r="AJ52" i="9"/>
  <c r="AI52" i="9"/>
  <c r="AO51" i="9"/>
  <c r="AP51" i="9" s="1"/>
  <c r="AN51" i="9"/>
  <c r="AK51" i="9"/>
  <c r="AJ51" i="9"/>
  <c r="AI51" i="9"/>
  <c r="AM51" i="9" s="1"/>
  <c r="AQ51" i="9" s="1"/>
  <c r="AO50" i="9"/>
  <c r="AP50" i="9" s="1"/>
  <c r="AN50" i="9"/>
  <c r="AK50" i="9"/>
  <c r="AJ50" i="9"/>
  <c r="AI50" i="9"/>
  <c r="AO49" i="9"/>
  <c r="AP49" i="9" s="1"/>
  <c r="AN49" i="9"/>
  <c r="AK49" i="9"/>
  <c r="AJ49" i="9"/>
  <c r="AI49" i="9"/>
  <c r="AO48" i="9"/>
  <c r="AP48" i="9" s="1"/>
  <c r="AN48" i="9"/>
  <c r="AK48" i="9"/>
  <c r="AJ48" i="9"/>
  <c r="AI48" i="9"/>
  <c r="AM48" i="9" s="1"/>
  <c r="AQ48" i="9" s="1"/>
  <c r="AO47" i="9"/>
  <c r="AP47" i="9" s="1"/>
  <c r="AN47" i="9"/>
  <c r="AK47" i="9"/>
  <c r="AJ47" i="9"/>
  <c r="AI47" i="9"/>
  <c r="AO46" i="9"/>
  <c r="AP46" i="9" s="1"/>
  <c r="AN46" i="9"/>
  <c r="AK46" i="9"/>
  <c r="AJ46" i="9"/>
  <c r="AI46" i="9"/>
  <c r="AM46" i="9" s="1"/>
  <c r="AO45" i="9"/>
  <c r="AP45" i="9" s="1"/>
  <c r="AN45" i="9"/>
  <c r="AK45" i="9"/>
  <c r="AJ45" i="9"/>
  <c r="AI45" i="9"/>
  <c r="AM45" i="9" s="1"/>
  <c r="AQ45" i="9" s="1"/>
  <c r="AO44" i="9"/>
  <c r="AP44" i="9" s="1"/>
  <c r="AN44" i="9"/>
  <c r="AK44" i="9"/>
  <c r="AJ44" i="9"/>
  <c r="AI44" i="9"/>
  <c r="AM44" i="9" s="1"/>
  <c r="AQ44" i="9" s="1"/>
  <c r="AO43" i="9"/>
  <c r="AP43" i="9" s="1"/>
  <c r="AN43" i="9"/>
  <c r="AK43" i="9"/>
  <c r="AJ43" i="9"/>
  <c r="AI43" i="9"/>
  <c r="AM43" i="9" s="1"/>
  <c r="AO42" i="9"/>
  <c r="AP42" i="9" s="1"/>
  <c r="AN42" i="9"/>
  <c r="AK42" i="9"/>
  <c r="AJ42" i="9"/>
  <c r="AI42" i="9"/>
  <c r="AO41" i="9"/>
  <c r="AP41" i="9" s="1"/>
  <c r="AN41" i="9"/>
  <c r="AK41" i="9"/>
  <c r="AJ41" i="9"/>
  <c r="AI41" i="9"/>
  <c r="AM41" i="9" s="1"/>
  <c r="AQ41" i="9" s="1"/>
  <c r="AO40" i="9"/>
  <c r="AP40" i="9" s="1"/>
  <c r="AQ40" i="9" s="1"/>
  <c r="AN40" i="9"/>
  <c r="AK40" i="9"/>
  <c r="AJ40" i="9"/>
  <c r="AI40" i="9"/>
  <c r="AM40" i="9" s="1"/>
  <c r="AO39" i="9"/>
  <c r="AP39" i="9" s="1"/>
  <c r="AN39" i="9"/>
  <c r="AK39" i="9"/>
  <c r="AJ39" i="9"/>
  <c r="AI39" i="9"/>
  <c r="AO38" i="9"/>
  <c r="AP38" i="9" s="1"/>
  <c r="AN38" i="9"/>
  <c r="AK38" i="9"/>
  <c r="AJ38" i="9"/>
  <c r="AI38" i="9"/>
  <c r="AM38" i="9" s="1"/>
  <c r="AQ38" i="9" s="1"/>
  <c r="AO35" i="9"/>
  <c r="AP35" i="9" s="1"/>
  <c r="AN35" i="9"/>
  <c r="AK35" i="9"/>
  <c r="AJ35" i="9"/>
  <c r="AI35" i="9"/>
  <c r="AM35" i="9" s="1"/>
  <c r="AO34" i="9"/>
  <c r="AP34" i="9" s="1"/>
  <c r="AN34" i="9"/>
  <c r="AK34" i="9"/>
  <c r="AJ34" i="9"/>
  <c r="AI34" i="9"/>
  <c r="AO33" i="9"/>
  <c r="AP33" i="9" s="1"/>
  <c r="AN33" i="9"/>
  <c r="AK33" i="9"/>
  <c r="AJ33" i="9"/>
  <c r="AI33" i="9"/>
  <c r="AM33" i="9" s="1"/>
  <c r="AQ33" i="9" s="1"/>
  <c r="AO32" i="9"/>
  <c r="AP32" i="9" s="1"/>
  <c r="AN32" i="9"/>
  <c r="AK32" i="9"/>
  <c r="AJ32" i="9"/>
  <c r="AI32" i="9"/>
  <c r="AO31" i="9"/>
  <c r="AP31" i="9" s="1"/>
  <c r="AN31" i="9"/>
  <c r="AK31" i="9"/>
  <c r="AJ31" i="9"/>
  <c r="AI31" i="9"/>
  <c r="AO30" i="9"/>
  <c r="AP30" i="9" s="1"/>
  <c r="AN30" i="9"/>
  <c r="AK30" i="9"/>
  <c r="AJ30" i="9"/>
  <c r="AI30" i="9"/>
  <c r="AM30" i="9" s="1"/>
  <c r="AQ30" i="9" s="1"/>
  <c r="AO29" i="9"/>
  <c r="AP29" i="9" s="1"/>
  <c r="AN29" i="9"/>
  <c r="AK29" i="9"/>
  <c r="AJ29" i="9"/>
  <c r="AI29" i="9"/>
  <c r="AO28" i="9"/>
  <c r="AP28" i="9" s="1"/>
  <c r="AN28" i="9"/>
  <c r="AK28" i="9"/>
  <c r="AJ28" i="9"/>
  <c r="AI28" i="9"/>
  <c r="AM28" i="9" s="1"/>
  <c r="AO27" i="9"/>
  <c r="AP27" i="9" s="1"/>
  <c r="AN27" i="9"/>
  <c r="AK27" i="9"/>
  <c r="AJ27" i="9"/>
  <c r="AI27" i="9"/>
  <c r="AM27" i="9" s="1"/>
  <c r="AQ27" i="9" s="1"/>
  <c r="AO26" i="9"/>
  <c r="AP26" i="9" s="1"/>
  <c r="AN26" i="9"/>
  <c r="AK26" i="9"/>
  <c r="AJ26" i="9"/>
  <c r="AI26" i="9"/>
  <c r="AM26" i="9" s="1"/>
  <c r="AQ26" i="9" s="1"/>
  <c r="AO25" i="9"/>
  <c r="AP25" i="9" s="1"/>
  <c r="AN25" i="9"/>
  <c r="AK25" i="9"/>
  <c r="AJ25" i="9"/>
  <c r="AI25" i="9"/>
  <c r="AM25" i="9" s="1"/>
  <c r="AO24" i="9"/>
  <c r="AP24" i="9" s="1"/>
  <c r="AN24" i="9"/>
  <c r="AK24" i="9"/>
  <c r="AJ24" i="9"/>
  <c r="AI24" i="9"/>
  <c r="AO23" i="9"/>
  <c r="AP23" i="9" s="1"/>
  <c r="AN23" i="9"/>
  <c r="AK23" i="9"/>
  <c r="AJ23" i="9"/>
  <c r="AI23" i="9"/>
  <c r="AM23" i="9" s="1"/>
  <c r="AQ23" i="9" s="1"/>
  <c r="AQ22" i="9"/>
  <c r="AO22" i="9"/>
  <c r="AP22" i="9" s="1"/>
  <c r="AN22" i="9"/>
  <c r="AK22" i="9"/>
  <c r="AJ22" i="9"/>
  <c r="AI22" i="9"/>
  <c r="AM22" i="9" s="1"/>
  <c r="AO19" i="9"/>
  <c r="AP19" i="9" s="1"/>
  <c r="AN19" i="9"/>
  <c r="AK19" i="9"/>
  <c r="AJ19" i="9"/>
  <c r="AI19" i="9"/>
  <c r="AO18" i="9"/>
  <c r="AP18" i="9" s="1"/>
  <c r="AN18" i="9"/>
  <c r="AK18" i="9"/>
  <c r="AJ18" i="9"/>
  <c r="AI18" i="9"/>
  <c r="AM18" i="9" s="1"/>
  <c r="AQ18" i="9" s="1"/>
  <c r="AO17" i="9"/>
  <c r="AP17" i="9" s="1"/>
  <c r="AN17" i="9"/>
  <c r="AK17" i="9"/>
  <c r="AJ17" i="9"/>
  <c r="AI17" i="9"/>
  <c r="AM17" i="9" s="1"/>
  <c r="AO16" i="9"/>
  <c r="AP16" i="9" s="1"/>
  <c r="AN16" i="9"/>
  <c r="AK16" i="9"/>
  <c r="AJ16" i="9"/>
  <c r="AI16" i="9"/>
  <c r="AO15" i="9"/>
  <c r="AP15" i="9" s="1"/>
  <c r="AN15" i="9"/>
  <c r="AK15" i="9"/>
  <c r="AJ15" i="9"/>
  <c r="AI15" i="9"/>
  <c r="AM15" i="9" s="1"/>
  <c r="AQ15" i="9" s="1"/>
  <c r="AO14" i="9"/>
  <c r="AP14" i="9" s="1"/>
  <c r="AN14" i="9"/>
  <c r="AK14" i="9"/>
  <c r="AJ14" i="9"/>
  <c r="AI14" i="9"/>
  <c r="AO13" i="9"/>
  <c r="AP13" i="9" s="1"/>
  <c r="AN13" i="9"/>
  <c r="AK13" i="9"/>
  <c r="AJ13" i="9"/>
  <c r="AI13" i="9"/>
  <c r="AO12" i="9"/>
  <c r="AP12" i="9" s="1"/>
  <c r="AN12" i="9"/>
  <c r="AK12" i="9"/>
  <c r="AJ12" i="9"/>
  <c r="AI12" i="9"/>
  <c r="AM12" i="9" s="1"/>
  <c r="AQ12" i="9" s="1"/>
  <c r="AO11" i="9"/>
  <c r="AP11" i="9" s="1"/>
  <c r="AN11" i="9"/>
  <c r="AK11" i="9"/>
  <c r="AJ11" i="9"/>
  <c r="AI11" i="9"/>
  <c r="AO10" i="9"/>
  <c r="AP10" i="9" s="1"/>
  <c r="AN10" i="9"/>
  <c r="AK10" i="9"/>
  <c r="AJ10" i="9"/>
  <c r="AI10" i="9"/>
  <c r="AM10" i="9" s="1"/>
  <c r="AQ10" i="9" s="1"/>
  <c r="AO9" i="9"/>
  <c r="AP9" i="9" s="1"/>
  <c r="AN9" i="9"/>
  <c r="AM9" i="9"/>
  <c r="AQ9" i="9" s="1"/>
  <c r="AK9" i="9"/>
  <c r="AJ9" i="9"/>
  <c r="AI9" i="9"/>
  <c r="AO8" i="9"/>
  <c r="AP8" i="9" s="1"/>
  <c r="AN8" i="9"/>
  <c r="AK8" i="9"/>
  <c r="AJ8" i="9"/>
  <c r="AI8" i="9"/>
  <c r="AM8" i="9" s="1"/>
  <c r="AQ8" i="9" s="1"/>
  <c r="AO7" i="9"/>
  <c r="AP7" i="9" s="1"/>
  <c r="AN7" i="9"/>
  <c r="AK7" i="9"/>
  <c r="AJ7" i="9"/>
  <c r="AI7" i="9"/>
  <c r="AM7" i="9" s="1"/>
  <c r="AQ7" i="9" s="1"/>
  <c r="AQ6" i="9"/>
  <c r="AO6" i="9"/>
  <c r="AP6" i="9" s="1"/>
  <c r="AN6" i="9"/>
  <c r="AM6" i="9"/>
  <c r="AK6" i="9"/>
  <c r="AJ6" i="9"/>
  <c r="AI6" i="9"/>
  <c r="AQ5" i="9"/>
  <c r="AO5" i="9"/>
  <c r="AP5" i="9" s="1"/>
  <c r="AN5" i="9"/>
  <c r="AK5" i="9"/>
  <c r="AJ5" i="9"/>
  <c r="AI5" i="9"/>
  <c r="AM5" i="9" s="1"/>
  <c r="AN129" i="8"/>
  <c r="AO129" i="8" s="1"/>
  <c r="AM129" i="8"/>
  <c r="AJ129" i="8"/>
  <c r="AI129" i="8"/>
  <c r="AH129" i="8"/>
  <c r="AL129" i="8" s="1"/>
  <c r="AN128" i="8"/>
  <c r="AO128" i="8" s="1"/>
  <c r="AM128" i="8"/>
  <c r="AL128" i="8"/>
  <c r="AP128" i="8" s="1"/>
  <c r="AJ128" i="8"/>
  <c r="AI128" i="8"/>
  <c r="AH128" i="8"/>
  <c r="AN127" i="8"/>
  <c r="AO127" i="8" s="1"/>
  <c r="AM127" i="8"/>
  <c r="AL127" i="8"/>
  <c r="AP127" i="8" s="1"/>
  <c r="AJ127" i="8"/>
  <c r="AI127" i="8"/>
  <c r="AH127" i="8"/>
  <c r="AP126" i="8"/>
  <c r="AN126" i="8"/>
  <c r="AO126" i="8" s="1"/>
  <c r="AM126" i="8"/>
  <c r="AL126" i="8"/>
  <c r="AJ126" i="8"/>
  <c r="AI126" i="8"/>
  <c r="AH126" i="8"/>
  <c r="AN125" i="8"/>
  <c r="AO125" i="8" s="1"/>
  <c r="AM125" i="8"/>
  <c r="AJ125" i="8"/>
  <c r="AI125" i="8"/>
  <c r="AH125" i="8"/>
  <c r="AL125" i="8" s="1"/>
  <c r="AP125" i="8" s="1"/>
  <c r="AN124" i="8"/>
  <c r="AO124" i="8" s="1"/>
  <c r="AM124" i="8"/>
  <c r="AJ124" i="8"/>
  <c r="AI124" i="8"/>
  <c r="AH124" i="8"/>
  <c r="AL124" i="8" s="1"/>
  <c r="AP124" i="8" s="1"/>
  <c r="AP123" i="8"/>
  <c r="AN123" i="8"/>
  <c r="AO123" i="8" s="1"/>
  <c r="AM123" i="8"/>
  <c r="AL123" i="8"/>
  <c r="AJ123" i="8"/>
  <c r="AI123" i="8"/>
  <c r="AH123" i="8"/>
  <c r="AN122" i="8"/>
  <c r="AO122" i="8" s="1"/>
  <c r="AP122" i="8" s="1"/>
  <c r="AM122" i="8"/>
  <c r="AJ122" i="8"/>
  <c r="AI122" i="8"/>
  <c r="AH122" i="8"/>
  <c r="AL122" i="8" s="1"/>
  <c r="AN121" i="8"/>
  <c r="AO121" i="8" s="1"/>
  <c r="AM121" i="8"/>
  <c r="AJ121" i="8"/>
  <c r="AI121" i="8"/>
  <c r="AH121" i="8"/>
  <c r="AL121" i="8" s="1"/>
  <c r="AP121" i="8" s="1"/>
  <c r="AN120" i="8"/>
  <c r="AO120" i="8" s="1"/>
  <c r="AM120" i="8"/>
  <c r="AL120" i="8"/>
  <c r="AP120" i="8" s="1"/>
  <c r="AJ120" i="8"/>
  <c r="AI120" i="8"/>
  <c r="AH120" i="8"/>
  <c r="AN119" i="8"/>
  <c r="AO119" i="8" s="1"/>
  <c r="AM119" i="8"/>
  <c r="AJ119" i="8"/>
  <c r="AL119" i="8" s="1"/>
  <c r="AP119" i="8" s="1"/>
  <c r="AI119" i="8"/>
  <c r="AH119" i="8"/>
  <c r="AN116" i="8"/>
  <c r="AO116" i="8" s="1"/>
  <c r="AM116" i="8"/>
  <c r="AJ116" i="8"/>
  <c r="AL116" i="8" s="1"/>
  <c r="AP116" i="8" s="1"/>
  <c r="AI116" i="8"/>
  <c r="AH116" i="8"/>
  <c r="AN115" i="8"/>
  <c r="AO115" i="8" s="1"/>
  <c r="AM115" i="8"/>
  <c r="AJ115" i="8"/>
  <c r="AI115" i="8"/>
  <c r="AH115" i="8"/>
  <c r="AL115" i="8" s="1"/>
  <c r="AP115" i="8" s="1"/>
  <c r="AN114" i="8"/>
  <c r="AO114" i="8" s="1"/>
  <c r="AM114" i="8"/>
  <c r="AJ114" i="8"/>
  <c r="AI114" i="8"/>
  <c r="AH114" i="8"/>
  <c r="AL114" i="8" s="1"/>
  <c r="AP114" i="8" s="1"/>
  <c r="AP111" i="8"/>
  <c r="AN111" i="8"/>
  <c r="AO111" i="8" s="1"/>
  <c r="AM111" i="8"/>
  <c r="AL111" i="8"/>
  <c r="AJ111" i="8"/>
  <c r="AI111" i="8"/>
  <c r="AH111" i="8"/>
  <c r="AN110" i="8"/>
  <c r="AO110" i="8" s="1"/>
  <c r="AM110" i="8"/>
  <c r="AJ110" i="8"/>
  <c r="AI110" i="8"/>
  <c r="AH110" i="8"/>
  <c r="AL110" i="8" s="1"/>
  <c r="AP110" i="8" s="1"/>
  <c r="AN109" i="8"/>
  <c r="AO109" i="8" s="1"/>
  <c r="AM109" i="8"/>
  <c r="AJ109" i="8"/>
  <c r="AI109" i="8"/>
  <c r="AH109" i="8"/>
  <c r="AL109" i="8" s="1"/>
  <c r="AP109" i="8" s="1"/>
  <c r="AN108" i="8"/>
  <c r="AO108" i="8" s="1"/>
  <c r="AM108" i="8"/>
  <c r="AL108" i="8"/>
  <c r="AP108" i="8" s="1"/>
  <c r="AJ108" i="8"/>
  <c r="AI108" i="8"/>
  <c r="AH108" i="8"/>
  <c r="AN107" i="8"/>
  <c r="AO107" i="8" s="1"/>
  <c r="AM107" i="8"/>
  <c r="AJ107" i="8"/>
  <c r="AL107" i="8" s="1"/>
  <c r="AP107" i="8" s="1"/>
  <c r="AI107" i="8"/>
  <c r="AH107" i="8"/>
  <c r="AN106" i="8"/>
  <c r="AO106" i="8" s="1"/>
  <c r="AM106" i="8"/>
  <c r="AJ106" i="8"/>
  <c r="AL106" i="8" s="1"/>
  <c r="AP106" i="8" s="1"/>
  <c r="AI106" i="8"/>
  <c r="AH106" i="8"/>
  <c r="AN105" i="8"/>
  <c r="AO105" i="8" s="1"/>
  <c r="AM105" i="8"/>
  <c r="AJ105" i="8"/>
  <c r="AI105" i="8"/>
  <c r="AH105" i="8"/>
  <c r="AL105" i="8" s="1"/>
  <c r="AP105" i="8" s="1"/>
  <c r="AN104" i="8"/>
  <c r="AO104" i="8" s="1"/>
  <c r="AM104" i="8"/>
  <c r="AJ104" i="8"/>
  <c r="AI104" i="8"/>
  <c r="AH104" i="8"/>
  <c r="AL104" i="8" s="1"/>
  <c r="AP104" i="8" s="1"/>
  <c r="AP103" i="8"/>
  <c r="AN103" i="8"/>
  <c r="AO103" i="8" s="1"/>
  <c r="AM103" i="8"/>
  <c r="AL103" i="8"/>
  <c r="AJ103" i="8"/>
  <c r="AI103" i="8"/>
  <c r="AH103" i="8"/>
  <c r="AP102" i="8"/>
  <c r="AN102" i="8"/>
  <c r="AO102" i="8" s="1"/>
  <c r="AM102" i="8"/>
  <c r="AJ102" i="8"/>
  <c r="AI102" i="8"/>
  <c r="AH102" i="8"/>
  <c r="AL102" i="8" s="1"/>
  <c r="AN101" i="8"/>
  <c r="AO101" i="8" s="1"/>
  <c r="AM101" i="8"/>
  <c r="AJ101" i="8"/>
  <c r="AI101" i="8"/>
  <c r="AH101" i="8"/>
  <c r="AL101" i="8" s="1"/>
  <c r="AP101" i="8" s="1"/>
  <c r="AN100" i="8"/>
  <c r="AO100" i="8" s="1"/>
  <c r="AM100" i="8"/>
  <c r="AL100" i="8"/>
  <c r="AP100" i="8" s="1"/>
  <c r="AJ100" i="8"/>
  <c r="AI100" i="8"/>
  <c r="AH100" i="8"/>
  <c r="AN99" i="8"/>
  <c r="AO99" i="8" s="1"/>
  <c r="AM99" i="8"/>
  <c r="AJ99" i="8"/>
  <c r="AL99" i="8" s="1"/>
  <c r="AP99" i="8" s="1"/>
  <c r="AI99" i="8"/>
  <c r="AH99" i="8"/>
  <c r="AN98" i="8"/>
  <c r="AO98" i="8" s="1"/>
  <c r="AM98" i="8"/>
  <c r="AJ98" i="8"/>
  <c r="AL98" i="8" s="1"/>
  <c r="AP98" i="8" s="1"/>
  <c r="AI98" i="8"/>
  <c r="AH98" i="8"/>
  <c r="AN95" i="8"/>
  <c r="AO95" i="8" s="1"/>
  <c r="AM95" i="8"/>
  <c r="AJ95" i="8"/>
  <c r="AI95" i="8"/>
  <c r="AH95" i="8"/>
  <c r="AL95" i="8" s="1"/>
  <c r="AP95" i="8" s="1"/>
  <c r="AN94" i="8"/>
  <c r="AO94" i="8" s="1"/>
  <c r="AM94" i="8"/>
  <c r="AJ94" i="8"/>
  <c r="AI94" i="8"/>
  <c r="AH94" i="8"/>
  <c r="AL94" i="8" s="1"/>
  <c r="AP94" i="8" s="1"/>
  <c r="AP93" i="8"/>
  <c r="AN93" i="8"/>
  <c r="AO93" i="8" s="1"/>
  <c r="AM93" i="8"/>
  <c r="AL93" i="8"/>
  <c r="AJ93" i="8"/>
  <c r="AI93" i="8"/>
  <c r="AH93" i="8"/>
  <c r="AN92" i="8"/>
  <c r="AO92" i="8" s="1"/>
  <c r="AM92" i="8"/>
  <c r="AJ92" i="8"/>
  <c r="AI92" i="8"/>
  <c r="AH92" i="8"/>
  <c r="AL92" i="8" s="1"/>
  <c r="AP92" i="8" s="1"/>
  <c r="AN89" i="8"/>
  <c r="AO89" i="8" s="1"/>
  <c r="AM89" i="8"/>
  <c r="AJ89" i="8"/>
  <c r="AI89" i="8"/>
  <c r="AH89" i="8"/>
  <c r="AL89" i="8" s="1"/>
  <c r="AP89" i="8" s="1"/>
  <c r="AN88" i="8"/>
  <c r="AO88" i="8" s="1"/>
  <c r="AM88" i="8"/>
  <c r="AL88" i="8"/>
  <c r="AP88" i="8" s="1"/>
  <c r="AJ88" i="8"/>
  <c r="AI88" i="8"/>
  <c r="AH88" i="8"/>
  <c r="AN87" i="8"/>
  <c r="AO87" i="8" s="1"/>
  <c r="AM87" i="8"/>
  <c r="AL87" i="8"/>
  <c r="AP87" i="8" s="1"/>
  <c r="AJ87" i="8"/>
  <c r="AI87" i="8"/>
  <c r="AH87" i="8"/>
  <c r="AN86" i="8"/>
  <c r="AO86" i="8" s="1"/>
  <c r="AM86" i="8"/>
  <c r="AJ86" i="8"/>
  <c r="AL86" i="8" s="1"/>
  <c r="AP86" i="8" s="1"/>
  <c r="AI86" i="8"/>
  <c r="AH86" i="8"/>
  <c r="AN85" i="8"/>
  <c r="AO85" i="8" s="1"/>
  <c r="AM85" i="8"/>
  <c r="AJ85" i="8"/>
  <c r="AI85" i="8"/>
  <c r="AH85" i="8"/>
  <c r="AL85" i="8" s="1"/>
  <c r="AP85" i="8" s="1"/>
  <c r="AN82" i="8"/>
  <c r="AO82" i="8" s="1"/>
  <c r="AM82" i="8"/>
  <c r="AJ82" i="8"/>
  <c r="AI82" i="8"/>
  <c r="AH82" i="8"/>
  <c r="AL82" i="8" s="1"/>
  <c r="AP82" i="8" s="1"/>
  <c r="AP81" i="8"/>
  <c r="AN81" i="8"/>
  <c r="AO81" i="8" s="1"/>
  <c r="AM81" i="8"/>
  <c r="AL81" i="8"/>
  <c r="AJ81" i="8"/>
  <c r="AI81" i="8"/>
  <c r="AH81" i="8"/>
  <c r="AN80" i="8"/>
  <c r="AO80" i="8" s="1"/>
  <c r="AM80" i="8"/>
  <c r="AJ80" i="8"/>
  <c r="AI80" i="8"/>
  <c r="AH80" i="8"/>
  <c r="AL80" i="8" s="1"/>
  <c r="AP80" i="8" s="1"/>
  <c r="AN79" i="8"/>
  <c r="AO79" i="8" s="1"/>
  <c r="AM79" i="8"/>
  <c r="AJ79" i="8"/>
  <c r="AI79" i="8"/>
  <c r="AH79" i="8"/>
  <c r="AL79" i="8" s="1"/>
  <c r="AN78" i="8"/>
  <c r="AO78" i="8" s="1"/>
  <c r="AM78" i="8"/>
  <c r="AL78" i="8"/>
  <c r="AP78" i="8" s="1"/>
  <c r="AJ78" i="8"/>
  <c r="AI78" i="8"/>
  <c r="AH78" i="8"/>
  <c r="AN77" i="8"/>
  <c r="AO77" i="8" s="1"/>
  <c r="AM77" i="8"/>
  <c r="AL77" i="8"/>
  <c r="AJ77" i="8"/>
  <c r="AI77" i="8"/>
  <c r="AH77" i="8"/>
  <c r="AN74" i="8"/>
  <c r="AO74" i="8" s="1"/>
  <c r="AM74" i="8"/>
  <c r="AL74" i="8"/>
  <c r="AP74" i="8" s="1"/>
  <c r="AJ74" i="8"/>
  <c r="AI74" i="8"/>
  <c r="AH74" i="8"/>
  <c r="AN73" i="8"/>
  <c r="AO73" i="8" s="1"/>
  <c r="AM73" i="8"/>
  <c r="AL73" i="8"/>
  <c r="AJ73" i="8"/>
  <c r="AI73" i="8"/>
  <c r="AH73" i="8"/>
  <c r="AN72" i="8"/>
  <c r="AO72" i="8" s="1"/>
  <c r="AM72" i="8"/>
  <c r="AL72" i="8"/>
  <c r="AP72" i="8" s="1"/>
  <c r="AJ72" i="8"/>
  <c r="AI72" i="8"/>
  <c r="AH72" i="8"/>
  <c r="AN71" i="8"/>
  <c r="AO71" i="8" s="1"/>
  <c r="AM71" i="8"/>
  <c r="AJ71" i="8"/>
  <c r="AI71" i="8"/>
  <c r="AH71" i="8"/>
  <c r="AL71" i="8" s="1"/>
  <c r="AP71" i="8" s="1"/>
  <c r="AN70" i="8"/>
  <c r="AO70" i="8" s="1"/>
  <c r="AM70" i="8"/>
  <c r="AJ70" i="8"/>
  <c r="AI70" i="8"/>
  <c r="AH70" i="8"/>
  <c r="AL70" i="8" s="1"/>
  <c r="AP70" i="8" s="1"/>
  <c r="AN69" i="8"/>
  <c r="AO69" i="8" s="1"/>
  <c r="AM69" i="8"/>
  <c r="AJ69" i="8"/>
  <c r="AI69" i="8"/>
  <c r="AH69" i="8"/>
  <c r="AL69" i="8" s="1"/>
  <c r="AP69" i="8" s="1"/>
  <c r="AN68" i="8"/>
  <c r="AO68" i="8" s="1"/>
  <c r="AM68" i="8"/>
  <c r="AL68" i="8"/>
  <c r="AP68" i="8" s="1"/>
  <c r="AJ68" i="8"/>
  <c r="AI68" i="8"/>
  <c r="AH68" i="8"/>
  <c r="AN67" i="8"/>
  <c r="AO67" i="8" s="1"/>
  <c r="AM67" i="8"/>
  <c r="AJ67" i="8"/>
  <c r="AI67" i="8"/>
  <c r="AH67" i="8"/>
  <c r="AL67" i="8" s="1"/>
  <c r="AP67" i="8" s="1"/>
  <c r="AN66" i="8"/>
  <c r="AO66" i="8" s="1"/>
  <c r="AM66" i="8"/>
  <c r="AJ66" i="8"/>
  <c r="AI66" i="8"/>
  <c r="AH66" i="8"/>
  <c r="AL66" i="8" s="1"/>
  <c r="AP66" i="8" s="1"/>
  <c r="AN65" i="8"/>
  <c r="AO65" i="8" s="1"/>
  <c r="AM65" i="8"/>
  <c r="AJ65" i="8"/>
  <c r="AI65" i="8"/>
  <c r="AH65" i="8"/>
  <c r="AL65" i="8" s="1"/>
  <c r="AP65" i="8" s="1"/>
  <c r="AN64" i="8"/>
  <c r="AO64" i="8" s="1"/>
  <c r="AM64" i="8"/>
  <c r="AL64" i="8"/>
  <c r="AP64" i="8" s="1"/>
  <c r="AJ64" i="8"/>
  <c r="AI64" i="8"/>
  <c r="AH64" i="8"/>
  <c r="AN63" i="8"/>
  <c r="AO63" i="8" s="1"/>
  <c r="AM63" i="8"/>
  <c r="AJ63" i="8"/>
  <c r="AI63" i="8"/>
  <c r="AH63" i="8"/>
  <c r="AL63" i="8" s="1"/>
  <c r="AP63" i="8" s="1"/>
  <c r="AN62" i="8"/>
  <c r="AO62" i="8" s="1"/>
  <c r="AM62" i="8"/>
  <c r="AJ62" i="8"/>
  <c r="AI62" i="8"/>
  <c r="AH62" i="8"/>
  <c r="AL62" i="8" s="1"/>
  <c r="AP62" i="8" s="1"/>
  <c r="AN61" i="8"/>
  <c r="AO61" i="8" s="1"/>
  <c r="AM61" i="8"/>
  <c r="AJ61" i="8"/>
  <c r="AI61" i="8"/>
  <c r="AH61" i="8"/>
  <c r="AL61" i="8" s="1"/>
  <c r="AN60" i="8"/>
  <c r="AO60" i="8" s="1"/>
  <c r="AM60" i="8"/>
  <c r="AL60" i="8"/>
  <c r="AP60" i="8" s="1"/>
  <c r="AJ60" i="8"/>
  <c r="AI60" i="8"/>
  <c r="AH60" i="8"/>
  <c r="AN59" i="8"/>
  <c r="AO59" i="8" s="1"/>
  <c r="AM59" i="8"/>
  <c r="AJ59" i="8"/>
  <c r="AI59" i="8"/>
  <c r="AH59" i="8"/>
  <c r="AL59" i="8" s="1"/>
  <c r="AP59" i="8" s="1"/>
  <c r="AN58" i="8"/>
  <c r="AO58" i="8" s="1"/>
  <c r="AM58" i="8"/>
  <c r="AJ58" i="8"/>
  <c r="AI58" i="8"/>
  <c r="AH58" i="8"/>
  <c r="AL58" i="8" s="1"/>
  <c r="AP58" i="8" s="1"/>
  <c r="AN57" i="8"/>
  <c r="AO57" i="8" s="1"/>
  <c r="AM57" i="8"/>
  <c r="AJ57" i="8"/>
  <c r="AI57" i="8"/>
  <c r="AH57" i="8"/>
  <c r="AL57" i="8" s="1"/>
  <c r="AN56" i="8"/>
  <c r="AO56" i="8" s="1"/>
  <c r="AM56" i="8"/>
  <c r="AL56" i="8"/>
  <c r="AP56" i="8" s="1"/>
  <c r="AJ56" i="8"/>
  <c r="AI56" i="8"/>
  <c r="AH56" i="8"/>
  <c r="AN55" i="8"/>
  <c r="AO55" i="8" s="1"/>
  <c r="AM55" i="8"/>
  <c r="AJ55" i="8"/>
  <c r="AI55" i="8"/>
  <c r="AH55" i="8"/>
  <c r="AL55" i="8" s="1"/>
  <c r="AP55" i="8" s="1"/>
  <c r="AN54" i="8"/>
  <c r="AO54" i="8" s="1"/>
  <c r="AM54" i="8"/>
  <c r="AJ54" i="8"/>
  <c r="AI54" i="8"/>
  <c r="AH54" i="8"/>
  <c r="AL54" i="8" s="1"/>
  <c r="AP54" i="8" s="1"/>
  <c r="AN53" i="8"/>
  <c r="AO53" i="8" s="1"/>
  <c r="AM53" i="8"/>
  <c r="AJ53" i="8"/>
  <c r="AI53" i="8"/>
  <c r="AH53" i="8"/>
  <c r="AL53" i="8" s="1"/>
  <c r="AN52" i="8"/>
  <c r="AO52" i="8" s="1"/>
  <c r="AM52" i="8"/>
  <c r="AL52" i="8"/>
  <c r="AP52" i="8" s="1"/>
  <c r="AJ52" i="8"/>
  <c r="AI52" i="8"/>
  <c r="AH52" i="8"/>
  <c r="AN51" i="8"/>
  <c r="AO51" i="8" s="1"/>
  <c r="AM51" i="8"/>
  <c r="AJ51" i="8"/>
  <c r="AI51" i="8"/>
  <c r="AH51" i="8"/>
  <c r="AL51" i="8" s="1"/>
  <c r="AP51" i="8" s="1"/>
  <c r="AN50" i="8"/>
  <c r="AO50" i="8" s="1"/>
  <c r="AM50" i="8"/>
  <c r="AJ50" i="8"/>
  <c r="AI50" i="8"/>
  <c r="AH50" i="8"/>
  <c r="AL50" i="8" s="1"/>
  <c r="AP50" i="8" s="1"/>
  <c r="AN49" i="8"/>
  <c r="AO49" i="8" s="1"/>
  <c r="AM49" i="8"/>
  <c r="AJ49" i="8"/>
  <c r="AI49" i="8"/>
  <c r="AH49" i="8"/>
  <c r="AL49" i="8" s="1"/>
  <c r="AN48" i="8"/>
  <c r="AO48" i="8" s="1"/>
  <c r="AM48" i="8"/>
  <c r="AL48" i="8"/>
  <c r="AP48" i="8" s="1"/>
  <c r="AJ48" i="8"/>
  <c r="AI48" i="8"/>
  <c r="AH48" i="8"/>
  <c r="AN47" i="8"/>
  <c r="AO47" i="8" s="1"/>
  <c r="AM47" i="8"/>
  <c r="AJ47" i="8"/>
  <c r="AI47" i="8"/>
  <c r="AH47" i="8"/>
  <c r="AL47" i="8" s="1"/>
  <c r="AP47" i="8" s="1"/>
  <c r="AN46" i="8"/>
  <c r="AO46" i="8" s="1"/>
  <c r="AM46" i="8"/>
  <c r="AJ46" i="8"/>
  <c r="AI46" i="8"/>
  <c r="AH46" i="8"/>
  <c r="AL46" i="8" s="1"/>
  <c r="AP46" i="8" s="1"/>
  <c r="AN45" i="8"/>
  <c r="AO45" i="8" s="1"/>
  <c r="AM45" i="8"/>
  <c r="AJ45" i="8"/>
  <c r="AI45" i="8"/>
  <c r="AH45" i="8"/>
  <c r="AL45" i="8" s="1"/>
  <c r="AP45" i="8" s="1"/>
  <c r="AN44" i="8"/>
  <c r="AO44" i="8" s="1"/>
  <c r="AM44" i="8"/>
  <c r="AL44" i="8"/>
  <c r="AP44" i="8" s="1"/>
  <c r="AJ44" i="8"/>
  <c r="AI44" i="8"/>
  <c r="AH44" i="8"/>
  <c r="AN43" i="8"/>
  <c r="AO43" i="8" s="1"/>
  <c r="AM43" i="8"/>
  <c r="AJ43" i="8"/>
  <c r="AI43" i="8"/>
  <c r="AH43" i="8"/>
  <c r="AL43" i="8" s="1"/>
  <c r="AP43" i="8" s="1"/>
  <c r="AN42" i="8"/>
  <c r="AO42" i="8" s="1"/>
  <c r="AM42" i="8"/>
  <c r="AJ42" i="8"/>
  <c r="AI42" i="8"/>
  <c r="AH42" i="8"/>
  <c r="AL42" i="8" s="1"/>
  <c r="AP42" i="8" s="1"/>
  <c r="AN41" i="8"/>
  <c r="AO41" i="8" s="1"/>
  <c r="AM41" i="8"/>
  <c r="AJ41" i="8"/>
  <c r="AI41" i="8"/>
  <c r="AH41" i="8"/>
  <c r="AL41" i="8" s="1"/>
  <c r="AP41" i="8" s="1"/>
  <c r="AN40" i="8"/>
  <c r="AO40" i="8" s="1"/>
  <c r="AM40" i="8"/>
  <c r="AL40" i="8"/>
  <c r="AP40" i="8" s="1"/>
  <c r="AJ40" i="8"/>
  <c r="AI40" i="8"/>
  <c r="AH40" i="8"/>
  <c r="AN39" i="8"/>
  <c r="AO39" i="8" s="1"/>
  <c r="AM39" i="8"/>
  <c r="AJ39" i="8"/>
  <c r="AI39" i="8"/>
  <c r="AH39" i="8"/>
  <c r="AL39" i="8" s="1"/>
  <c r="AP39" i="8" s="1"/>
  <c r="AN38" i="8"/>
  <c r="AO38" i="8" s="1"/>
  <c r="AM38" i="8"/>
  <c r="AJ38" i="8"/>
  <c r="AI38" i="8"/>
  <c r="AH38" i="8"/>
  <c r="AL38" i="8" s="1"/>
  <c r="AP38" i="8" s="1"/>
  <c r="AN35" i="8"/>
  <c r="AO35" i="8" s="1"/>
  <c r="AM35" i="8"/>
  <c r="AJ35" i="8"/>
  <c r="AI35" i="8"/>
  <c r="AH35" i="8"/>
  <c r="AL35" i="8" s="1"/>
  <c r="AP35" i="8" s="1"/>
  <c r="AN34" i="8"/>
  <c r="AO34" i="8" s="1"/>
  <c r="AM34" i="8"/>
  <c r="AL34" i="8"/>
  <c r="AP34" i="8" s="1"/>
  <c r="AJ34" i="8"/>
  <c r="AI34" i="8"/>
  <c r="AH34" i="8"/>
  <c r="AN33" i="8"/>
  <c r="AO33" i="8" s="1"/>
  <c r="AM33" i="8"/>
  <c r="AJ33" i="8"/>
  <c r="AI33" i="8"/>
  <c r="AH33" i="8"/>
  <c r="AL33" i="8" s="1"/>
  <c r="AP33" i="8" s="1"/>
  <c r="AN32" i="8"/>
  <c r="AO32" i="8" s="1"/>
  <c r="AM32" i="8"/>
  <c r="AJ32" i="8"/>
  <c r="AI32" i="8"/>
  <c r="AH32" i="8"/>
  <c r="AL32" i="8" s="1"/>
  <c r="AP32" i="8" s="1"/>
  <c r="AN31" i="8"/>
  <c r="AO31" i="8" s="1"/>
  <c r="AM31" i="8"/>
  <c r="AJ31" i="8"/>
  <c r="AI31" i="8"/>
  <c r="AH31" i="8"/>
  <c r="AL31" i="8" s="1"/>
  <c r="AP31" i="8" s="1"/>
  <c r="AN30" i="8"/>
  <c r="AO30" i="8" s="1"/>
  <c r="AM30" i="8"/>
  <c r="AL30" i="8"/>
  <c r="AP30" i="8" s="1"/>
  <c r="AJ30" i="8"/>
  <c r="AI30" i="8"/>
  <c r="AH30" i="8"/>
  <c r="AN29" i="8"/>
  <c r="AO29" i="8" s="1"/>
  <c r="AM29" i="8"/>
  <c r="AJ29" i="8"/>
  <c r="AI29" i="8"/>
  <c r="AH29" i="8"/>
  <c r="AL29" i="8" s="1"/>
  <c r="AP29" i="8" s="1"/>
  <c r="AN28" i="8"/>
  <c r="AO28" i="8" s="1"/>
  <c r="AM28" i="8"/>
  <c r="AJ28" i="8"/>
  <c r="AI28" i="8"/>
  <c r="AH28" i="8"/>
  <c r="AL28" i="8" s="1"/>
  <c r="AP28" i="8" s="1"/>
  <c r="AN27" i="8"/>
  <c r="AO27" i="8" s="1"/>
  <c r="AM27" i="8"/>
  <c r="AJ27" i="8"/>
  <c r="AI27" i="8"/>
  <c r="AH27" i="8"/>
  <c r="AL27" i="8" s="1"/>
  <c r="AN26" i="8"/>
  <c r="AO26" i="8" s="1"/>
  <c r="AM26" i="8"/>
  <c r="AL26" i="8"/>
  <c r="AP26" i="8" s="1"/>
  <c r="AJ26" i="8"/>
  <c r="AI26" i="8"/>
  <c r="AH26" i="8"/>
  <c r="AN25" i="8"/>
  <c r="AO25" i="8" s="1"/>
  <c r="AM25" i="8"/>
  <c r="AJ25" i="8"/>
  <c r="AI25" i="8"/>
  <c r="AH25" i="8"/>
  <c r="AL25" i="8" s="1"/>
  <c r="AP25" i="8" s="1"/>
  <c r="AN24" i="8"/>
  <c r="AO24" i="8" s="1"/>
  <c r="AM24" i="8"/>
  <c r="AJ24" i="8"/>
  <c r="AI24" i="8"/>
  <c r="AH24" i="8"/>
  <c r="AL24" i="8" s="1"/>
  <c r="AP24" i="8" s="1"/>
  <c r="AN23" i="8"/>
  <c r="AO23" i="8" s="1"/>
  <c r="AM23" i="8"/>
  <c r="AJ23" i="8"/>
  <c r="AI23" i="8"/>
  <c r="AH23" i="8"/>
  <c r="AL23" i="8" s="1"/>
  <c r="AN22" i="8"/>
  <c r="AO22" i="8" s="1"/>
  <c r="AM22" i="8"/>
  <c r="AL22" i="8"/>
  <c r="AP22" i="8" s="1"/>
  <c r="AJ22" i="8"/>
  <c r="AI22" i="8"/>
  <c r="AH22" i="8"/>
  <c r="AN19" i="8"/>
  <c r="AO19" i="8" s="1"/>
  <c r="AM19" i="8"/>
  <c r="AJ19" i="8"/>
  <c r="AI19" i="8"/>
  <c r="AH19" i="8"/>
  <c r="AL19" i="8" s="1"/>
  <c r="AP19" i="8" s="1"/>
  <c r="AN18" i="8"/>
  <c r="AO18" i="8" s="1"/>
  <c r="AM18" i="8"/>
  <c r="AJ18" i="8"/>
  <c r="AI18" i="8"/>
  <c r="AH18" i="8"/>
  <c r="AL18" i="8" s="1"/>
  <c r="AP18" i="8" s="1"/>
  <c r="AN17" i="8"/>
  <c r="AO17" i="8" s="1"/>
  <c r="AM17" i="8"/>
  <c r="AJ17" i="8"/>
  <c r="AI17" i="8"/>
  <c r="AH17" i="8"/>
  <c r="AL17" i="8" s="1"/>
  <c r="AN16" i="8"/>
  <c r="AO16" i="8" s="1"/>
  <c r="AM16" i="8"/>
  <c r="AL16" i="8"/>
  <c r="AP16" i="8" s="1"/>
  <c r="AJ16" i="8"/>
  <c r="AI16" i="8"/>
  <c r="AH16" i="8"/>
  <c r="AN15" i="8"/>
  <c r="AO15" i="8" s="1"/>
  <c r="AM15" i="8"/>
  <c r="AJ15" i="8"/>
  <c r="AI15" i="8"/>
  <c r="AH15" i="8"/>
  <c r="AL15" i="8" s="1"/>
  <c r="AP15" i="8" s="1"/>
  <c r="AN14" i="8"/>
  <c r="AO14" i="8" s="1"/>
  <c r="AM14" i="8"/>
  <c r="AJ14" i="8"/>
  <c r="AI14" i="8"/>
  <c r="AH14" i="8"/>
  <c r="AL14" i="8" s="1"/>
  <c r="AP14" i="8" s="1"/>
  <c r="AN13" i="8"/>
  <c r="AO13" i="8" s="1"/>
  <c r="AM13" i="8"/>
  <c r="AJ13" i="8"/>
  <c r="AI13" i="8"/>
  <c r="AH13" i="8"/>
  <c r="AL13" i="8" s="1"/>
  <c r="AN12" i="8"/>
  <c r="AO12" i="8" s="1"/>
  <c r="AM12" i="8"/>
  <c r="AL12" i="8"/>
  <c r="AP12" i="8" s="1"/>
  <c r="AJ12" i="8"/>
  <c r="AI12" i="8"/>
  <c r="AH12" i="8"/>
  <c r="AN11" i="8"/>
  <c r="AO11" i="8" s="1"/>
  <c r="AM11" i="8"/>
  <c r="AJ11" i="8"/>
  <c r="AI11" i="8"/>
  <c r="AH11" i="8"/>
  <c r="AL11" i="8" s="1"/>
  <c r="AP11" i="8" s="1"/>
  <c r="AN10" i="8"/>
  <c r="AO10" i="8" s="1"/>
  <c r="AM10" i="8"/>
  <c r="AJ10" i="8"/>
  <c r="AI10" i="8"/>
  <c r="AH10" i="8"/>
  <c r="AL10" i="8" s="1"/>
  <c r="AP10" i="8" s="1"/>
  <c r="AN9" i="8"/>
  <c r="AO9" i="8" s="1"/>
  <c r="AM9" i="8"/>
  <c r="AJ9" i="8"/>
  <c r="AI9" i="8"/>
  <c r="AH9" i="8"/>
  <c r="AL9" i="8" s="1"/>
  <c r="AP9" i="8" s="1"/>
  <c r="AN8" i="8"/>
  <c r="AO8" i="8" s="1"/>
  <c r="AM8" i="8"/>
  <c r="AL8" i="8"/>
  <c r="AP8" i="8" s="1"/>
  <c r="AJ8" i="8"/>
  <c r="AI8" i="8"/>
  <c r="AH8" i="8"/>
  <c r="AN7" i="8"/>
  <c r="AO7" i="8" s="1"/>
  <c r="AM7" i="8"/>
  <c r="AJ7" i="8"/>
  <c r="AI7" i="8"/>
  <c r="AH7" i="8"/>
  <c r="AL7" i="8" s="1"/>
  <c r="AP7" i="8" s="1"/>
  <c r="AN6" i="8"/>
  <c r="AO6" i="8" s="1"/>
  <c r="AM6" i="8"/>
  <c r="AJ6" i="8"/>
  <c r="AI6" i="8"/>
  <c r="AH6" i="8"/>
  <c r="AL6" i="8" s="1"/>
  <c r="AP6" i="8" s="1"/>
  <c r="AN5" i="8"/>
  <c r="AO5" i="8" s="1"/>
  <c r="AM5" i="8"/>
  <c r="AJ5" i="8"/>
  <c r="AI5" i="8"/>
  <c r="AH5" i="8"/>
  <c r="AL5" i="8" s="1"/>
  <c r="AP5" i="8" s="1"/>
  <c r="AO129" i="7"/>
  <c r="AP129" i="7" s="1"/>
  <c r="AN129" i="7"/>
  <c r="AM129" i="7"/>
  <c r="AQ129" i="7" s="1"/>
  <c r="AK129" i="7"/>
  <c r="AJ129" i="7"/>
  <c r="AI129" i="7"/>
  <c r="AO128" i="7"/>
  <c r="AP128" i="7" s="1"/>
  <c r="AN128" i="7"/>
  <c r="AK128" i="7"/>
  <c r="AJ128" i="7"/>
  <c r="AI128" i="7"/>
  <c r="AM128" i="7" s="1"/>
  <c r="AQ128" i="7" s="1"/>
  <c r="AO127" i="7"/>
  <c r="AP127" i="7" s="1"/>
  <c r="AN127" i="7"/>
  <c r="AK127" i="7"/>
  <c r="AJ127" i="7"/>
  <c r="AI127" i="7"/>
  <c r="AM127" i="7" s="1"/>
  <c r="AQ127" i="7" s="1"/>
  <c r="AO126" i="7"/>
  <c r="AP126" i="7" s="1"/>
  <c r="AN126" i="7"/>
  <c r="AK126" i="7"/>
  <c r="AJ126" i="7"/>
  <c r="AI126" i="7"/>
  <c r="AM126" i="7" s="1"/>
  <c r="AQ126" i="7" s="1"/>
  <c r="AO125" i="7"/>
  <c r="AP125" i="7" s="1"/>
  <c r="AN125" i="7"/>
  <c r="AM125" i="7"/>
  <c r="AQ125" i="7" s="1"/>
  <c r="AK125" i="7"/>
  <c r="AJ125" i="7"/>
  <c r="AI125" i="7"/>
  <c r="AO124" i="7"/>
  <c r="AP124" i="7" s="1"/>
  <c r="AN124" i="7"/>
  <c r="AK124" i="7"/>
  <c r="AJ124" i="7"/>
  <c r="AI124" i="7"/>
  <c r="AM124" i="7" s="1"/>
  <c r="AQ124" i="7" s="1"/>
  <c r="AO123" i="7"/>
  <c r="AP123" i="7" s="1"/>
  <c r="AN123" i="7"/>
  <c r="AK123" i="7"/>
  <c r="AJ123" i="7"/>
  <c r="AI123" i="7"/>
  <c r="AM123" i="7" s="1"/>
  <c r="AQ123" i="7" s="1"/>
  <c r="AO122" i="7"/>
  <c r="AP122" i="7" s="1"/>
  <c r="AN122" i="7"/>
  <c r="AK122" i="7"/>
  <c r="AJ122" i="7"/>
  <c r="AI122" i="7"/>
  <c r="AM122" i="7" s="1"/>
  <c r="AQ122" i="7" s="1"/>
  <c r="AO121" i="7"/>
  <c r="AP121" i="7" s="1"/>
  <c r="AN121" i="7"/>
  <c r="AM121" i="7"/>
  <c r="AQ121" i="7" s="1"/>
  <c r="AK121" i="7"/>
  <c r="AJ121" i="7"/>
  <c r="AI121" i="7"/>
  <c r="AO120" i="7"/>
  <c r="AP120" i="7" s="1"/>
  <c r="AN120" i="7"/>
  <c r="AK120" i="7"/>
  <c r="AJ120" i="7"/>
  <c r="AI120" i="7"/>
  <c r="AM120" i="7" s="1"/>
  <c r="AQ120" i="7" s="1"/>
  <c r="AO119" i="7"/>
  <c r="AP119" i="7" s="1"/>
  <c r="AN119" i="7"/>
  <c r="AK119" i="7"/>
  <c r="AJ119" i="7"/>
  <c r="AI119" i="7"/>
  <c r="AM119" i="7" s="1"/>
  <c r="AQ119" i="7" s="1"/>
  <c r="AO116" i="7"/>
  <c r="AP116" i="7" s="1"/>
  <c r="AN116" i="7"/>
  <c r="AK116" i="7"/>
  <c r="AJ116" i="7"/>
  <c r="AI116" i="7"/>
  <c r="AM116" i="7" s="1"/>
  <c r="AO115" i="7"/>
  <c r="AP115" i="7" s="1"/>
  <c r="AN115" i="7"/>
  <c r="AM115" i="7"/>
  <c r="AQ115" i="7" s="1"/>
  <c r="AK115" i="7"/>
  <c r="AJ115" i="7"/>
  <c r="AI115" i="7"/>
  <c r="AO114" i="7"/>
  <c r="AP114" i="7" s="1"/>
  <c r="AN114" i="7"/>
  <c r="AK114" i="7"/>
  <c r="AJ114" i="7"/>
  <c r="AI114" i="7"/>
  <c r="AM114" i="7" s="1"/>
  <c r="AQ114" i="7" s="1"/>
  <c r="AO111" i="7"/>
  <c r="AP111" i="7" s="1"/>
  <c r="AN111" i="7"/>
  <c r="AK111" i="7"/>
  <c r="AJ111" i="7"/>
  <c r="AI111" i="7"/>
  <c r="AM111" i="7" s="1"/>
  <c r="AQ111" i="7" s="1"/>
  <c r="AO110" i="7"/>
  <c r="AP110" i="7" s="1"/>
  <c r="AN110" i="7"/>
  <c r="AK110" i="7"/>
  <c r="AJ110" i="7"/>
  <c r="AI110" i="7"/>
  <c r="AM110" i="7" s="1"/>
  <c r="AO109" i="7"/>
  <c r="AP109" i="7" s="1"/>
  <c r="AN109" i="7"/>
  <c r="AM109" i="7"/>
  <c r="AQ109" i="7" s="1"/>
  <c r="AK109" i="7"/>
  <c r="AJ109" i="7"/>
  <c r="AI109" i="7"/>
  <c r="AO108" i="7"/>
  <c r="AP108" i="7" s="1"/>
  <c r="AN108" i="7"/>
  <c r="AK108" i="7"/>
  <c r="AJ108" i="7"/>
  <c r="AI108" i="7"/>
  <c r="AM108" i="7" s="1"/>
  <c r="AQ108" i="7" s="1"/>
  <c r="AO107" i="7"/>
  <c r="AP107" i="7" s="1"/>
  <c r="AN107" i="7"/>
  <c r="AK107" i="7"/>
  <c r="AJ107" i="7"/>
  <c r="AI107" i="7"/>
  <c r="AM107" i="7" s="1"/>
  <c r="AQ107" i="7" s="1"/>
  <c r="AO106" i="7"/>
  <c r="AP106" i="7" s="1"/>
  <c r="AN106" i="7"/>
  <c r="AK106" i="7"/>
  <c r="AJ106" i="7"/>
  <c r="AI106" i="7"/>
  <c r="AM106" i="7" s="1"/>
  <c r="AO105" i="7"/>
  <c r="AP105" i="7" s="1"/>
  <c r="AN105" i="7"/>
  <c r="AM105" i="7"/>
  <c r="AQ105" i="7" s="1"/>
  <c r="AK105" i="7"/>
  <c r="AJ105" i="7"/>
  <c r="AI105" i="7"/>
  <c r="AO104" i="7"/>
  <c r="AP104" i="7" s="1"/>
  <c r="AN104" i="7"/>
  <c r="AK104" i="7"/>
  <c r="AJ104" i="7"/>
  <c r="AI104" i="7"/>
  <c r="AM104" i="7" s="1"/>
  <c r="AQ104" i="7" s="1"/>
  <c r="AO103" i="7"/>
  <c r="AP103" i="7" s="1"/>
  <c r="AN103" i="7"/>
  <c r="AK103" i="7"/>
  <c r="AJ103" i="7"/>
  <c r="AI103" i="7"/>
  <c r="AM103" i="7" s="1"/>
  <c r="AQ103" i="7" s="1"/>
  <c r="AO102" i="7"/>
  <c r="AP102" i="7" s="1"/>
  <c r="AN102" i="7"/>
  <c r="AK102" i="7"/>
  <c r="AJ102" i="7"/>
  <c r="AI102" i="7"/>
  <c r="AM102" i="7" s="1"/>
  <c r="AO101" i="7"/>
  <c r="AP101" i="7" s="1"/>
  <c r="AN101" i="7"/>
  <c r="AM101" i="7"/>
  <c r="AQ101" i="7" s="1"/>
  <c r="AK101" i="7"/>
  <c r="AJ101" i="7"/>
  <c r="AI101" i="7"/>
  <c r="AO100" i="7"/>
  <c r="AP100" i="7" s="1"/>
  <c r="AN100" i="7"/>
  <c r="AK100" i="7"/>
  <c r="AJ100" i="7"/>
  <c r="AI100" i="7"/>
  <c r="AM100" i="7" s="1"/>
  <c r="AQ100" i="7" s="1"/>
  <c r="AO99" i="7"/>
  <c r="AP99" i="7" s="1"/>
  <c r="AN99" i="7"/>
  <c r="AK99" i="7"/>
  <c r="AJ99" i="7"/>
  <c r="AI99" i="7"/>
  <c r="AM99" i="7" s="1"/>
  <c r="AQ99" i="7" s="1"/>
  <c r="AO98" i="7"/>
  <c r="AP98" i="7" s="1"/>
  <c r="AN98" i="7"/>
  <c r="AK98" i="7"/>
  <c r="AJ98" i="7"/>
  <c r="AI98" i="7"/>
  <c r="AM98" i="7" s="1"/>
  <c r="AQ98" i="7" s="1"/>
  <c r="AO95" i="7"/>
  <c r="AP95" i="7" s="1"/>
  <c r="AN95" i="7"/>
  <c r="AM95" i="7"/>
  <c r="AQ95" i="7" s="1"/>
  <c r="AK95" i="7"/>
  <c r="AJ95" i="7"/>
  <c r="AI95" i="7"/>
  <c r="AO94" i="7"/>
  <c r="AP94" i="7" s="1"/>
  <c r="AN94" i="7"/>
  <c r="AK94" i="7"/>
  <c r="AJ94" i="7"/>
  <c r="AI94" i="7"/>
  <c r="AM94" i="7" s="1"/>
  <c r="AQ94" i="7" s="1"/>
  <c r="AO93" i="7"/>
  <c r="AP93" i="7" s="1"/>
  <c r="AN93" i="7"/>
  <c r="AK93" i="7"/>
  <c r="AJ93" i="7"/>
  <c r="AI93" i="7"/>
  <c r="AM93" i="7" s="1"/>
  <c r="AQ93" i="7" s="1"/>
  <c r="AO92" i="7"/>
  <c r="AP92" i="7" s="1"/>
  <c r="AN92" i="7"/>
  <c r="AK92" i="7"/>
  <c r="AJ92" i="7"/>
  <c r="AI92" i="7"/>
  <c r="AM92" i="7" s="1"/>
  <c r="AQ92" i="7" s="1"/>
  <c r="AO89" i="7"/>
  <c r="AP89" i="7" s="1"/>
  <c r="AN89" i="7"/>
  <c r="AM89" i="7"/>
  <c r="AQ89" i="7" s="1"/>
  <c r="AK89" i="7"/>
  <c r="AJ89" i="7"/>
  <c r="AI89" i="7"/>
  <c r="AO88" i="7"/>
  <c r="AP88" i="7" s="1"/>
  <c r="AN88" i="7"/>
  <c r="AK88" i="7"/>
  <c r="AJ88" i="7"/>
  <c r="AI88" i="7"/>
  <c r="AM88" i="7" s="1"/>
  <c r="AQ88" i="7" s="1"/>
  <c r="AO87" i="7"/>
  <c r="AP87" i="7" s="1"/>
  <c r="AN87" i="7"/>
  <c r="AK87" i="7"/>
  <c r="AJ87" i="7"/>
  <c r="AI87" i="7"/>
  <c r="AM87" i="7" s="1"/>
  <c r="AQ87" i="7" s="1"/>
  <c r="AO86" i="7"/>
  <c r="AP86" i="7" s="1"/>
  <c r="AN86" i="7"/>
  <c r="AK86" i="7"/>
  <c r="AM86" i="7" s="1"/>
  <c r="AQ86" i="7" s="1"/>
  <c r="AJ86" i="7"/>
  <c r="AI86" i="7"/>
  <c r="AO85" i="7"/>
  <c r="AP85" i="7" s="1"/>
  <c r="AN85" i="7"/>
  <c r="AM85" i="7"/>
  <c r="AQ85" i="7" s="1"/>
  <c r="AK85" i="7"/>
  <c r="AJ85" i="7"/>
  <c r="AI85" i="7"/>
  <c r="AO82" i="7"/>
  <c r="AP82" i="7" s="1"/>
  <c r="AN82" i="7"/>
  <c r="AK82" i="7"/>
  <c r="AJ82" i="7"/>
  <c r="AI82" i="7"/>
  <c r="AM82" i="7" s="1"/>
  <c r="AQ82" i="7" s="1"/>
  <c r="AO81" i="7"/>
  <c r="AP81" i="7" s="1"/>
  <c r="AN81" i="7"/>
  <c r="AK81" i="7"/>
  <c r="AJ81" i="7"/>
  <c r="AI81" i="7"/>
  <c r="AM81" i="7" s="1"/>
  <c r="AQ81" i="7" s="1"/>
  <c r="AO80" i="7"/>
  <c r="AP80" i="7" s="1"/>
  <c r="AN80" i="7"/>
  <c r="AK80" i="7"/>
  <c r="AM80" i="7" s="1"/>
  <c r="AQ80" i="7" s="1"/>
  <c r="AJ80" i="7"/>
  <c r="AI80" i="7"/>
  <c r="AO79" i="7"/>
  <c r="AP79" i="7" s="1"/>
  <c r="AN79" i="7"/>
  <c r="AM79" i="7"/>
  <c r="AQ79" i="7" s="1"/>
  <c r="AK79" i="7"/>
  <c r="AJ79" i="7"/>
  <c r="AI79" i="7"/>
  <c r="AO78" i="7"/>
  <c r="AP78" i="7" s="1"/>
  <c r="AN78" i="7"/>
  <c r="AK78" i="7"/>
  <c r="AJ78" i="7"/>
  <c r="AI78" i="7"/>
  <c r="AM78" i="7" s="1"/>
  <c r="AQ78" i="7" s="1"/>
  <c r="AO77" i="7"/>
  <c r="AP77" i="7" s="1"/>
  <c r="AN77" i="7"/>
  <c r="AK77" i="7"/>
  <c r="AJ77" i="7"/>
  <c r="AI77" i="7"/>
  <c r="AM77" i="7" s="1"/>
  <c r="AQ77" i="7" s="1"/>
  <c r="AO74" i="7"/>
  <c r="AP74" i="7" s="1"/>
  <c r="AN74" i="7"/>
  <c r="AK74" i="7"/>
  <c r="AM74" i="7" s="1"/>
  <c r="AJ74" i="7"/>
  <c r="AI74" i="7"/>
  <c r="AO73" i="7"/>
  <c r="AP73" i="7" s="1"/>
  <c r="AN73" i="7"/>
  <c r="AM73" i="7"/>
  <c r="AQ73" i="7" s="1"/>
  <c r="AK73" i="7"/>
  <c r="AJ73" i="7"/>
  <c r="AI73" i="7"/>
  <c r="AO72" i="7"/>
  <c r="AP72" i="7" s="1"/>
  <c r="AN72" i="7"/>
  <c r="AK72" i="7"/>
  <c r="AJ72" i="7"/>
  <c r="AI72" i="7"/>
  <c r="AM72" i="7" s="1"/>
  <c r="AQ72" i="7" s="1"/>
  <c r="AO71" i="7"/>
  <c r="AP71" i="7" s="1"/>
  <c r="AN71" i="7"/>
  <c r="AK71" i="7"/>
  <c r="AJ71" i="7"/>
  <c r="AI71" i="7"/>
  <c r="AM71" i="7" s="1"/>
  <c r="AQ71" i="7" s="1"/>
  <c r="AO70" i="7"/>
  <c r="AP70" i="7" s="1"/>
  <c r="AN70" i="7"/>
  <c r="AK70" i="7"/>
  <c r="AM70" i="7" s="1"/>
  <c r="AQ70" i="7" s="1"/>
  <c r="AJ70" i="7"/>
  <c r="AI70" i="7"/>
  <c r="AO69" i="7"/>
  <c r="AP69" i="7" s="1"/>
  <c r="AN69" i="7"/>
  <c r="AM69" i="7"/>
  <c r="AQ69" i="7" s="1"/>
  <c r="AK69" i="7"/>
  <c r="AJ69" i="7"/>
  <c r="AI69" i="7"/>
  <c r="AO68" i="7"/>
  <c r="AP68" i="7" s="1"/>
  <c r="AN68" i="7"/>
  <c r="AK68" i="7"/>
  <c r="AJ68" i="7"/>
  <c r="AI68" i="7"/>
  <c r="AM68" i="7" s="1"/>
  <c r="AQ68" i="7" s="1"/>
  <c r="AO67" i="7"/>
  <c r="AP67" i="7" s="1"/>
  <c r="AN67" i="7"/>
  <c r="AK67" i="7"/>
  <c r="AJ67" i="7"/>
  <c r="AI67" i="7"/>
  <c r="AM67" i="7" s="1"/>
  <c r="AQ67" i="7" s="1"/>
  <c r="AO66" i="7"/>
  <c r="AP66" i="7" s="1"/>
  <c r="AN66" i="7"/>
  <c r="AK66" i="7"/>
  <c r="AM66" i="7" s="1"/>
  <c r="AJ66" i="7"/>
  <c r="AI66" i="7"/>
  <c r="AO65" i="7"/>
  <c r="AP65" i="7" s="1"/>
  <c r="AN65" i="7"/>
  <c r="AM65" i="7"/>
  <c r="AQ65" i="7" s="1"/>
  <c r="AK65" i="7"/>
  <c r="AJ65" i="7"/>
  <c r="AI65" i="7"/>
  <c r="AO64" i="7"/>
  <c r="AP64" i="7" s="1"/>
  <c r="AN64" i="7"/>
  <c r="AK64" i="7"/>
  <c r="AJ64" i="7"/>
  <c r="AI64" i="7"/>
  <c r="AM64" i="7" s="1"/>
  <c r="AQ64" i="7" s="1"/>
  <c r="AO63" i="7"/>
  <c r="AP63" i="7" s="1"/>
  <c r="AN63" i="7"/>
  <c r="AK63" i="7"/>
  <c r="AJ63" i="7"/>
  <c r="AI63" i="7"/>
  <c r="AM63" i="7" s="1"/>
  <c r="AQ63" i="7" s="1"/>
  <c r="AO62" i="7"/>
  <c r="AP62" i="7" s="1"/>
  <c r="AN62" i="7"/>
  <c r="AK62" i="7"/>
  <c r="AM62" i="7" s="1"/>
  <c r="AJ62" i="7"/>
  <c r="AI62" i="7"/>
  <c r="AO61" i="7"/>
  <c r="AP61" i="7" s="1"/>
  <c r="AN61" i="7"/>
  <c r="AM61" i="7"/>
  <c r="AQ61" i="7" s="1"/>
  <c r="AK61" i="7"/>
  <c r="AJ61" i="7"/>
  <c r="AI61" i="7"/>
  <c r="AO60" i="7"/>
  <c r="AP60" i="7" s="1"/>
  <c r="AN60" i="7"/>
  <c r="AK60" i="7"/>
  <c r="AJ60" i="7"/>
  <c r="AI60" i="7"/>
  <c r="AM60" i="7" s="1"/>
  <c r="AQ60" i="7" s="1"/>
  <c r="AO59" i="7"/>
  <c r="AP59" i="7" s="1"/>
  <c r="AN59" i="7"/>
  <c r="AK59" i="7"/>
  <c r="AJ59" i="7"/>
  <c r="AI59" i="7"/>
  <c r="AM59" i="7" s="1"/>
  <c r="AQ59" i="7" s="1"/>
  <c r="AO58" i="7"/>
  <c r="AP58" i="7" s="1"/>
  <c r="AN58" i="7"/>
  <c r="AK58" i="7"/>
  <c r="AM58" i="7" s="1"/>
  <c r="AJ58" i="7"/>
  <c r="AI58" i="7"/>
  <c r="AO57" i="7"/>
  <c r="AP57" i="7" s="1"/>
  <c r="AN57" i="7"/>
  <c r="AM57" i="7"/>
  <c r="AQ57" i="7" s="1"/>
  <c r="AK57" i="7"/>
  <c r="AJ57" i="7"/>
  <c r="AI57" i="7"/>
  <c r="AO56" i="7"/>
  <c r="AP56" i="7" s="1"/>
  <c r="AN56" i="7"/>
  <c r="AK56" i="7"/>
  <c r="AJ56" i="7"/>
  <c r="AI56" i="7"/>
  <c r="AM56" i="7" s="1"/>
  <c r="AQ56" i="7" s="1"/>
  <c r="AO55" i="7"/>
  <c r="AP55" i="7" s="1"/>
  <c r="AN55" i="7"/>
  <c r="AK55" i="7"/>
  <c r="AJ55" i="7"/>
  <c r="AI55" i="7"/>
  <c r="AM55" i="7" s="1"/>
  <c r="AQ55" i="7" s="1"/>
  <c r="AO54" i="7"/>
  <c r="AP54" i="7" s="1"/>
  <c r="AN54" i="7"/>
  <c r="AK54" i="7"/>
  <c r="AM54" i="7" s="1"/>
  <c r="AJ54" i="7"/>
  <c r="AI54" i="7"/>
  <c r="AO53" i="7"/>
  <c r="AP53" i="7" s="1"/>
  <c r="AN53" i="7"/>
  <c r="AM53" i="7"/>
  <c r="AQ53" i="7" s="1"/>
  <c r="AK53" i="7"/>
  <c r="AJ53" i="7"/>
  <c r="AI53" i="7"/>
  <c r="AO52" i="7"/>
  <c r="AP52" i="7" s="1"/>
  <c r="AN52" i="7"/>
  <c r="AK52" i="7"/>
  <c r="AJ52" i="7"/>
  <c r="AI52" i="7"/>
  <c r="AM52" i="7" s="1"/>
  <c r="AQ52" i="7" s="1"/>
  <c r="AO51" i="7"/>
  <c r="AP51" i="7" s="1"/>
  <c r="AN51" i="7"/>
  <c r="AK51" i="7"/>
  <c r="AJ51" i="7"/>
  <c r="AI51" i="7"/>
  <c r="AM51" i="7" s="1"/>
  <c r="AQ51" i="7" s="1"/>
  <c r="AO50" i="7"/>
  <c r="AP50" i="7" s="1"/>
  <c r="AN50" i="7"/>
  <c r="AK50" i="7"/>
  <c r="AM50" i="7" s="1"/>
  <c r="AQ50" i="7" s="1"/>
  <c r="AJ50" i="7"/>
  <c r="AI50" i="7"/>
  <c r="AO49" i="7"/>
  <c r="AP49" i="7" s="1"/>
  <c r="AN49" i="7"/>
  <c r="AM49" i="7"/>
  <c r="AQ49" i="7" s="1"/>
  <c r="AK49" i="7"/>
  <c r="AJ49" i="7"/>
  <c r="AI49" i="7"/>
  <c r="AO48" i="7"/>
  <c r="AP48" i="7" s="1"/>
  <c r="AN48" i="7"/>
  <c r="AK48" i="7"/>
  <c r="AJ48" i="7"/>
  <c r="AI48" i="7"/>
  <c r="AM48" i="7" s="1"/>
  <c r="AQ48" i="7" s="1"/>
  <c r="AO47" i="7"/>
  <c r="AP47" i="7" s="1"/>
  <c r="AN47" i="7"/>
  <c r="AK47" i="7"/>
  <c r="AJ47" i="7"/>
  <c r="AI47" i="7"/>
  <c r="AM47" i="7" s="1"/>
  <c r="AQ47" i="7" s="1"/>
  <c r="AO46" i="7"/>
  <c r="AP46" i="7" s="1"/>
  <c r="AN46" i="7"/>
  <c r="AK46" i="7"/>
  <c r="AM46" i="7" s="1"/>
  <c r="AQ46" i="7" s="1"/>
  <c r="AJ46" i="7"/>
  <c r="AI46" i="7"/>
  <c r="AO45" i="7"/>
  <c r="AP45" i="7" s="1"/>
  <c r="AN45" i="7"/>
  <c r="AK45" i="7"/>
  <c r="AJ45" i="7"/>
  <c r="AI45" i="7"/>
  <c r="AM45" i="7" s="1"/>
  <c r="AQ45" i="7" s="1"/>
  <c r="AP44" i="7"/>
  <c r="AO44" i="7"/>
  <c r="AN44" i="7"/>
  <c r="AK44" i="7"/>
  <c r="AM44" i="7" s="1"/>
  <c r="AQ44" i="7" s="1"/>
  <c r="AJ44" i="7"/>
  <c r="AI44" i="7"/>
  <c r="AP43" i="7"/>
  <c r="AO43" i="7"/>
  <c r="AN43" i="7"/>
  <c r="AK43" i="7"/>
  <c r="AM43" i="7" s="1"/>
  <c r="AQ43" i="7" s="1"/>
  <c r="AJ43" i="7"/>
  <c r="AI43" i="7"/>
  <c r="AP42" i="7"/>
  <c r="AO42" i="7"/>
  <c r="AN42" i="7"/>
  <c r="AK42" i="7"/>
  <c r="AM42" i="7" s="1"/>
  <c r="AQ42" i="7" s="1"/>
  <c r="AJ42" i="7"/>
  <c r="AI42" i="7"/>
  <c r="AQ41" i="7"/>
  <c r="AP41" i="7"/>
  <c r="AO41" i="7"/>
  <c r="AN41" i="7"/>
  <c r="AK41" i="7"/>
  <c r="AM41" i="7" s="1"/>
  <c r="AJ41" i="7"/>
  <c r="AI41" i="7"/>
  <c r="AO40" i="7"/>
  <c r="AP40" i="7" s="1"/>
  <c r="AN40" i="7"/>
  <c r="AK40" i="7"/>
  <c r="AJ40" i="7"/>
  <c r="AI40" i="7"/>
  <c r="AQ39" i="7"/>
  <c r="AO39" i="7"/>
  <c r="AP39" i="7" s="1"/>
  <c r="AN39" i="7"/>
  <c r="AK39" i="7"/>
  <c r="AJ39" i="7"/>
  <c r="AI39" i="7"/>
  <c r="AM39" i="7" s="1"/>
  <c r="AO38" i="7"/>
  <c r="AP38" i="7" s="1"/>
  <c r="AN38" i="7"/>
  <c r="AK38" i="7"/>
  <c r="AJ38" i="7"/>
  <c r="AI38" i="7"/>
  <c r="AO35" i="7"/>
  <c r="AP35" i="7" s="1"/>
  <c r="AN35" i="7"/>
  <c r="AK35" i="7"/>
  <c r="AJ35" i="7"/>
  <c r="AI35" i="7"/>
  <c r="AM35" i="7" s="1"/>
  <c r="AQ35" i="7" s="1"/>
  <c r="AO34" i="7"/>
  <c r="AP34" i="7" s="1"/>
  <c r="AN34" i="7"/>
  <c r="AK34" i="7"/>
  <c r="AJ34" i="7"/>
  <c r="AI34" i="7"/>
  <c r="AQ33" i="7"/>
  <c r="AO33" i="7"/>
  <c r="AP33" i="7" s="1"/>
  <c r="AN33" i="7"/>
  <c r="AK33" i="7"/>
  <c r="AJ33" i="7"/>
  <c r="AI33" i="7"/>
  <c r="AM33" i="7" s="1"/>
  <c r="AO32" i="7"/>
  <c r="AP32" i="7" s="1"/>
  <c r="AN32" i="7"/>
  <c r="AK32" i="7"/>
  <c r="AJ32" i="7"/>
  <c r="AI32" i="7"/>
  <c r="AO31" i="7"/>
  <c r="AP31" i="7" s="1"/>
  <c r="AN31" i="7"/>
  <c r="AK31" i="7"/>
  <c r="AJ31" i="7"/>
  <c r="AI31" i="7"/>
  <c r="AM31" i="7" s="1"/>
  <c r="AQ31" i="7" s="1"/>
  <c r="AO30" i="7"/>
  <c r="AP30" i="7" s="1"/>
  <c r="AN30" i="7"/>
  <c r="AK30" i="7"/>
  <c r="AJ30" i="7"/>
  <c r="AI30" i="7"/>
  <c r="AQ29" i="7"/>
  <c r="AO29" i="7"/>
  <c r="AP29" i="7" s="1"/>
  <c r="AN29" i="7"/>
  <c r="AK29" i="7"/>
  <c r="AJ29" i="7"/>
  <c r="AI29" i="7"/>
  <c r="AM29" i="7" s="1"/>
  <c r="AO28" i="7"/>
  <c r="AP28" i="7" s="1"/>
  <c r="AN28" i="7"/>
  <c r="AK28" i="7"/>
  <c r="AJ28" i="7"/>
  <c r="AI28" i="7"/>
  <c r="AO27" i="7"/>
  <c r="AP27" i="7" s="1"/>
  <c r="AN27" i="7"/>
  <c r="AK27" i="7"/>
  <c r="AJ27" i="7"/>
  <c r="AI27" i="7"/>
  <c r="AM27" i="7" s="1"/>
  <c r="AQ27" i="7" s="1"/>
  <c r="AO26" i="7"/>
  <c r="AP26" i="7" s="1"/>
  <c r="AN26" i="7"/>
  <c r="AK26" i="7"/>
  <c r="AJ26" i="7"/>
  <c r="AI26" i="7"/>
  <c r="AQ25" i="7"/>
  <c r="AO25" i="7"/>
  <c r="AP25" i="7" s="1"/>
  <c r="AN25" i="7"/>
  <c r="AK25" i="7"/>
  <c r="AJ25" i="7"/>
  <c r="AI25" i="7"/>
  <c r="AM25" i="7" s="1"/>
  <c r="AO24" i="7"/>
  <c r="AP24" i="7" s="1"/>
  <c r="AN24" i="7"/>
  <c r="AK24" i="7"/>
  <c r="AJ24" i="7"/>
  <c r="AI24" i="7"/>
  <c r="AO23" i="7"/>
  <c r="AP23" i="7" s="1"/>
  <c r="AN23" i="7"/>
  <c r="AK23" i="7"/>
  <c r="AJ23" i="7"/>
  <c r="AI23" i="7"/>
  <c r="AM23" i="7" s="1"/>
  <c r="AQ23" i="7" s="1"/>
  <c r="AO22" i="7"/>
  <c r="AP22" i="7" s="1"/>
  <c r="AN22" i="7"/>
  <c r="AK22" i="7"/>
  <c r="AJ22" i="7"/>
  <c r="AI22" i="7"/>
  <c r="AQ19" i="7"/>
  <c r="AO19" i="7"/>
  <c r="AP19" i="7" s="1"/>
  <c r="AN19" i="7"/>
  <c r="AK19" i="7"/>
  <c r="AJ19" i="7"/>
  <c r="AI19" i="7"/>
  <c r="AM19" i="7" s="1"/>
  <c r="AO18" i="7"/>
  <c r="AP18" i="7" s="1"/>
  <c r="AN18" i="7"/>
  <c r="AK18" i="7"/>
  <c r="AJ18" i="7"/>
  <c r="AI18" i="7"/>
  <c r="AO17" i="7"/>
  <c r="AP17" i="7" s="1"/>
  <c r="AN17" i="7"/>
  <c r="AK17" i="7"/>
  <c r="AJ17" i="7"/>
  <c r="AI17" i="7"/>
  <c r="AM17" i="7" s="1"/>
  <c r="AQ17" i="7" s="1"/>
  <c r="AO16" i="7"/>
  <c r="AP16" i="7" s="1"/>
  <c r="AN16" i="7"/>
  <c r="AK16" i="7"/>
  <c r="AJ16" i="7"/>
  <c r="AI16" i="7"/>
  <c r="AQ15" i="7"/>
  <c r="AO15" i="7"/>
  <c r="AP15" i="7" s="1"/>
  <c r="AN15" i="7"/>
  <c r="AK15" i="7"/>
  <c r="AJ15" i="7"/>
  <c r="AI15" i="7"/>
  <c r="AM15" i="7" s="1"/>
  <c r="AO14" i="7"/>
  <c r="AP14" i="7" s="1"/>
  <c r="AN14" i="7"/>
  <c r="AK14" i="7"/>
  <c r="AJ14" i="7"/>
  <c r="AI14" i="7"/>
  <c r="AO13" i="7"/>
  <c r="AP13" i="7" s="1"/>
  <c r="AN13" i="7"/>
  <c r="AK13" i="7"/>
  <c r="AJ13" i="7"/>
  <c r="AI13" i="7"/>
  <c r="AM13" i="7" s="1"/>
  <c r="AQ13" i="7" s="1"/>
  <c r="AO12" i="7"/>
  <c r="AP12" i="7" s="1"/>
  <c r="AN12" i="7"/>
  <c r="AK12" i="7"/>
  <c r="AJ12" i="7"/>
  <c r="AI12" i="7"/>
  <c r="AQ11" i="7"/>
  <c r="AO11" i="7"/>
  <c r="AP11" i="7" s="1"/>
  <c r="AN11" i="7"/>
  <c r="AK11" i="7"/>
  <c r="AJ11" i="7"/>
  <c r="AI11" i="7"/>
  <c r="AM11" i="7" s="1"/>
  <c r="AO10" i="7"/>
  <c r="AP10" i="7" s="1"/>
  <c r="AN10" i="7"/>
  <c r="AK10" i="7"/>
  <c r="AJ10" i="7"/>
  <c r="AI10" i="7"/>
  <c r="AO9" i="7"/>
  <c r="AP9" i="7" s="1"/>
  <c r="AN9" i="7"/>
  <c r="AK9" i="7"/>
  <c r="AJ9" i="7"/>
  <c r="AI9" i="7"/>
  <c r="AM9" i="7" s="1"/>
  <c r="AQ9" i="7" s="1"/>
  <c r="AO8" i="7"/>
  <c r="AP8" i="7" s="1"/>
  <c r="AN8" i="7"/>
  <c r="AK8" i="7"/>
  <c r="AJ8" i="7"/>
  <c r="AI8" i="7"/>
  <c r="AQ7" i="7"/>
  <c r="AO7" i="7"/>
  <c r="AP7" i="7" s="1"/>
  <c r="AN7" i="7"/>
  <c r="AK7" i="7"/>
  <c r="AJ7" i="7"/>
  <c r="AI7" i="7"/>
  <c r="AM7" i="7" s="1"/>
  <c r="AO6" i="7"/>
  <c r="AP6" i="7" s="1"/>
  <c r="AN6" i="7"/>
  <c r="AK6" i="7"/>
  <c r="AJ6" i="7"/>
  <c r="AI6" i="7"/>
  <c r="AO5" i="7"/>
  <c r="AP5" i="7" s="1"/>
  <c r="AN5" i="7"/>
  <c r="AK5" i="7"/>
  <c r="AJ5" i="7"/>
  <c r="AI5" i="7"/>
  <c r="AM5" i="7" s="1"/>
  <c r="AQ5" i="7" s="1"/>
  <c r="AN129" i="6"/>
  <c r="AO129" i="6" s="1"/>
  <c r="AM129" i="6"/>
  <c r="AJ129" i="6"/>
  <c r="AI129" i="6"/>
  <c r="AH129" i="6"/>
  <c r="AP128" i="6"/>
  <c r="AN128" i="6"/>
  <c r="AO128" i="6" s="1"/>
  <c r="AM128" i="6"/>
  <c r="AJ128" i="6"/>
  <c r="AI128" i="6"/>
  <c r="AH128" i="6"/>
  <c r="AL128" i="6" s="1"/>
  <c r="AN127" i="6"/>
  <c r="AO127" i="6" s="1"/>
  <c r="AM127" i="6"/>
  <c r="AJ127" i="6"/>
  <c r="AI127" i="6"/>
  <c r="AH127" i="6"/>
  <c r="AN126" i="6"/>
  <c r="AO126" i="6" s="1"/>
  <c r="AM126" i="6"/>
  <c r="AJ126" i="6"/>
  <c r="AI126" i="6"/>
  <c r="AH126" i="6"/>
  <c r="AL126" i="6" s="1"/>
  <c r="AP126" i="6" s="1"/>
  <c r="AN125" i="6"/>
  <c r="AO125" i="6" s="1"/>
  <c r="AM125" i="6"/>
  <c r="AJ125" i="6"/>
  <c r="AI125" i="6"/>
  <c r="AH125" i="6"/>
  <c r="AP124" i="6"/>
  <c r="AN124" i="6"/>
  <c r="AO124" i="6" s="1"/>
  <c r="AM124" i="6"/>
  <c r="AJ124" i="6"/>
  <c r="AI124" i="6"/>
  <c r="AH124" i="6"/>
  <c r="AL124" i="6" s="1"/>
  <c r="AN123" i="6"/>
  <c r="AO123" i="6" s="1"/>
  <c r="AM123" i="6"/>
  <c r="AJ123" i="6"/>
  <c r="AI123" i="6"/>
  <c r="AH123" i="6"/>
  <c r="AN122" i="6"/>
  <c r="AO122" i="6" s="1"/>
  <c r="AM122" i="6"/>
  <c r="AJ122" i="6"/>
  <c r="AI122" i="6"/>
  <c r="AH122" i="6"/>
  <c r="AL122" i="6" s="1"/>
  <c r="AP122" i="6" s="1"/>
  <c r="AN121" i="6"/>
  <c r="AO121" i="6" s="1"/>
  <c r="AM121" i="6"/>
  <c r="AJ121" i="6"/>
  <c r="AI121" i="6"/>
  <c r="AH121" i="6"/>
  <c r="AP120" i="6"/>
  <c r="AN120" i="6"/>
  <c r="AO120" i="6" s="1"/>
  <c r="AM120" i="6"/>
  <c r="AJ120" i="6"/>
  <c r="AI120" i="6"/>
  <c r="AH120" i="6"/>
  <c r="AL120" i="6" s="1"/>
  <c r="AN119" i="6"/>
  <c r="AO119" i="6" s="1"/>
  <c r="AM119" i="6"/>
  <c r="AJ119" i="6"/>
  <c r="AI119" i="6"/>
  <c r="AH119" i="6"/>
  <c r="AN116" i="6"/>
  <c r="AO116" i="6" s="1"/>
  <c r="AM116" i="6"/>
  <c r="AJ116" i="6"/>
  <c r="AI116" i="6"/>
  <c r="AH116" i="6"/>
  <c r="AL116" i="6" s="1"/>
  <c r="AP116" i="6" s="1"/>
  <c r="AN115" i="6"/>
  <c r="AO115" i="6" s="1"/>
  <c r="AM115" i="6"/>
  <c r="AJ115" i="6"/>
  <c r="AI115" i="6"/>
  <c r="AH115" i="6"/>
  <c r="AP114" i="6"/>
  <c r="AN114" i="6"/>
  <c r="AO114" i="6" s="1"/>
  <c r="AM114" i="6"/>
  <c r="AJ114" i="6"/>
  <c r="AI114" i="6"/>
  <c r="AH114" i="6"/>
  <c r="AL114" i="6" s="1"/>
  <c r="AN111" i="6"/>
  <c r="AO111" i="6" s="1"/>
  <c r="AM111" i="6"/>
  <c r="AJ111" i="6"/>
  <c r="AI111" i="6"/>
  <c r="AH111" i="6"/>
  <c r="AN110" i="6"/>
  <c r="AO110" i="6" s="1"/>
  <c r="AM110" i="6"/>
  <c r="AJ110" i="6"/>
  <c r="AI110" i="6"/>
  <c r="AH110" i="6"/>
  <c r="AL110" i="6" s="1"/>
  <c r="AP110" i="6" s="1"/>
  <c r="AN109" i="6"/>
  <c r="AO109" i="6" s="1"/>
  <c r="AM109" i="6"/>
  <c r="AJ109" i="6"/>
  <c r="AI109" i="6"/>
  <c r="AH109" i="6"/>
  <c r="AP108" i="6"/>
  <c r="AN108" i="6"/>
  <c r="AO108" i="6" s="1"/>
  <c r="AM108" i="6"/>
  <c r="AJ108" i="6"/>
  <c r="AI108" i="6"/>
  <c r="AH108" i="6"/>
  <c r="AL108" i="6" s="1"/>
  <c r="AN107" i="6"/>
  <c r="AO107" i="6" s="1"/>
  <c r="AM107" i="6"/>
  <c r="AJ107" i="6"/>
  <c r="AI107" i="6"/>
  <c r="AH107" i="6"/>
  <c r="AN106" i="6"/>
  <c r="AO106" i="6" s="1"/>
  <c r="AM106" i="6"/>
  <c r="AJ106" i="6"/>
  <c r="AI106" i="6"/>
  <c r="AH106" i="6"/>
  <c r="AL106" i="6" s="1"/>
  <c r="AP106" i="6" s="1"/>
  <c r="AN105" i="6"/>
  <c r="AO105" i="6" s="1"/>
  <c r="AM105" i="6"/>
  <c r="AJ105" i="6"/>
  <c r="AI105" i="6"/>
  <c r="AH105" i="6"/>
  <c r="AN104" i="6"/>
  <c r="AO104" i="6" s="1"/>
  <c r="AM104" i="6"/>
  <c r="AJ104" i="6"/>
  <c r="AI104" i="6"/>
  <c r="AH104" i="6"/>
  <c r="AL104" i="6" s="1"/>
  <c r="AP104" i="6" s="1"/>
  <c r="AN103" i="6"/>
  <c r="AO103" i="6" s="1"/>
  <c r="AM103" i="6"/>
  <c r="AJ103" i="6"/>
  <c r="AI103" i="6"/>
  <c r="AH103" i="6"/>
  <c r="AN102" i="6"/>
  <c r="AO102" i="6" s="1"/>
  <c r="AM102" i="6"/>
  <c r="AJ102" i="6"/>
  <c r="AI102" i="6"/>
  <c r="AH102" i="6"/>
  <c r="AL102" i="6" s="1"/>
  <c r="AP102" i="6" s="1"/>
  <c r="AN101" i="6"/>
  <c r="AO101" i="6" s="1"/>
  <c r="AM101" i="6"/>
  <c r="AJ101" i="6"/>
  <c r="AI101" i="6"/>
  <c r="AH101" i="6"/>
  <c r="AN100" i="6"/>
  <c r="AO100" i="6" s="1"/>
  <c r="AM100" i="6"/>
  <c r="AJ100" i="6"/>
  <c r="AI100" i="6"/>
  <c r="AH100" i="6"/>
  <c r="AL100" i="6" s="1"/>
  <c r="AP100" i="6" s="1"/>
  <c r="AN99" i="6"/>
  <c r="AO99" i="6" s="1"/>
  <c r="AM99" i="6"/>
  <c r="AJ99" i="6"/>
  <c r="AI99" i="6"/>
  <c r="AH99" i="6"/>
  <c r="AN98" i="6"/>
  <c r="AO98" i="6" s="1"/>
  <c r="AM98" i="6"/>
  <c r="AJ98" i="6"/>
  <c r="AI98" i="6"/>
  <c r="AH98" i="6"/>
  <c r="AL98" i="6" s="1"/>
  <c r="AP98" i="6" s="1"/>
  <c r="AN95" i="6"/>
  <c r="AO95" i="6" s="1"/>
  <c r="AM95" i="6"/>
  <c r="AJ95" i="6"/>
  <c r="AI95" i="6"/>
  <c r="AH95" i="6"/>
  <c r="AN94" i="6"/>
  <c r="AO94" i="6" s="1"/>
  <c r="AM94" i="6"/>
  <c r="AJ94" i="6"/>
  <c r="AI94" i="6"/>
  <c r="AH94" i="6"/>
  <c r="AL94" i="6" s="1"/>
  <c r="AP94" i="6" s="1"/>
  <c r="AN93" i="6"/>
  <c r="AO93" i="6" s="1"/>
  <c r="AM93" i="6"/>
  <c r="AJ93" i="6"/>
  <c r="AI93" i="6"/>
  <c r="AH93" i="6"/>
  <c r="AN92" i="6"/>
  <c r="AO92" i="6" s="1"/>
  <c r="AM92" i="6"/>
  <c r="AJ92" i="6"/>
  <c r="AI92" i="6"/>
  <c r="AH92" i="6"/>
  <c r="AL92" i="6" s="1"/>
  <c r="AP92" i="6" s="1"/>
  <c r="AN89" i="6"/>
  <c r="AO89" i="6" s="1"/>
  <c r="AM89" i="6"/>
  <c r="AJ89" i="6"/>
  <c r="AI89" i="6"/>
  <c r="AH89" i="6"/>
  <c r="AN88" i="6"/>
  <c r="AO88" i="6" s="1"/>
  <c r="AM88" i="6"/>
  <c r="AJ88" i="6"/>
  <c r="AI88" i="6"/>
  <c r="AH88" i="6"/>
  <c r="AL88" i="6" s="1"/>
  <c r="AP88" i="6" s="1"/>
  <c r="AN87" i="6"/>
  <c r="AO87" i="6" s="1"/>
  <c r="AM87" i="6"/>
  <c r="AJ87" i="6"/>
  <c r="AI87" i="6"/>
  <c r="AH87" i="6"/>
  <c r="AN86" i="6"/>
  <c r="AO86" i="6" s="1"/>
  <c r="AM86" i="6"/>
  <c r="AJ86" i="6"/>
  <c r="AI86" i="6"/>
  <c r="AH86" i="6"/>
  <c r="AL86" i="6" s="1"/>
  <c r="AP86" i="6" s="1"/>
  <c r="AN85" i="6"/>
  <c r="AO85" i="6" s="1"/>
  <c r="AM85" i="6"/>
  <c r="AJ85" i="6"/>
  <c r="AI85" i="6"/>
  <c r="AH85" i="6"/>
  <c r="AN82" i="6"/>
  <c r="AO82" i="6" s="1"/>
  <c r="AM82" i="6"/>
  <c r="AJ82" i="6"/>
  <c r="AI82" i="6"/>
  <c r="AH82" i="6"/>
  <c r="AL82" i="6" s="1"/>
  <c r="AP82" i="6" s="1"/>
  <c r="AN81" i="6"/>
  <c r="AO81" i="6" s="1"/>
  <c r="AM81" i="6"/>
  <c r="AJ81" i="6"/>
  <c r="AI81" i="6"/>
  <c r="AH81" i="6"/>
  <c r="AN80" i="6"/>
  <c r="AO80" i="6" s="1"/>
  <c r="AM80" i="6"/>
  <c r="AJ80" i="6"/>
  <c r="AI80" i="6"/>
  <c r="AH80" i="6"/>
  <c r="AL80" i="6" s="1"/>
  <c r="AP80" i="6" s="1"/>
  <c r="AN79" i="6"/>
  <c r="AO79" i="6" s="1"/>
  <c r="AM79" i="6"/>
  <c r="AJ79" i="6"/>
  <c r="AI79" i="6"/>
  <c r="AH79" i="6"/>
  <c r="AN78" i="6"/>
  <c r="AO78" i="6" s="1"/>
  <c r="AM78" i="6"/>
  <c r="AJ78" i="6"/>
  <c r="AI78" i="6"/>
  <c r="AH78" i="6"/>
  <c r="AL78" i="6" s="1"/>
  <c r="AP78" i="6" s="1"/>
  <c r="AN77" i="6"/>
  <c r="AO77" i="6" s="1"/>
  <c r="AM77" i="6"/>
  <c r="AJ77" i="6"/>
  <c r="AI77" i="6"/>
  <c r="AH77" i="6"/>
  <c r="AN74" i="6"/>
  <c r="AO74" i="6" s="1"/>
  <c r="AM74" i="6"/>
  <c r="AJ74" i="6"/>
  <c r="AI74" i="6"/>
  <c r="AH74" i="6"/>
  <c r="AL74" i="6" s="1"/>
  <c r="AP74" i="6" s="1"/>
  <c r="AN73" i="6"/>
  <c r="AO73" i="6" s="1"/>
  <c r="AM73" i="6"/>
  <c r="AJ73" i="6"/>
  <c r="AI73" i="6"/>
  <c r="AH73" i="6"/>
  <c r="AN72" i="6"/>
  <c r="AO72" i="6" s="1"/>
  <c r="AM72" i="6"/>
  <c r="AJ72" i="6"/>
  <c r="AI72" i="6"/>
  <c r="AH72" i="6"/>
  <c r="AL72" i="6" s="1"/>
  <c r="AP72" i="6" s="1"/>
  <c r="AN71" i="6"/>
  <c r="AO71" i="6" s="1"/>
  <c r="AM71" i="6"/>
  <c r="AJ71" i="6"/>
  <c r="AI71" i="6"/>
  <c r="AH71" i="6"/>
  <c r="AN70" i="6"/>
  <c r="AO70" i="6" s="1"/>
  <c r="AM70" i="6"/>
  <c r="AJ70" i="6"/>
  <c r="AI70" i="6"/>
  <c r="AH70" i="6"/>
  <c r="AL70" i="6" s="1"/>
  <c r="AP70" i="6" s="1"/>
  <c r="AN69" i="6"/>
  <c r="AO69" i="6" s="1"/>
  <c r="AM69" i="6"/>
  <c r="AJ69" i="6"/>
  <c r="AI69" i="6"/>
  <c r="AH69" i="6"/>
  <c r="AN68" i="6"/>
  <c r="AO68" i="6" s="1"/>
  <c r="AM68" i="6"/>
  <c r="AJ68" i="6"/>
  <c r="AI68" i="6"/>
  <c r="AH68" i="6"/>
  <c r="AL68" i="6" s="1"/>
  <c r="AP68" i="6" s="1"/>
  <c r="AN67" i="6"/>
  <c r="AO67" i="6" s="1"/>
  <c r="AM67" i="6"/>
  <c r="AJ67" i="6"/>
  <c r="AI67" i="6"/>
  <c r="AH67" i="6"/>
  <c r="AN66" i="6"/>
  <c r="AO66" i="6" s="1"/>
  <c r="AM66" i="6"/>
  <c r="AJ66" i="6"/>
  <c r="AI66" i="6"/>
  <c r="AH66" i="6"/>
  <c r="AL66" i="6" s="1"/>
  <c r="AP66" i="6" s="1"/>
  <c r="AN65" i="6"/>
  <c r="AO65" i="6" s="1"/>
  <c r="AM65" i="6"/>
  <c r="AJ65" i="6"/>
  <c r="AI65" i="6"/>
  <c r="AH65" i="6"/>
  <c r="AN64" i="6"/>
  <c r="AO64" i="6" s="1"/>
  <c r="AM64" i="6"/>
  <c r="AJ64" i="6"/>
  <c r="AI64" i="6"/>
  <c r="AH64" i="6"/>
  <c r="AL64" i="6" s="1"/>
  <c r="AP64" i="6" s="1"/>
  <c r="AN63" i="6"/>
  <c r="AO63" i="6" s="1"/>
  <c r="AM63" i="6"/>
  <c r="AJ63" i="6"/>
  <c r="AI63" i="6"/>
  <c r="AH63" i="6"/>
  <c r="AN62" i="6"/>
  <c r="AO62" i="6" s="1"/>
  <c r="AM62" i="6"/>
  <c r="AJ62" i="6"/>
  <c r="AI62" i="6"/>
  <c r="AH62" i="6"/>
  <c r="AL62" i="6" s="1"/>
  <c r="AP62" i="6" s="1"/>
  <c r="AN61" i="6"/>
  <c r="AO61" i="6" s="1"/>
  <c r="AM61" i="6"/>
  <c r="AJ61" i="6"/>
  <c r="AI61" i="6"/>
  <c r="AH61" i="6"/>
  <c r="AN60" i="6"/>
  <c r="AO60" i="6" s="1"/>
  <c r="AM60" i="6"/>
  <c r="AJ60" i="6"/>
  <c r="AI60" i="6"/>
  <c r="AH60" i="6"/>
  <c r="AL60" i="6" s="1"/>
  <c r="AP60" i="6" s="1"/>
  <c r="AN59" i="6"/>
  <c r="AO59" i="6" s="1"/>
  <c r="AM59" i="6"/>
  <c r="AJ59" i="6"/>
  <c r="AI59" i="6"/>
  <c r="AH59" i="6"/>
  <c r="AN58" i="6"/>
  <c r="AO58" i="6" s="1"/>
  <c r="AM58" i="6"/>
  <c r="AJ58" i="6"/>
  <c r="AI58" i="6"/>
  <c r="AH58" i="6"/>
  <c r="AL58" i="6" s="1"/>
  <c r="AP58" i="6" s="1"/>
  <c r="AN57" i="6"/>
  <c r="AO57" i="6" s="1"/>
  <c r="AM57" i="6"/>
  <c r="AJ57" i="6"/>
  <c r="AI57" i="6"/>
  <c r="AH57" i="6"/>
  <c r="AN56" i="6"/>
  <c r="AO56" i="6" s="1"/>
  <c r="AM56" i="6"/>
  <c r="AJ56" i="6"/>
  <c r="AI56" i="6"/>
  <c r="AH56" i="6"/>
  <c r="AL56" i="6" s="1"/>
  <c r="AP56" i="6" s="1"/>
  <c r="AN55" i="6"/>
  <c r="AO55" i="6" s="1"/>
  <c r="AM55" i="6"/>
  <c r="AJ55" i="6"/>
  <c r="AI55" i="6"/>
  <c r="AH55" i="6"/>
  <c r="AN54" i="6"/>
  <c r="AO54" i="6" s="1"/>
  <c r="AM54" i="6"/>
  <c r="AJ54" i="6"/>
  <c r="AI54" i="6"/>
  <c r="AH54" i="6"/>
  <c r="AL54" i="6" s="1"/>
  <c r="AP54" i="6" s="1"/>
  <c r="AN53" i="6"/>
  <c r="AO53" i="6" s="1"/>
  <c r="AM53" i="6"/>
  <c r="AJ53" i="6"/>
  <c r="AI53" i="6"/>
  <c r="AH53" i="6"/>
  <c r="AN52" i="6"/>
  <c r="AO52" i="6" s="1"/>
  <c r="AM52" i="6"/>
  <c r="AJ52" i="6"/>
  <c r="AI52" i="6"/>
  <c r="AH52" i="6"/>
  <c r="AL52" i="6" s="1"/>
  <c r="AP52" i="6" s="1"/>
  <c r="AN51" i="6"/>
  <c r="AO51" i="6" s="1"/>
  <c r="AM51" i="6"/>
  <c r="AJ51" i="6"/>
  <c r="AI51" i="6"/>
  <c r="AH51" i="6"/>
  <c r="AN50" i="6"/>
  <c r="AO50" i="6" s="1"/>
  <c r="AM50" i="6"/>
  <c r="AJ50" i="6"/>
  <c r="AI50" i="6"/>
  <c r="AH50" i="6"/>
  <c r="AL50" i="6" s="1"/>
  <c r="AP50" i="6" s="1"/>
  <c r="AN49" i="6"/>
  <c r="AO49" i="6" s="1"/>
  <c r="AM49" i="6"/>
  <c r="AJ49" i="6"/>
  <c r="AI49" i="6"/>
  <c r="AH49" i="6"/>
  <c r="AN48" i="6"/>
  <c r="AO48" i="6" s="1"/>
  <c r="AM48" i="6"/>
  <c r="AJ48" i="6"/>
  <c r="AI48" i="6"/>
  <c r="AH48" i="6"/>
  <c r="AL48" i="6" s="1"/>
  <c r="AP48" i="6" s="1"/>
  <c r="AN47" i="6"/>
  <c r="AO47" i="6" s="1"/>
  <c r="AM47" i="6"/>
  <c r="AJ47" i="6"/>
  <c r="AI47" i="6"/>
  <c r="AH47" i="6"/>
  <c r="AN46" i="6"/>
  <c r="AO46" i="6" s="1"/>
  <c r="AM46" i="6"/>
  <c r="AJ46" i="6"/>
  <c r="AI46" i="6"/>
  <c r="AH46" i="6"/>
  <c r="AL46" i="6" s="1"/>
  <c r="AP46" i="6" s="1"/>
  <c r="AN45" i="6"/>
  <c r="AO45" i="6" s="1"/>
  <c r="AM45" i="6"/>
  <c r="AJ45" i="6"/>
  <c r="AI45" i="6"/>
  <c r="AH45" i="6"/>
  <c r="AN44" i="6"/>
  <c r="AO44" i="6" s="1"/>
  <c r="AM44" i="6"/>
  <c r="AJ44" i="6"/>
  <c r="AI44" i="6"/>
  <c r="AH44" i="6"/>
  <c r="AL44" i="6" s="1"/>
  <c r="AP44" i="6" s="1"/>
  <c r="AN43" i="6"/>
  <c r="AO43" i="6" s="1"/>
  <c r="AM43" i="6"/>
  <c r="AJ43" i="6"/>
  <c r="AI43" i="6"/>
  <c r="AH43" i="6"/>
  <c r="AN42" i="6"/>
  <c r="AO42" i="6" s="1"/>
  <c r="AM42" i="6"/>
  <c r="AJ42" i="6"/>
  <c r="AI42" i="6"/>
  <c r="AH42" i="6"/>
  <c r="AL42" i="6" s="1"/>
  <c r="AP42" i="6" s="1"/>
  <c r="AN41" i="6"/>
  <c r="AO41" i="6" s="1"/>
  <c r="AM41" i="6"/>
  <c r="AJ41" i="6"/>
  <c r="AI41" i="6"/>
  <c r="AH41" i="6"/>
  <c r="AN40" i="6"/>
  <c r="AO40" i="6" s="1"/>
  <c r="AM40" i="6"/>
  <c r="AJ40" i="6"/>
  <c r="AI40" i="6"/>
  <c r="AH40" i="6"/>
  <c r="AL40" i="6" s="1"/>
  <c r="AP40" i="6" s="1"/>
  <c r="AN39" i="6"/>
  <c r="AO39" i="6" s="1"/>
  <c r="AM39" i="6"/>
  <c r="AJ39" i="6"/>
  <c r="AI39" i="6"/>
  <c r="AH39" i="6"/>
  <c r="AN38" i="6"/>
  <c r="AO38" i="6" s="1"/>
  <c r="AM38" i="6"/>
  <c r="AJ38" i="6"/>
  <c r="AI38" i="6"/>
  <c r="AH38" i="6"/>
  <c r="AL38" i="6" s="1"/>
  <c r="AP38" i="6" s="1"/>
  <c r="AN35" i="6"/>
  <c r="AO35" i="6" s="1"/>
  <c r="AM35" i="6"/>
  <c r="AJ35" i="6"/>
  <c r="AI35" i="6"/>
  <c r="AH35" i="6"/>
  <c r="AN34" i="6"/>
  <c r="AO34" i="6" s="1"/>
  <c r="AM34" i="6"/>
  <c r="AJ34" i="6"/>
  <c r="AI34" i="6"/>
  <c r="AH34" i="6"/>
  <c r="AL34" i="6" s="1"/>
  <c r="AP34" i="6" s="1"/>
  <c r="AN33" i="6"/>
  <c r="AO33" i="6" s="1"/>
  <c r="AM33" i="6"/>
  <c r="AJ33" i="6"/>
  <c r="AI33" i="6"/>
  <c r="AH33" i="6"/>
  <c r="AN32" i="6"/>
  <c r="AO32" i="6" s="1"/>
  <c r="AM32" i="6"/>
  <c r="AJ32" i="6"/>
  <c r="AI32" i="6"/>
  <c r="AH32" i="6"/>
  <c r="AL32" i="6" s="1"/>
  <c r="AP32" i="6" s="1"/>
  <c r="AN31" i="6"/>
  <c r="AO31" i="6" s="1"/>
  <c r="AM31" i="6"/>
  <c r="AJ31" i="6"/>
  <c r="AI31" i="6"/>
  <c r="AH31" i="6"/>
  <c r="AN30" i="6"/>
  <c r="AO30" i="6" s="1"/>
  <c r="AM30" i="6"/>
  <c r="AJ30" i="6"/>
  <c r="AI30" i="6"/>
  <c r="AH30" i="6"/>
  <c r="AL30" i="6" s="1"/>
  <c r="AP30" i="6" s="1"/>
  <c r="AN29" i="6"/>
  <c r="AO29" i="6" s="1"/>
  <c r="AM29" i="6"/>
  <c r="AJ29" i="6"/>
  <c r="AI29" i="6"/>
  <c r="AH29" i="6"/>
  <c r="AN28" i="6"/>
  <c r="AO28" i="6" s="1"/>
  <c r="AM28" i="6"/>
  <c r="AJ28" i="6"/>
  <c r="AI28" i="6"/>
  <c r="AH28" i="6"/>
  <c r="AL28" i="6" s="1"/>
  <c r="AP28" i="6" s="1"/>
  <c r="AN27" i="6"/>
  <c r="AO27" i="6" s="1"/>
  <c r="AM27" i="6"/>
  <c r="AJ27" i="6"/>
  <c r="AI27" i="6"/>
  <c r="AH27" i="6"/>
  <c r="AN26" i="6"/>
  <c r="AO26" i="6" s="1"/>
  <c r="AM26" i="6"/>
  <c r="AJ26" i="6"/>
  <c r="AI26" i="6"/>
  <c r="AH26" i="6"/>
  <c r="AL26" i="6" s="1"/>
  <c r="AP26" i="6" s="1"/>
  <c r="AN25" i="6"/>
  <c r="AO25" i="6" s="1"/>
  <c r="AM25" i="6"/>
  <c r="AJ25" i="6"/>
  <c r="AI25" i="6"/>
  <c r="AH25" i="6"/>
  <c r="AN24" i="6"/>
  <c r="AO24" i="6" s="1"/>
  <c r="AM24" i="6"/>
  <c r="AJ24" i="6"/>
  <c r="AI24" i="6"/>
  <c r="AH24" i="6"/>
  <c r="AL24" i="6" s="1"/>
  <c r="AP24" i="6" s="1"/>
  <c r="AN23" i="6"/>
  <c r="AO23" i="6" s="1"/>
  <c r="AM23" i="6"/>
  <c r="AJ23" i="6"/>
  <c r="AI23" i="6"/>
  <c r="AH23" i="6"/>
  <c r="AN22" i="6"/>
  <c r="AO22" i="6" s="1"/>
  <c r="AM22" i="6"/>
  <c r="AJ22" i="6"/>
  <c r="AI22" i="6"/>
  <c r="AH22" i="6"/>
  <c r="AL22" i="6" s="1"/>
  <c r="AP22" i="6" s="1"/>
  <c r="AN19" i="6"/>
  <c r="AO19" i="6" s="1"/>
  <c r="AM19" i="6"/>
  <c r="AJ19" i="6"/>
  <c r="AI19" i="6"/>
  <c r="AH19" i="6"/>
  <c r="AN18" i="6"/>
  <c r="AO18" i="6" s="1"/>
  <c r="AM18" i="6"/>
  <c r="AJ18" i="6"/>
  <c r="AI18" i="6"/>
  <c r="AH18" i="6"/>
  <c r="AL18" i="6" s="1"/>
  <c r="AP18" i="6" s="1"/>
  <c r="AN17" i="6"/>
  <c r="AO17" i="6" s="1"/>
  <c r="AM17" i="6"/>
  <c r="AJ17" i="6"/>
  <c r="AI17" i="6"/>
  <c r="AH17" i="6"/>
  <c r="AN16" i="6"/>
  <c r="AO16" i="6" s="1"/>
  <c r="AM16" i="6"/>
  <c r="AJ16" i="6"/>
  <c r="AI16" i="6"/>
  <c r="AH16" i="6"/>
  <c r="AL16" i="6" s="1"/>
  <c r="AP16" i="6" s="1"/>
  <c r="AN15" i="6"/>
  <c r="AO15" i="6" s="1"/>
  <c r="AM15" i="6"/>
  <c r="AJ15" i="6"/>
  <c r="AI15" i="6"/>
  <c r="AH15" i="6"/>
  <c r="AN14" i="6"/>
  <c r="AO14" i="6" s="1"/>
  <c r="AM14" i="6"/>
  <c r="AJ14" i="6"/>
  <c r="AI14" i="6"/>
  <c r="AH14" i="6"/>
  <c r="AL14" i="6" s="1"/>
  <c r="AP14" i="6" s="1"/>
  <c r="AN13" i="6"/>
  <c r="AO13" i="6" s="1"/>
  <c r="AM13" i="6"/>
  <c r="AJ13" i="6"/>
  <c r="AI13" i="6"/>
  <c r="AH13" i="6"/>
  <c r="AN12" i="6"/>
  <c r="AO12" i="6" s="1"/>
  <c r="AM12" i="6"/>
  <c r="AJ12" i="6"/>
  <c r="AI12" i="6"/>
  <c r="AH12" i="6"/>
  <c r="AL12" i="6" s="1"/>
  <c r="AP12" i="6" s="1"/>
  <c r="AN11" i="6"/>
  <c r="AO11" i="6" s="1"/>
  <c r="AM11" i="6"/>
  <c r="AJ11" i="6"/>
  <c r="AI11" i="6"/>
  <c r="AH11" i="6"/>
  <c r="AN10" i="6"/>
  <c r="AO10" i="6" s="1"/>
  <c r="AM10" i="6"/>
  <c r="AJ10" i="6"/>
  <c r="AI10" i="6"/>
  <c r="AH10" i="6"/>
  <c r="AL10" i="6" s="1"/>
  <c r="AP10" i="6" s="1"/>
  <c r="AN9" i="6"/>
  <c r="AO9" i="6" s="1"/>
  <c r="AM9" i="6"/>
  <c r="AJ9" i="6"/>
  <c r="AI9" i="6"/>
  <c r="AH9" i="6"/>
  <c r="AN8" i="6"/>
  <c r="AO8" i="6" s="1"/>
  <c r="AM8" i="6"/>
  <c r="AJ8" i="6"/>
  <c r="AI8" i="6"/>
  <c r="AH8" i="6"/>
  <c r="AL8" i="6" s="1"/>
  <c r="AP8" i="6" s="1"/>
  <c r="AN7" i="6"/>
  <c r="AO7" i="6" s="1"/>
  <c r="AM7" i="6"/>
  <c r="AJ7" i="6"/>
  <c r="AI7" i="6"/>
  <c r="AH7" i="6"/>
  <c r="AN6" i="6"/>
  <c r="AO6" i="6" s="1"/>
  <c r="AM6" i="6"/>
  <c r="AJ6" i="6"/>
  <c r="AI6" i="6"/>
  <c r="AH6" i="6"/>
  <c r="AL6" i="6" s="1"/>
  <c r="AP6" i="6" s="1"/>
  <c r="AN5" i="6"/>
  <c r="AO5" i="6" s="1"/>
  <c r="AM5" i="6"/>
  <c r="AJ5" i="6"/>
  <c r="AI5" i="6"/>
  <c r="AH5" i="6"/>
  <c r="AO129" i="5"/>
  <c r="AP129" i="5" s="1"/>
  <c r="AN129" i="5"/>
  <c r="AK129" i="5"/>
  <c r="AJ129" i="5"/>
  <c r="AI129" i="5"/>
  <c r="AM129" i="5" s="1"/>
  <c r="AQ129" i="5" s="1"/>
  <c r="AO128" i="5"/>
  <c r="AP128" i="5" s="1"/>
  <c r="AN128" i="5"/>
  <c r="AK128" i="5"/>
  <c r="AJ128" i="5"/>
  <c r="AI128" i="5"/>
  <c r="AO127" i="5"/>
  <c r="AP127" i="5" s="1"/>
  <c r="AN127" i="5"/>
  <c r="AK127" i="5"/>
  <c r="AJ127" i="5"/>
  <c r="AI127" i="5"/>
  <c r="AM127" i="5" s="1"/>
  <c r="AQ127" i="5" s="1"/>
  <c r="AO126" i="5"/>
  <c r="AP126" i="5" s="1"/>
  <c r="AN126" i="5"/>
  <c r="AK126" i="5"/>
  <c r="AJ126" i="5"/>
  <c r="AI126" i="5"/>
  <c r="AO125" i="5"/>
  <c r="AP125" i="5" s="1"/>
  <c r="AN125" i="5"/>
  <c r="AK125" i="5"/>
  <c r="AJ125" i="5"/>
  <c r="AI125" i="5"/>
  <c r="AM125" i="5" s="1"/>
  <c r="AQ125" i="5" s="1"/>
  <c r="AO124" i="5"/>
  <c r="AP124" i="5" s="1"/>
  <c r="AN124" i="5"/>
  <c r="AK124" i="5"/>
  <c r="AJ124" i="5"/>
  <c r="AI124" i="5"/>
  <c r="AO123" i="5"/>
  <c r="AP123" i="5" s="1"/>
  <c r="AN123" i="5"/>
  <c r="AK123" i="5"/>
  <c r="AJ123" i="5"/>
  <c r="AI123" i="5"/>
  <c r="AM123" i="5" s="1"/>
  <c r="AO122" i="5"/>
  <c r="AP122" i="5" s="1"/>
  <c r="AN122" i="5"/>
  <c r="AK122" i="5"/>
  <c r="AJ122" i="5"/>
  <c r="AI122" i="5"/>
  <c r="AO121" i="5"/>
  <c r="AP121" i="5" s="1"/>
  <c r="AN121" i="5"/>
  <c r="AK121" i="5"/>
  <c r="AJ121" i="5"/>
  <c r="AI121" i="5"/>
  <c r="AM121" i="5" s="1"/>
  <c r="AO120" i="5"/>
  <c r="AP120" i="5" s="1"/>
  <c r="AN120" i="5"/>
  <c r="AK120" i="5"/>
  <c r="AJ120" i="5"/>
  <c r="AI120" i="5"/>
  <c r="AO119" i="5"/>
  <c r="AP119" i="5" s="1"/>
  <c r="AN119" i="5"/>
  <c r="AK119" i="5"/>
  <c r="AJ119" i="5"/>
  <c r="AI119" i="5"/>
  <c r="AM119" i="5" s="1"/>
  <c r="AQ119" i="5" s="1"/>
  <c r="AO116" i="5"/>
  <c r="AP116" i="5" s="1"/>
  <c r="AN116" i="5"/>
  <c r="AK116" i="5"/>
  <c r="AJ116" i="5"/>
  <c r="AI116" i="5"/>
  <c r="AM116" i="5" s="1"/>
  <c r="AQ116" i="5" s="1"/>
  <c r="AO115" i="5"/>
  <c r="AP115" i="5" s="1"/>
  <c r="AN115" i="5"/>
  <c r="AK115" i="5"/>
  <c r="AJ115" i="5"/>
  <c r="AI115" i="5"/>
  <c r="AM115" i="5" s="1"/>
  <c r="AQ115" i="5" s="1"/>
  <c r="AO114" i="5"/>
  <c r="AP114" i="5" s="1"/>
  <c r="AN114" i="5"/>
  <c r="AK114" i="5"/>
  <c r="AJ114" i="5"/>
  <c r="AI114" i="5"/>
  <c r="AO111" i="5"/>
  <c r="AP111" i="5" s="1"/>
  <c r="AN111" i="5"/>
  <c r="AK111" i="5"/>
  <c r="AJ111" i="5"/>
  <c r="AI111" i="5"/>
  <c r="AO110" i="5"/>
  <c r="AP110" i="5" s="1"/>
  <c r="AN110" i="5"/>
  <c r="AK110" i="5"/>
  <c r="AJ110" i="5"/>
  <c r="AI110" i="5"/>
  <c r="AO109" i="5"/>
  <c r="AP109" i="5" s="1"/>
  <c r="AN109" i="5"/>
  <c r="AK109" i="5"/>
  <c r="AJ109" i="5"/>
  <c r="AI109" i="5"/>
  <c r="AM109" i="5" s="1"/>
  <c r="AO108" i="5"/>
  <c r="AP108" i="5" s="1"/>
  <c r="AN108" i="5"/>
  <c r="AK108" i="5"/>
  <c r="AJ108" i="5"/>
  <c r="AI108" i="5"/>
  <c r="AO107" i="5"/>
  <c r="AP107" i="5" s="1"/>
  <c r="AN107" i="5"/>
  <c r="AK107" i="5"/>
  <c r="AJ107" i="5"/>
  <c r="AI107" i="5"/>
  <c r="AM107" i="5" s="1"/>
  <c r="AQ107" i="5" s="1"/>
  <c r="AO106" i="5"/>
  <c r="AP106" i="5" s="1"/>
  <c r="AN106" i="5"/>
  <c r="AK106" i="5"/>
  <c r="AJ106" i="5"/>
  <c r="AI106" i="5"/>
  <c r="AM106" i="5" s="1"/>
  <c r="AQ106" i="5" s="1"/>
  <c r="AO105" i="5"/>
  <c r="AP105" i="5" s="1"/>
  <c r="AN105" i="5"/>
  <c r="AK105" i="5"/>
  <c r="AJ105" i="5"/>
  <c r="AI105" i="5"/>
  <c r="AM105" i="5" s="1"/>
  <c r="AQ105" i="5" s="1"/>
  <c r="AO104" i="5"/>
  <c r="AP104" i="5" s="1"/>
  <c r="AN104" i="5"/>
  <c r="AK104" i="5"/>
  <c r="AJ104" i="5"/>
  <c r="AI104" i="5"/>
  <c r="AO103" i="5"/>
  <c r="AP103" i="5" s="1"/>
  <c r="AN103" i="5"/>
  <c r="AK103" i="5"/>
  <c r="AJ103" i="5"/>
  <c r="AI103" i="5"/>
  <c r="AO102" i="5"/>
  <c r="AP102" i="5" s="1"/>
  <c r="AN102" i="5"/>
  <c r="AK102" i="5"/>
  <c r="AJ102" i="5"/>
  <c r="AI102" i="5"/>
  <c r="AO101" i="5"/>
  <c r="AP101" i="5" s="1"/>
  <c r="AN101" i="5"/>
  <c r="AK101" i="5"/>
  <c r="AJ101" i="5"/>
  <c r="AI101" i="5"/>
  <c r="AM101" i="5" s="1"/>
  <c r="AO100" i="5"/>
  <c r="AP100" i="5" s="1"/>
  <c r="AN100" i="5"/>
  <c r="AK100" i="5"/>
  <c r="AJ100" i="5"/>
  <c r="AI100" i="5"/>
  <c r="AO99" i="5"/>
  <c r="AP99" i="5" s="1"/>
  <c r="AN99" i="5"/>
  <c r="AK99" i="5"/>
  <c r="AJ99" i="5"/>
  <c r="AI99" i="5"/>
  <c r="AM99" i="5" s="1"/>
  <c r="AQ99" i="5" s="1"/>
  <c r="AO98" i="5"/>
  <c r="AP98" i="5" s="1"/>
  <c r="AN98" i="5"/>
  <c r="AK98" i="5"/>
  <c r="AJ98" i="5"/>
  <c r="AI98" i="5"/>
  <c r="AM98" i="5" s="1"/>
  <c r="AQ98" i="5" s="1"/>
  <c r="AO95" i="5"/>
  <c r="AP95" i="5" s="1"/>
  <c r="AN95" i="5"/>
  <c r="AK95" i="5"/>
  <c r="AJ95" i="5"/>
  <c r="AI95" i="5"/>
  <c r="AM95" i="5" s="1"/>
  <c r="AQ95" i="5" s="1"/>
  <c r="AO94" i="5"/>
  <c r="AP94" i="5" s="1"/>
  <c r="AN94" i="5"/>
  <c r="AK94" i="5"/>
  <c r="AJ94" i="5"/>
  <c r="AI94" i="5"/>
  <c r="AO93" i="5"/>
  <c r="AP93" i="5" s="1"/>
  <c r="AN93" i="5"/>
  <c r="AK93" i="5"/>
  <c r="AJ93" i="5"/>
  <c r="AI93" i="5"/>
  <c r="AO92" i="5"/>
  <c r="AP92" i="5" s="1"/>
  <c r="AN92" i="5"/>
  <c r="AK92" i="5"/>
  <c r="AJ92" i="5"/>
  <c r="AI92" i="5"/>
  <c r="AM92" i="5" s="1"/>
  <c r="AO89" i="5"/>
  <c r="AP89" i="5" s="1"/>
  <c r="AN89" i="5"/>
  <c r="AK89" i="5"/>
  <c r="AJ89" i="5"/>
  <c r="AI89" i="5"/>
  <c r="AM89" i="5" s="1"/>
  <c r="AO88" i="5"/>
  <c r="AP88" i="5" s="1"/>
  <c r="AN88" i="5"/>
  <c r="AK88" i="5"/>
  <c r="AJ88" i="5"/>
  <c r="AI88" i="5"/>
  <c r="AO87" i="5"/>
  <c r="AP87" i="5" s="1"/>
  <c r="AN87" i="5"/>
  <c r="AK87" i="5"/>
  <c r="AJ87" i="5"/>
  <c r="AI87" i="5"/>
  <c r="AM87" i="5" s="1"/>
  <c r="AQ87" i="5" s="1"/>
  <c r="AO86" i="5"/>
  <c r="AP86" i="5" s="1"/>
  <c r="AN86" i="5"/>
  <c r="AK86" i="5"/>
  <c r="AJ86" i="5"/>
  <c r="AI86" i="5"/>
  <c r="AM86" i="5" s="1"/>
  <c r="AQ86" i="5" s="1"/>
  <c r="AO85" i="5"/>
  <c r="AP85" i="5" s="1"/>
  <c r="AN85" i="5"/>
  <c r="AK85" i="5"/>
  <c r="AJ85" i="5"/>
  <c r="AI85" i="5"/>
  <c r="AM85" i="5" s="1"/>
  <c r="AQ85" i="5" s="1"/>
  <c r="AO82" i="5"/>
  <c r="AP82" i="5" s="1"/>
  <c r="AN82" i="5"/>
  <c r="AK82" i="5"/>
  <c r="AJ82" i="5"/>
  <c r="AI82" i="5"/>
  <c r="AO81" i="5"/>
  <c r="AP81" i="5" s="1"/>
  <c r="AN81" i="5"/>
  <c r="AK81" i="5"/>
  <c r="AJ81" i="5"/>
  <c r="AI81" i="5"/>
  <c r="AO80" i="5"/>
  <c r="AP80" i="5" s="1"/>
  <c r="AN80" i="5"/>
  <c r="AK80" i="5"/>
  <c r="AJ80" i="5"/>
  <c r="AI80" i="5"/>
  <c r="AM80" i="5" s="1"/>
  <c r="AO79" i="5"/>
  <c r="AP79" i="5" s="1"/>
  <c r="AN79" i="5"/>
  <c r="AK79" i="5"/>
  <c r="AJ79" i="5"/>
  <c r="AI79" i="5"/>
  <c r="AM79" i="5" s="1"/>
  <c r="AO78" i="5"/>
  <c r="AP78" i="5" s="1"/>
  <c r="AN78" i="5"/>
  <c r="AK78" i="5"/>
  <c r="AJ78" i="5"/>
  <c r="AI78" i="5"/>
  <c r="AO77" i="5"/>
  <c r="AP77" i="5" s="1"/>
  <c r="AN77" i="5"/>
  <c r="AK77" i="5"/>
  <c r="AJ77" i="5"/>
  <c r="AI77" i="5"/>
  <c r="AM77" i="5" s="1"/>
  <c r="AQ77" i="5" s="1"/>
  <c r="AO74" i="5"/>
  <c r="AP74" i="5" s="1"/>
  <c r="AN74" i="5"/>
  <c r="AK74" i="5"/>
  <c r="AJ74" i="5"/>
  <c r="AI74" i="5"/>
  <c r="AM74" i="5" s="1"/>
  <c r="AQ74" i="5" s="1"/>
  <c r="AO73" i="5"/>
  <c r="AP73" i="5" s="1"/>
  <c r="AN73" i="5"/>
  <c r="AK73" i="5"/>
  <c r="AJ73" i="5"/>
  <c r="AI73" i="5"/>
  <c r="AM73" i="5" s="1"/>
  <c r="AQ73" i="5" s="1"/>
  <c r="AO72" i="5"/>
  <c r="AP72" i="5" s="1"/>
  <c r="AN72" i="5"/>
  <c r="AK72" i="5"/>
  <c r="AJ72" i="5"/>
  <c r="AI72" i="5"/>
  <c r="AO71" i="5"/>
  <c r="AP71" i="5" s="1"/>
  <c r="AN71" i="5"/>
  <c r="AK71" i="5"/>
  <c r="AJ71" i="5"/>
  <c r="AI71" i="5"/>
  <c r="AO70" i="5"/>
  <c r="AP70" i="5" s="1"/>
  <c r="AN70" i="5"/>
  <c r="AK70" i="5"/>
  <c r="AJ70" i="5"/>
  <c r="AI70" i="5"/>
  <c r="AM70" i="5" s="1"/>
  <c r="AO69" i="5"/>
  <c r="AP69" i="5" s="1"/>
  <c r="AN69" i="5"/>
  <c r="AK69" i="5"/>
  <c r="AJ69" i="5"/>
  <c r="AI69" i="5"/>
  <c r="AM69" i="5" s="1"/>
  <c r="AO68" i="5"/>
  <c r="AP68" i="5" s="1"/>
  <c r="AN68" i="5"/>
  <c r="AK68" i="5"/>
  <c r="AJ68" i="5"/>
  <c r="AI68" i="5"/>
  <c r="AO67" i="5"/>
  <c r="AP67" i="5" s="1"/>
  <c r="AN67" i="5"/>
  <c r="AK67" i="5"/>
  <c r="AJ67" i="5"/>
  <c r="AI67" i="5"/>
  <c r="AM67" i="5" s="1"/>
  <c r="AQ67" i="5" s="1"/>
  <c r="AO66" i="5"/>
  <c r="AP66" i="5" s="1"/>
  <c r="AN66" i="5"/>
  <c r="AK66" i="5"/>
  <c r="AJ66" i="5"/>
  <c r="AI66" i="5"/>
  <c r="AM66" i="5" s="1"/>
  <c r="AQ66" i="5" s="1"/>
  <c r="AO65" i="5"/>
  <c r="AP65" i="5" s="1"/>
  <c r="AN65" i="5"/>
  <c r="AK65" i="5"/>
  <c r="AJ65" i="5"/>
  <c r="AI65" i="5"/>
  <c r="AM65" i="5" s="1"/>
  <c r="AQ65" i="5" s="1"/>
  <c r="AO64" i="5"/>
  <c r="AP64" i="5" s="1"/>
  <c r="AN64" i="5"/>
  <c r="AK64" i="5"/>
  <c r="AJ64" i="5"/>
  <c r="AI64" i="5"/>
  <c r="AO63" i="5"/>
  <c r="AP63" i="5" s="1"/>
  <c r="AN63" i="5"/>
  <c r="AK63" i="5"/>
  <c r="AJ63" i="5"/>
  <c r="AI63" i="5"/>
  <c r="AO62" i="5"/>
  <c r="AP62" i="5" s="1"/>
  <c r="AN62" i="5"/>
  <c r="AK62" i="5"/>
  <c r="AJ62" i="5"/>
  <c r="AI62" i="5"/>
  <c r="AM62" i="5" s="1"/>
  <c r="AO61" i="5"/>
  <c r="AP61" i="5" s="1"/>
  <c r="AN61" i="5"/>
  <c r="AK61" i="5"/>
  <c r="AJ61" i="5"/>
  <c r="AI61" i="5"/>
  <c r="AM61" i="5" s="1"/>
  <c r="AO60" i="5"/>
  <c r="AP60" i="5" s="1"/>
  <c r="AN60" i="5"/>
  <c r="AK60" i="5"/>
  <c r="AJ60" i="5"/>
  <c r="AI60" i="5"/>
  <c r="AO59" i="5"/>
  <c r="AP59" i="5" s="1"/>
  <c r="AN59" i="5"/>
  <c r="AK59" i="5"/>
  <c r="AJ59" i="5"/>
  <c r="AI59" i="5"/>
  <c r="AM59" i="5" s="1"/>
  <c r="AQ59" i="5" s="1"/>
  <c r="AO58" i="5"/>
  <c r="AP58" i="5" s="1"/>
  <c r="AN58" i="5"/>
  <c r="AK58" i="5"/>
  <c r="AJ58" i="5"/>
  <c r="AI58" i="5"/>
  <c r="AM58" i="5" s="1"/>
  <c r="AQ58" i="5" s="1"/>
  <c r="AO57" i="5"/>
  <c r="AP57" i="5" s="1"/>
  <c r="AN57" i="5"/>
  <c r="AK57" i="5"/>
  <c r="AJ57" i="5"/>
  <c r="AI57" i="5"/>
  <c r="AM57" i="5" s="1"/>
  <c r="AQ57" i="5" s="1"/>
  <c r="AO56" i="5"/>
  <c r="AP56" i="5" s="1"/>
  <c r="AN56" i="5"/>
  <c r="AK56" i="5"/>
  <c r="AJ56" i="5"/>
  <c r="AI56" i="5"/>
  <c r="AO55" i="5"/>
  <c r="AP55" i="5" s="1"/>
  <c r="AN55" i="5"/>
  <c r="AK55" i="5"/>
  <c r="AJ55" i="5"/>
  <c r="AI55" i="5"/>
  <c r="AO54" i="5"/>
  <c r="AP54" i="5" s="1"/>
  <c r="AN54" i="5"/>
  <c r="AK54" i="5"/>
  <c r="AJ54" i="5"/>
  <c r="AI54" i="5"/>
  <c r="AM54" i="5" s="1"/>
  <c r="AO53" i="5"/>
  <c r="AP53" i="5" s="1"/>
  <c r="AN53" i="5"/>
  <c r="AK53" i="5"/>
  <c r="AJ53" i="5"/>
  <c r="AI53" i="5"/>
  <c r="AM53" i="5" s="1"/>
  <c r="AO52" i="5"/>
  <c r="AP52" i="5" s="1"/>
  <c r="AN52" i="5"/>
  <c r="AK52" i="5"/>
  <c r="AJ52" i="5"/>
  <c r="AI52" i="5"/>
  <c r="AO51" i="5"/>
  <c r="AP51" i="5" s="1"/>
  <c r="AN51" i="5"/>
  <c r="AK51" i="5"/>
  <c r="AJ51" i="5"/>
  <c r="AI51" i="5"/>
  <c r="AM51" i="5" s="1"/>
  <c r="AQ51" i="5" s="1"/>
  <c r="AO50" i="5"/>
  <c r="AP50" i="5" s="1"/>
  <c r="AN50" i="5"/>
  <c r="AK50" i="5"/>
  <c r="AJ50" i="5"/>
  <c r="AI50" i="5"/>
  <c r="AM50" i="5" s="1"/>
  <c r="AQ50" i="5" s="1"/>
  <c r="AO49" i="5"/>
  <c r="AP49" i="5" s="1"/>
  <c r="AN49" i="5"/>
  <c r="AK49" i="5"/>
  <c r="AJ49" i="5"/>
  <c r="AI49" i="5"/>
  <c r="AM49" i="5" s="1"/>
  <c r="AQ49" i="5" s="1"/>
  <c r="AO48" i="5"/>
  <c r="AP48" i="5" s="1"/>
  <c r="AN48" i="5"/>
  <c r="AK48" i="5"/>
  <c r="AJ48" i="5"/>
  <c r="AI48" i="5"/>
  <c r="AO47" i="5"/>
  <c r="AP47" i="5" s="1"/>
  <c r="AN47" i="5"/>
  <c r="AK47" i="5"/>
  <c r="AJ47" i="5"/>
  <c r="AI47" i="5"/>
  <c r="AO46" i="5"/>
  <c r="AP46" i="5" s="1"/>
  <c r="AN46" i="5"/>
  <c r="AK46" i="5"/>
  <c r="AJ46" i="5"/>
  <c r="AI46" i="5"/>
  <c r="AM46" i="5" s="1"/>
  <c r="AO45" i="5"/>
  <c r="AP45" i="5" s="1"/>
  <c r="AN45" i="5"/>
  <c r="AK45" i="5"/>
  <c r="AJ45" i="5"/>
  <c r="AI45" i="5"/>
  <c r="AM45" i="5" s="1"/>
  <c r="AO44" i="5"/>
  <c r="AP44" i="5" s="1"/>
  <c r="AN44" i="5"/>
  <c r="AK44" i="5"/>
  <c r="AJ44" i="5"/>
  <c r="AI44" i="5"/>
  <c r="AO43" i="5"/>
  <c r="AP43" i="5" s="1"/>
  <c r="AN43" i="5"/>
  <c r="AK43" i="5"/>
  <c r="AJ43" i="5"/>
  <c r="AI43" i="5"/>
  <c r="AM43" i="5" s="1"/>
  <c r="AQ43" i="5" s="1"/>
  <c r="AO42" i="5"/>
  <c r="AP42" i="5" s="1"/>
  <c r="AN42" i="5"/>
  <c r="AK42" i="5"/>
  <c r="AJ42" i="5"/>
  <c r="AI42" i="5"/>
  <c r="AM42" i="5" s="1"/>
  <c r="AQ42" i="5" s="1"/>
  <c r="AO41" i="5"/>
  <c r="AP41" i="5" s="1"/>
  <c r="AN41" i="5"/>
  <c r="AK41" i="5"/>
  <c r="AJ41" i="5"/>
  <c r="AI41" i="5"/>
  <c r="AM41" i="5" s="1"/>
  <c r="AQ41" i="5" s="1"/>
  <c r="AO40" i="5"/>
  <c r="AP40" i="5" s="1"/>
  <c r="AN40" i="5"/>
  <c r="AK40" i="5"/>
  <c r="AJ40" i="5"/>
  <c r="AI40" i="5"/>
  <c r="AO39" i="5"/>
  <c r="AP39" i="5" s="1"/>
  <c r="AN39" i="5"/>
  <c r="AK39" i="5"/>
  <c r="AJ39" i="5"/>
  <c r="AI39" i="5"/>
  <c r="AO38" i="5"/>
  <c r="AP38" i="5" s="1"/>
  <c r="AN38" i="5"/>
  <c r="AK38" i="5"/>
  <c r="AJ38" i="5"/>
  <c r="AI38" i="5"/>
  <c r="AM38" i="5" s="1"/>
  <c r="AO35" i="5"/>
  <c r="AP35" i="5" s="1"/>
  <c r="AN35" i="5"/>
  <c r="AK35" i="5"/>
  <c r="AJ35" i="5"/>
  <c r="AI35" i="5"/>
  <c r="AM35" i="5" s="1"/>
  <c r="AO34" i="5"/>
  <c r="AP34" i="5" s="1"/>
  <c r="AN34" i="5"/>
  <c r="AK34" i="5"/>
  <c r="AJ34" i="5"/>
  <c r="AI34" i="5"/>
  <c r="AO33" i="5"/>
  <c r="AP33" i="5" s="1"/>
  <c r="AN33" i="5"/>
  <c r="AK33" i="5"/>
  <c r="AJ33" i="5"/>
  <c r="AI33" i="5"/>
  <c r="AM33" i="5" s="1"/>
  <c r="AQ33" i="5" s="1"/>
  <c r="AO32" i="5"/>
  <c r="AP32" i="5" s="1"/>
  <c r="AN32" i="5"/>
  <c r="AK32" i="5"/>
  <c r="AJ32" i="5"/>
  <c r="AI32" i="5"/>
  <c r="AM32" i="5" s="1"/>
  <c r="AQ32" i="5" s="1"/>
  <c r="AO31" i="5"/>
  <c r="AP31" i="5" s="1"/>
  <c r="AN31" i="5"/>
  <c r="AK31" i="5"/>
  <c r="AJ31" i="5"/>
  <c r="AI31" i="5"/>
  <c r="AM31" i="5" s="1"/>
  <c r="AQ31" i="5" s="1"/>
  <c r="AO30" i="5"/>
  <c r="AP30" i="5" s="1"/>
  <c r="AN30" i="5"/>
  <c r="AK30" i="5"/>
  <c r="AJ30" i="5"/>
  <c r="AI30" i="5"/>
  <c r="AO29" i="5"/>
  <c r="AP29" i="5" s="1"/>
  <c r="AN29" i="5"/>
  <c r="AK29" i="5"/>
  <c r="AJ29" i="5"/>
  <c r="AI29" i="5"/>
  <c r="AO28" i="5"/>
  <c r="AP28" i="5" s="1"/>
  <c r="AN28" i="5"/>
  <c r="AK28" i="5"/>
  <c r="AJ28" i="5"/>
  <c r="AI28" i="5"/>
  <c r="AM28" i="5" s="1"/>
  <c r="AO27" i="5"/>
  <c r="AP27" i="5" s="1"/>
  <c r="AN27" i="5"/>
  <c r="AK27" i="5"/>
  <c r="AJ27" i="5"/>
  <c r="AI27" i="5"/>
  <c r="AM27" i="5" s="1"/>
  <c r="AO26" i="5"/>
  <c r="AP26" i="5" s="1"/>
  <c r="AN26" i="5"/>
  <c r="AK26" i="5"/>
  <c r="AJ26" i="5"/>
  <c r="AI26" i="5"/>
  <c r="AO25" i="5"/>
  <c r="AP25" i="5" s="1"/>
  <c r="AN25" i="5"/>
  <c r="AK25" i="5"/>
  <c r="AJ25" i="5"/>
  <c r="AI25" i="5"/>
  <c r="AM25" i="5" s="1"/>
  <c r="AQ25" i="5" s="1"/>
  <c r="AO24" i="5"/>
  <c r="AP24" i="5" s="1"/>
  <c r="AN24" i="5"/>
  <c r="AK24" i="5"/>
  <c r="AJ24" i="5"/>
  <c r="AI24" i="5"/>
  <c r="AM24" i="5" s="1"/>
  <c r="AQ24" i="5" s="1"/>
  <c r="AO23" i="5"/>
  <c r="AP23" i="5" s="1"/>
  <c r="AN23" i="5"/>
  <c r="AK23" i="5"/>
  <c r="AJ23" i="5"/>
  <c r="AI23" i="5"/>
  <c r="AM23" i="5" s="1"/>
  <c r="AQ23" i="5" s="1"/>
  <c r="AO22" i="5"/>
  <c r="AP22" i="5" s="1"/>
  <c r="AN22" i="5"/>
  <c r="AK22" i="5"/>
  <c r="AJ22" i="5"/>
  <c r="AI22" i="5"/>
  <c r="AO19" i="5"/>
  <c r="AP19" i="5" s="1"/>
  <c r="AN19" i="5"/>
  <c r="AK19" i="5"/>
  <c r="AJ19" i="5"/>
  <c r="AI19" i="5"/>
  <c r="AO18" i="5"/>
  <c r="AP18" i="5" s="1"/>
  <c r="AN18" i="5"/>
  <c r="AK18" i="5"/>
  <c r="AJ18" i="5"/>
  <c r="AI18" i="5"/>
  <c r="AM18" i="5" s="1"/>
  <c r="AO17" i="5"/>
  <c r="AP17" i="5" s="1"/>
  <c r="AN17" i="5"/>
  <c r="AK17" i="5"/>
  <c r="AJ17" i="5"/>
  <c r="AI17" i="5"/>
  <c r="AM17" i="5" s="1"/>
  <c r="AO16" i="5"/>
  <c r="AP16" i="5" s="1"/>
  <c r="AN16" i="5"/>
  <c r="AK16" i="5"/>
  <c r="AJ16" i="5"/>
  <c r="AI16" i="5"/>
  <c r="AO15" i="5"/>
  <c r="AP15" i="5" s="1"/>
  <c r="AN15" i="5"/>
  <c r="AK15" i="5"/>
  <c r="AJ15" i="5"/>
  <c r="AI15" i="5"/>
  <c r="AM15" i="5" s="1"/>
  <c r="AQ15" i="5" s="1"/>
  <c r="AO14" i="5"/>
  <c r="AP14" i="5" s="1"/>
  <c r="AN14" i="5"/>
  <c r="AK14" i="5"/>
  <c r="AJ14" i="5"/>
  <c r="AI14" i="5"/>
  <c r="AM14" i="5" s="1"/>
  <c r="AQ14" i="5" s="1"/>
  <c r="AO13" i="5"/>
  <c r="AP13" i="5" s="1"/>
  <c r="AN13" i="5"/>
  <c r="AK13" i="5"/>
  <c r="AJ13" i="5"/>
  <c r="AI13" i="5"/>
  <c r="AM13" i="5" s="1"/>
  <c r="AQ13" i="5" s="1"/>
  <c r="AO12" i="5"/>
  <c r="AP12" i="5" s="1"/>
  <c r="AN12" i="5"/>
  <c r="AK12" i="5"/>
  <c r="AJ12" i="5"/>
  <c r="AI12" i="5"/>
  <c r="AO11" i="5"/>
  <c r="AP11" i="5" s="1"/>
  <c r="AN11" i="5"/>
  <c r="AK11" i="5"/>
  <c r="AJ11" i="5"/>
  <c r="AI11" i="5"/>
  <c r="AO10" i="5"/>
  <c r="AP10" i="5" s="1"/>
  <c r="AN10" i="5"/>
  <c r="AK10" i="5"/>
  <c r="AJ10" i="5"/>
  <c r="AI10" i="5"/>
  <c r="AM10" i="5" s="1"/>
  <c r="AO9" i="5"/>
  <c r="AP9" i="5" s="1"/>
  <c r="AN9" i="5"/>
  <c r="AK9" i="5"/>
  <c r="AJ9" i="5"/>
  <c r="AI9" i="5"/>
  <c r="AO8" i="5"/>
  <c r="AP8" i="5" s="1"/>
  <c r="AN8" i="5"/>
  <c r="AK8" i="5"/>
  <c r="AJ8" i="5"/>
  <c r="AI8" i="5"/>
  <c r="AO7" i="5"/>
  <c r="AP7" i="5" s="1"/>
  <c r="AN7" i="5"/>
  <c r="AK7" i="5"/>
  <c r="AJ7" i="5"/>
  <c r="AI7" i="5"/>
  <c r="AM7" i="5" s="1"/>
  <c r="AO6" i="5"/>
  <c r="AP6" i="5" s="1"/>
  <c r="AN6" i="5"/>
  <c r="AK6" i="5"/>
  <c r="AJ6" i="5"/>
  <c r="AI6" i="5"/>
  <c r="AM6" i="5" s="1"/>
  <c r="AO5" i="5"/>
  <c r="AP5" i="5" s="1"/>
  <c r="AN5" i="5"/>
  <c r="AK5" i="5"/>
  <c r="AJ5" i="5"/>
  <c r="AI5" i="5"/>
  <c r="AL129" i="4"/>
  <c r="AM129" i="4" s="1"/>
  <c r="AK129" i="4"/>
  <c r="AH129" i="4"/>
  <c r="AG129" i="4"/>
  <c r="AF129" i="4"/>
  <c r="AJ129" i="4" s="1"/>
  <c r="AL128" i="4"/>
  <c r="AM128" i="4" s="1"/>
  <c r="AK128" i="4"/>
  <c r="AH128" i="4"/>
  <c r="AG128" i="4"/>
  <c r="AF128" i="4"/>
  <c r="AJ128" i="4" s="1"/>
  <c r="AL127" i="4"/>
  <c r="AM127" i="4" s="1"/>
  <c r="AK127" i="4"/>
  <c r="AH127" i="4"/>
  <c r="AG127" i="4"/>
  <c r="AF127" i="4"/>
  <c r="AL126" i="4"/>
  <c r="AM126" i="4" s="1"/>
  <c r="AK126" i="4"/>
  <c r="AH126" i="4"/>
  <c r="AG126" i="4"/>
  <c r="AF126" i="4"/>
  <c r="AJ126" i="4" s="1"/>
  <c r="AN126" i="4" s="1"/>
  <c r="AL125" i="4"/>
  <c r="AM125" i="4" s="1"/>
  <c r="AK125" i="4"/>
  <c r="AH125" i="4"/>
  <c r="AG125" i="4"/>
  <c r="AF125" i="4"/>
  <c r="AJ125" i="4" s="1"/>
  <c r="AL124" i="4"/>
  <c r="AM124" i="4" s="1"/>
  <c r="AK124" i="4"/>
  <c r="AH124" i="4"/>
  <c r="AG124" i="4"/>
  <c r="AF124" i="4"/>
  <c r="AL123" i="4"/>
  <c r="AM123" i="4" s="1"/>
  <c r="AK123" i="4"/>
  <c r="AH123" i="4"/>
  <c r="AG123" i="4"/>
  <c r="AF123" i="4"/>
  <c r="AJ123" i="4" s="1"/>
  <c r="AN123" i="4" s="1"/>
  <c r="AL122" i="4"/>
  <c r="AM122" i="4" s="1"/>
  <c r="AK122" i="4"/>
  <c r="AH122" i="4"/>
  <c r="AG122" i="4"/>
  <c r="AF122" i="4"/>
  <c r="AJ122" i="4" s="1"/>
  <c r="AN122" i="4" s="1"/>
  <c r="AL121" i="4"/>
  <c r="AM121" i="4" s="1"/>
  <c r="AK121" i="4"/>
  <c r="AH121" i="4"/>
  <c r="AG121" i="4"/>
  <c r="AF121" i="4"/>
  <c r="AL120" i="4"/>
  <c r="AM120" i="4" s="1"/>
  <c r="AK120" i="4"/>
  <c r="AH120" i="4"/>
  <c r="AG120" i="4"/>
  <c r="AF120" i="4"/>
  <c r="AJ120" i="4" s="1"/>
  <c r="AN120" i="4" s="1"/>
  <c r="AL119" i="4"/>
  <c r="AM119" i="4" s="1"/>
  <c r="AK119" i="4"/>
  <c r="AH119" i="4"/>
  <c r="AG119" i="4"/>
  <c r="AF119" i="4"/>
  <c r="AJ119" i="4" s="1"/>
  <c r="AN119" i="4" s="1"/>
  <c r="AL116" i="4"/>
  <c r="AM116" i="4" s="1"/>
  <c r="AK116" i="4"/>
  <c r="AH116" i="4"/>
  <c r="AG116" i="4"/>
  <c r="AF116" i="4"/>
  <c r="AL115" i="4"/>
  <c r="AM115" i="4" s="1"/>
  <c r="AK115" i="4"/>
  <c r="AH115" i="4"/>
  <c r="AG115" i="4"/>
  <c r="AF115" i="4"/>
  <c r="AJ115" i="4" s="1"/>
  <c r="AN115" i="4" s="1"/>
  <c r="AL114" i="4"/>
  <c r="AM114" i="4" s="1"/>
  <c r="AK114" i="4"/>
  <c r="AH114" i="4"/>
  <c r="AG114" i="4"/>
  <c r="AF114" i="4"/>
  <c r="AJ114" i="4" s="1"/>
  <c r="AN114" i="4" s="1"/>
  <c r="AL111" i="4"/>
  <c r="AM111" i="4" s="1"/>
  <c r="AK111" i="4"/>
  <c r="AH111" i="4"/>
  <c r="AG111" i="4"/>
  <c r="AF111" i="4"/>
  <c r="AJ111" i="4" s="1"/>
  <c r="AN111" i="4" s="1"/>
  <c r="AL110" i="4"/>
  <c r="AM110" i="4" s="1"/>
  <c r="AK110" i="4"/>
  <c r="AH110" i="4"/>
  <c r="AG110" i="4"/>
  <c r="AF110" i="4"/>
  <c r="AJ110" i="4" s="1"/>
  <c r="AN110" i="4" s="1"/>
  <c r="AL109" i="4"/>
  <c r="AM109" i="4" s="1"/>
  <c r="AK109" i="4"/>
  <c r="AH109" i="4"/>
  <c r="AG109" i="4"/>
  <c r="AF109" i="4"/>
  <c r="AJ109" i="4" s="1"/>
  <c r="AN109" i="4" s="1"/>
  <c r="AL108" i="4"/>
  <c r="AM108" i="4" s="1"/>
  <c r="AK108" i="4"/>
  <c r="AH108" i="4"/>
  <c r="AG108" i="4"/>
  <c r="AF108" i="4"/>
  <c r="AJ108" i="4" s="1"/>
  <c r="AN108" i="4" s="1"/>
  <c r="AL107" i="4"/>
  <c r="AM107" i="4" s="1"/>
  <c r="AK107" i="4"/>
  <c r="AH107" i="4"/>
  <c r="AG107" i="4"/>
  <c r="AF107" i="4"/>
  <c r="AL106" i="4"/>
  <c r="AM106" i="4" s="1"/>
  <c r="AK106" i="4"/>
  <c r="AH106" i="4"/>
  <c r="AG106" i="4"/>
  <c r="AF106" i="4"/>
  <c r="AJ106" i="4" s="1"/>
  <c r="AN106" i="4" s="1"/>
  <c r="AL105" i="4"/>
  <c r="AM105" i="4" s="1"/>
  <c r="AK105" i="4"/>
  <c r="AH105" i="4"/>
  <c r="AG105" i="4"/>
  <c r="AF105" i="4"/>
  <c r="AJ105" i="4" s="1"/>
  <c r="AN105" i="4" s="1"/>
  <c r="AL104" i="4"/>
  <c r="AM104" i="4" s="1"/>
  <c r="AK104" i="4"/>
  <c r="AH104" i="4"/>
  <c r="AG104" i="4"/>
  <c r="AF104" i="4"/>
  <c r="AL103" i="4"/>
  <c r="AM103" i="4" s="1"/>
  <c r="AK103" i="4"/>
  <c r="AH103" i="4"/>
  <c r="AG103" i="4"/>
  <c r="AF103" i="4"/>
  <c r="AL102" i="4"/>
  <c r="AM102" i="4" s="1"/>
  <c r="AK102" i="4"/>
  <c r="AH102" i="4"/>
  <c r="AG102" i="4"/>
  <c r="AF102" i="4"/>
  <c r="AJ102" i="4" s="1"/>
  <c r="AN102" i="4" s="1"/>
  <c r="AL101" i="4"/>
  <c r="AM101" i="4" s="1"/>
  <c r="AK101" i="4"/>
  <c r="AH101" i="4"/>
  <c r="AG101" i="4"/>
  <c r="AF101" i="4"/>
  <c r="AL100" i="4"/>
  <c r="AM100" i="4" s="1"/>
  <c r="AK100" i="4"/>
  <c r="AH100" i="4"/>
  <c r="AG100" i="4"/>
  <c r="AF100" i="4"/>
  <c r="AL99" i="4"/>
  <c r="AM99" i="4" s="1"/>
  <c r="AK99" i="4"/>
  <c r="AH99" i="4"/>
  <c r="AG99" i="4"/>
  <c r="AF99" i="4"/>
  <c r="AJ99" i="4" s="1"/>
  <c r="AL98" i="4"/>
  <c r="AM98" i="4" s="1"/>
  <c r="AK98" i="4"/>
  <c r="AH98" i="4"/>
  <c r="AG98" i="4"/>
  <c r="AF98" i="4"/>
  <c r="AL95" i="4"/>
  <c r="AM95" i="4" s="1"/>
  <c r="AK95" i="4"/>
  <c r="AH95" i="4"/>
  <c r="AG95" i="4"/>
  <c r="AF95" i="4"/>
  <c r="AL94" i="4"/>
  <c r="AM94" i="4" s="1"/>
  <c r="AK94" i="4"/>
  <c r="AH94" i="4"/>
  <c r="AG94" i="4"/>
  <c r="AF94" i="4"/>
  <c r="AJ94" i="4" s="1"/>
  <c r="AL93" i="4"/>
  <c r="AM93" i="4" s="1"/>
  <c r="AK93" i="4"/>
  <c r="AH93" i="4"/>
  <c r="AG93" i="4"/>
  <c r="AF93" i="4"/>
  <c r="AJ93" i="4" s="1"/>
  <c r="AL92" i="4"/>
  <c r="AM92" i="4" s="1"/>
  <c r="AK92" i="4"/>
  <c r="AH92" i="4"/>
  <c r="AG92" i="4"/>
  <c r="AF92" i="4"/>
  <c r="AL89" i="4"/>
  <c r="AM89" i="4" s="1"/>
  <c r="AK89" i="4"/>
  <c r="AH89" i="4"/>
  <c r="AG89" i="4"/>
  <c r="AF89" i="4"/>
  <c r="AJ89" i="4" s="1"/>
  <c r="AL88" i="4"/>
  <c r="AM88" i="4" s="1"/>
  <c r="AK88" i="4"/>
  <c r="AH88" i="4"/>
  <c r="AG88" i="4"/>
  <c r="AF88" i="4"/>
  <c r="AJ88" i="4" s="1"/>
  <c r="AL87" i="4"/>
  <c r="AM87" i="4" s="1"/>
  <c r="AK87" i="4"/>
  <c r="AH87" i="4"/>
  <c r="AG87" i="4"/>
  <c r="AF87" i="4"/>
  <c r="AL86" i="4"/>
  <c r="AM86" i="4" s="1"/>
  <c r="AK86" i="4"/>
  <c r="AH86" i="4"/>
  <c r="AG86" i="4"/>
  <c r="AF86" i="4"/>
  <c r="AL85" i="4"/>
  <c r="AM85" i="4" s="1"/>
  <c r="AK85" i="4"/>
  <c r="AH85" i="4"/>
  <c r="AG85" i="4"/>
  <c r="AF85" i="4"/>
  <c r="AJ85" i="4" s="1"/>
  <c r="AL82" i="4"/>
  <c r="AM82" i="4" s="1"/>
  <c r="AK82" i="4"/>
  <c r="AH82" i="4"/>
  <c r="AG82" i="4"/>
  <c r="AF82" i="4"/>
  <c r="AL81" i="4"/>
  <c r="AM81" i="4" s="1"/>
  <c r="AK81" i="4"/>
  <c r="AH81" i="4"/>
  <c r="AG81" i="4"/>
  <c r="AF81" i="4"/>
  <c r="AJ81" i="4" s="1"/>
  <c r="AN81" i="4" s="1"/>
  <c r="AL80" i="4"/>
  <c r="AM80" i="4" s="1"/>
  <c r="AK80" i="4"/>
  <c r="AH80" i="4"/>
  <c r="AG80" i="4"/>
  <c r="AF80" i="4"/>
  <c r="AJ80" i="4" s="1"/>
  <c r="AN80" i="4" s="1"/>
  <c r="AL79" i="4"/>
  <c r="AM79" i="4" s="1"/>
  <c r="AK79" i="4"/>
  <c r="AH79" i="4"/>
  <c r="AG79" i="4"/>
  <c r="AF79" i="4"/>
  <c r="AL78" i="4"/>
  <c r="AM78" i="4" s="1"/>
  <c r="AK78" i="4"/>
  <c r="AH78" i="4"/>
  <c r="AG78" i="4"/>
  <c r="AF78" i="4"/>
  <c r="AJ78" i="4" s="1"/>
  <c r="AN78" i="4" s="1"/>
  <c r="AL77" i="4"/>
  <c r="AM77" i="4" s="1"/>
  <c r="AK77" i="4"/>
  <c r="AH77" i="4"/>
  <c r="AG77" i="4"/>
  <c r="AF77" i="4"/>
  <c r="AJ77" i="4" s="1"/>
  <c r="AN77" i="4" s="1"/>
  <c r="AL74" i="4"/>
  <c r="AM74" i="4" s="1"/>
  <c r="AK74" i="4"/>
  <c r="AH74" i="4"/>
  <c r="AG74" i="4"/>
  <c r="AF74" i="4"/>
  <c r="AL73" i="4"/>
  <c r="AM73" i="4" s="1"/>
  <c r="AK73" i="4"/>
  <c r="AH73" i="4"/>
  <c r="AG73" i="4"/>
  <c r="AF73" i="4"/>
  <c r="AJ73" i="4" s="1"/>
  <c r="AN73" i="4" s="1"/>
  <c r="AL72" i="4"/>
  <c r="AM72" i="4" s="1"/>
  <c r="AK72" i="4"/>
  <c r="AH72" i="4"/>
  <c r="AG72" i="4"/>
  <c r="AF72" i="4"/>
  <c r="AJ72" i="4" s="1"/>
  <c r="AN72" i="4" s="1"/>
  <c r="AL71" i="4"/>
  <c r="AM71" i="4" s="1"/>
  <c r="AK71" i="4"/>
  <c r="AH71" i="4"/>
  <c r="AG71" i="4"/>
  <c r="AF71" i="4"/>
  <c r="AJ71" i="4" s="1"/>
  <c r="AN71" i="4" s="1"/>
  <c r="AL70" i="4"/>
  <c r="AM70" i="4" s="1"/>
  <c r="AK70" i="4"/>
  <c r="AH70" i="4"/>
  <c r="AG70" i="4"/>
  <c r="AF70" i="4"/>
  <c r="AJ70" i="4" s="1"/>
  <c r="AN70" i="4" s="1"/>
  <c r="AL69" i="4"/>
  <c r="AM69" i="4" s="1"/>
  <c r="AK69" i="4"/>
  <c r="AH69" i="4"/>
  <c r="AG69" i="4"/>
  <c r="AF69" i="4"/>
  <c r="AJ69" i="4" s="1"/>
  <c r="AN69" i="4" s="1"/>
  <c r="AL68" i="4"/>
  <c r="AM68" i="4" s="1"/>
  <c r="AK68" i="4"/>
  <c r="AH68" i="4"/>
  <c r="AG68" i="4"/>
  <c r="AF68" i="4"/>
  <c r="AJ68" i="4" s="1"/>
  <c r="AN68" i="4" s="1"/>
  <c r="AL67" i="4"/>
  <c r="AM67" i="4" s="1"/>
  <c r="AK67" i="4"/>
  <c r="AH67" i="4"/>
  <c r="AG67" i="4"/>
  <c r="AF67" i="4"/>
  <c r="AL66" i="4"/>
  <c r="AM66" i="4" s="1"/>
  <c r="AK66" i="4"/>
  <c r="AH66" i="4"/>
  <c r="AG66" i="4"/>
  <c r="AF66" i="4"/>
  <c r="AJ66" i="4" s="1"/>
  <c r="AN66" i="4" s="1"/>
  <c r="AL65" i="4"/>
  <c r="AM65" i="4" s="1"/>
  <c r="AK65" i="4"/>
  <c r="AH65" i="4"/>
  <c r="AG65" i="4"/>
  <c r="AF65" i="4"/>
  <c r="AM64" i="4"/>
  <c r="AL64" i="4"/>
  <c r="AK64" i="4"/>
  <c r="AH64" i="4"/>
  <c r="AG64" i="4"/>
  <c r="AF64" i="4"/>
  <c r="AM63" i="4"/>
  <c r="AL63" i="4"/>
  <c r="AK63" i="4"/>
  <c r="AH63" i="4"/>
  <c r="AG63" i="4"/>
  <c r="AF63" i="4"/>
  <c r="AJ63" i="4" s="1"/>
  <c r="AN63" i="4" s="1"/>
  <c r="AL62" i="4"/>
  <c r="AM62" i="4" s="1"/>
  <c r="AK62" i="4"/>
  <c r="AH62" i="4"/>
  <c r="AG62" i="4"/>
  <c r="AF62" i="4"/>
  <c r="AJ62" i="4" s="1"/>
  <c r="AL61" i="4"/>
  <c r="AM61" i="4" s="1"/>
  <c r="AN61" i="4" s="1"/>
  <c r="AK61" i="4"/>
  <c r="AH61" i="4"/>
  <c r="AG61" i="4"/>
  <c r="AF61" i="4"/>
  <c r="AJ61" i="4" s="1"/>
  <c r="AM60" i="4"/>
  <c r="AL60" i="4"/>
  <c r="AK60" i="4"/>
  <c r="AJ60" i="4"/>
  <c r="AN60" i="4" s="1"/>
  <c r="AH60" i="4"/>
  <c r="AG60" i="4"/>
  <c r="AF60" i="4"/>
  <c r="AM59" i="4"/>
  <c r="AL59" i="4"/>
  <c r="AK59" i="4"/>
  <c r="AJ59" i="4"/>
  <c r="AN59" i="4" s="1"/>
  <c r="AH59" i="4"/>
  <c r="AG59" i="4"/>
  <c r="AF59" i="4"/>
  <c r="AM58" i="4"/>
  <c r="AL58" i="4"/>
  <c r="AK58" i="4"/>
  <c r="AH58" i="4"/>
  <c r="AG58" i="4"/>
  <c r="AF58" i="4"/>
  <c r="AJ58" i="4" s="1"/>
  <c r="AN58" i="4" s="1"/>
  <c r="AM57" i="4"/>
  <c r="AL57" i="4"/>
  <c r="AK57" i="4"/>
  <c r="AH57" i="4"/>
  <c r="AG57" i="4"/>
  <c r="AF57" i="4"/>
  <c r="AJ57" i="4" s="1"/>
  <c r="AN57" i="4" s="1"/>
  <c r="AM56" i="4"/>
  <c r="AL56" i="4"/>
  <c r="AK56" i="4"/>
  <c r="AH56" i="4"/>
  <c r="AG56" i="4"/>
  <c r="AF56" i="4"/>
  <c r="AJ56" i="4" s="1"/>
  <c r="AN56" i="4" s="1"/>
  <c r="AM55" i="4"/>
  <c r="AL55" i="4"/>
  <c r="AK55" i="4"/>
  <c r="AH55" i="4"/>
  <c r="AG55" i="4"/>
  <c r="AF55" i="4"/>
  <c r="AJ55" i="4" s="1"/>
  <c r="AN55" i="4" s="1"/>
  <c r="AM54" i="4"/>
  <c r="AL54" i="4"/>
  <c r="AK54" i="4"/>
  <c r="AH54" i="4"/>
  <c r="AG54" i="4"/>
  <c r="AF54" i="4"/>
  <c r="AJ54" i="4" s="1"/>
  <c r="AN54" i="4" s="1"/>
  <c r="AM53" i="4"/>
  <c r="AL53" i="4"/>
  <c r="AK53" i="4"/>
  <c r="AH53" i="4"/>
  <c r="AG53" i="4"/>
  <c r="AF53" i="4"/>
  <c r="AJ53" i="4" s="1"/>
  <c r="AN53" i="4" s="1"/>
  <c r="AM52" i="4"/>
  <c r="AL52" i="4"/>
  <c r="AK52" i="4"/>
  <c r="AH52" i="4"/>
  <c r="AG52" i="4"/>
  <c r="AF52" i="4"/>
  <c r="AJ52" i="4" s="1"/>
  <c r="AN52" i="4" s="1"/>
  <c r="AM51" i="4"/>
  <c r="AL51" i="4"/>
  <c r="AK51" i="4"/>
  <c r="AH51" i="4"/>
  <c r="AG51" i="4"/>
  <c r="AF51" i="4"/>
  <c r="AJ51" i="4" s="1"/>
  <c r="AN51" i="4" s="1"/>
  <c r="AL50" i="4"/>
  <c r="AM50" i="4" s="1"/>
  <c r="AK50" i="4"/>
  <c r="AH50" i="4"/>
  <c r="AG50" i="4"/>
  <c r="AF50" i="4"/>
  <c r="AJ50" i="4" s="1"/>
  <c r="AL49" i="4"/>
  <c r="AM49" i="4" s="1"/>
  <c r="AK49" i="4"/>
  <c r="AH49" i="4"/>
  <c r="AG49" i="4"/>
  <c r="AF49" i="4"/>
  <c r="AJ49" i="4" s="1"/>
  <c r="AL48" i="4"/>
  <c r="AM48" i="4" s="1"/>
  <c r="AK48" i="4"/>
  <c r="AH48" i="4"/>
  <c r="AG48" i="4"/>
  <c r="AF48" i="4"/>
  <c r="AJ48" i="4" s="1"/>
  <c r="AL47" i="4"/>
  <c r="AM47" i="4" s="1"/>
  <c r="AK47" i="4"/>
  <c r="AH47" i="4"/>
  <c r="AG47" i="4"/>
  <c r="AF47" i="4"/>
  <c r="AJ47" i="4" s="1"/>
  <c r="AL46" i="4"/>
  <c r="AM46" i="4" s="1"/>
  <c r="AK46" i="4"/>
  <c r="AH46" i="4"/>
  <c r="AG46" i="4"/>
  <c r="AF46" i="4"/>
  <c r="AJ46" i="4" s="1"/>
  <c r="AN46" i="4" s="1"/>
  <c r="AL45" i="4"/>
  <c r="AM45" i="4" s="1"/>
  <c r="AK45" i="4"/>
  <c r="AH45" i="4"/>
  <c r="AG45" i="4"/>
  <c r="AF45" i="4"/>
  <c r="AJ45" i="4" s="1"/>
  <c r="AN45" i="4" s="1"/>
  <c r="AL44" i="4"/>
  <c r="AM44" i="4" s="1"/>
  <c r="AK44" i="4"/>
  <c r="AH44" i="4"/>
  <c r="AG44" i="4"/>
  <c r="AF44" i="4"/>
  <c r="AJ44" i="4" s="1"/>
  <c r="AL43" i="4"/>
  <c r="AM43" i="4" s="1"/>
  <c r="AK43" i="4"/>
  <c r="AH43" i="4"/>
  <c r="AG43" i="4"/>
  <c r="AF43" i="4"/>
  <c r="AJ43" i="4" s="1"/>
  <c r="AN43" i="4" s="1"/>
  <c r="AL42" i="4"/>
  <c r="AM42" i="4" s="1"/>
  <c r="AK42" i="4"/>
  <c r="AH42" i="4"/>
  <c r="AG42" i="4"/>
  <c r="AF42" i="4"/>
  <c r="AJ42" i="4" s="1"/>
  <c r="AL41" i="4"/>
  <c r="AM41" i="4" s="1"/>
  <c r="AK41" i="4"/>
  <c r="AH41" i="4"/>
  <c r="AG41" i="4"/>
  <c r="AF41" i="4"/>
  <c r="AJ41" i="4" s="1"/>
  <c r="AL40" i="4"/>
  <c r="AM40" i="4" s="1"/>
  <c r="AK40" i="4"/>
  <c r="AH40" i="4"/>
  <c r="AG40" i="4"/>
  <c r="AF40" i="4"/>
  <c r="AJ40" i="4" s="1"/>
  <c r="AN40" i="4" s="1"/>
  <c r="AL39" i="4"/>
  <c r="AM39" i="4" s="1"/>
  <c r="AK39" i="4"/>
  <c r="AH39" i="4"/>
  <c r="AG39" i="4"/>
  <c r="AF39" i="4"/>
  <c r="AJ39" i="4" s="1"/>
  <c r="AL38" i="4"/>
  <c r="AM38" i="4" s="1"/>
  <c r="AK38" i="4"/>
  <c r="AH38" i="4"/>
  <c r="AG38" i="4"/>
  <c r="AF38" i="4"/>
  <c r="AJ38" i="4" s="1"/>
  <c r="AN38" i="4" s="1"/>
  <c r="AL35" i="4"/>
  <c r="AM35" i="4" s="1"/>
  <c r="AK35" i="4"/>
  <c r="AH35" i="4"/>
  <c r="AG35" i="4"/>
  <c r="AF35" i="4"/>
  <c r="AJ35" i="4" s="1"/>
  <c r="AN35" i="4" s="1"/>
  <c r="AL34" i="4"/>
  <c r="AM34" i="4" s="1"/>
  <c r="AK34" i="4"/>
  <c r="AH34" i="4"/>
  <c r="AG34" i="4"/>
  <c r="AF34" i="4"/>
  <c r="AJ34" i="4" s="1"/>
  <c r="AL33" i="4"/>
  <c r="AM33" i="4" s="1"/>
  <c r="AK33" i="4"/>
  <c r="AH33" i="4"/>
  <c r="AG33" i="4"/>
  <c r="AF33" i="4"/>
  <c r="AJ33" i="4" s="1"/>
  <c r="AN33" i="4" s="1"/>
  <c r="AL32" i="4"/>
  <c r="AM32" i="4" s="1"/>
  <c r="AK32" i="4"/>
  <c r="AH32" i="4"/>
  <c r="AG32" i="4"/>
  <c r="AF32" i="4"/>
  <c r="AJ32" i="4" s="1"/>
  <c r="AL31" i="4"/>
  <c r="AM31" i="4" s="1"/>
  <c r="AK31" i="4"/>
  <c r="AH31" i="4"/>
  <c r="AG31" i="4"/>
  <c r="AF31" i="4"/>
  <c r="AJ31" i="4" s="1"/>
  <c r="AL30" i="4"/>
  <c r="AM30" i="4" s="1"/>
  <c r="AK30" i="4"/>
  <c r="AH30" i="4"/>
  <c r="AG30" i="4"/>
  <c r="AF30" i="4"/>
  <c r="AJ30" i="4" s="1"/>
  <c r="AN30" i="4" s="1"/>
  <c r="AL29" i="4"/>
  <c r="AM29" i="4" s="1"/>
  <c r="AK29" i="4"/>
  <c r="AH29" i="4"/>
  <c r="AG29" i="4"/>
  <c r="AF29" i="4"/>
  <c r="AJ29" i="4" s="1"/>
  <c r="AL28" i="4"/>
  <c r="AM28" i="4" s="1"/>
  <c r="AK28" i="4"/>
  <c r="AH28" i="4"/>
  <c r="AG28" i="4"/>
  <c r="AF28" i="4"/>
  <c r="AJ28" i="4" s="1"/>
  <c r="AN28" i="4" s="1"/>
  <c r="AL27" i="4"/>
  <c r="AM27" i="4" s="1"/>
  <c r="AK27" i="4"/>
  <c r="AH27" i="4"/>
  <c r="AG27" i="4"/>
  <c r="AF27" i="4"/>
  <c r="AJ27" i="4" s="1"/>
  <c r="AN27" i="4" s="1"/>
  <c r="AL26" i="4"/>
  <c r="AM26" i="4" s="1"/>
  <c r="AK26" i="4"/>
  <c r="AH26" i="4"/>
  <c r="AG26" i="4"/>
  <c r="AF26" i="4"/>
  <c r="AJ26" i="4" s="1"/>
  <c r="AL25" i="4"/>
  <c r="AM25" i="4" s="1"/>
  <c r="AK25" i="4"/>
  <c r="AH25" i="4"/>
  <c r="AG25" i="4"/>
  <c r="AF25" i="4"/>
  <c r="AJ25" i="4" s="1"/>
  <c r="AN25" i="4" s="1"/>
  <c r="AL24" i="4"/>
  <c r="AM24" i="4" s="1"/>
  <c r="AK24" i="4"/>
  <c r="AH24" i="4"/>
  <c r="AG24" i="4"/>
  <c r="AF24" i="4"/>
  <c r="AJ24" i="4" s="1"/>
  <c r="AL23" i="4"/>
  <c r="AM23" i="4" s="1"/>
  <c r="AK23" i="4"/>
  <c r="AH23" i="4"/>
  <c r="AG23" i="4"/>
  <c r="AF23" i="4"/>
  <c r="AJ23" i="4" s="1"/>
  <c r="AL22" i="4"/>
  <c r="AM22" i="4" s="1"/>
  <c r="AK22" i="4"/>
  <c r="AH22" i="4"/>
  <c r="AG22" i="4"/>
  <c r="AF22" i="4"/>
  <c r="AJ22" i="4" s="1"/>
  <c r="AN22" i="4" s="1"/>
  <c r="AL19" i="4"/>
  <c r="AM19" i="4" s="1"/>
  <c r="AK19" i="4"/>
  <c r="AH19" i="4"/>
  <c r="AG19" i="4"/>
  <c r="AF19" i="4"/>
  <c r="AJ19" i="4" s="1"/>
  <c r="AL18" i="4"/>
  <c r="AM18" i="4" s="1"/>
  <c r="AK18" i="4"/>
  <c r="AH18" i="4"/>
  <c r="AG18" i="4"/>
  <c r="AF18" i="4"/>
  <c r="AJ18" i="4" s="1"/>
  <c r="AN18" i="4" s="1"/>
  <c r="AL17" i="4"/>
  <c r="AM17" i="4" s="1"/>
  <c r="AK17" i="4"/>
  <c r="AH17" i="4"/>
  <c r="AG17" i="4"/>
  <c r="AF17" i="4"/>
  <c r="AJ17" i="4" s="1"/>
  <c r="AN17" i="4" s="1"/>
  <c r="AL16" i="4"/>
  <c r="AM16" i="4" s="1"/>
  <c r="AK16" i="4"/>
  <c r="AH16" i="4"/>
  <c r="AG16" i="4"/>
  <c r="AF16" i="4"/>
  <c r="AJ16" i="4" s="1"/>
  <c r="AL15" i="4"/>
  <c r="AM15" i="4" s="1"/>
  <c r="AK15" i="4"/>
  <c r="AH15" i="4"/>
  <c r="AG15" i="4"/>
  <c r="AF15" i="4"/>
  <c r="AJ15" i="4" s="1"/>
  <c r="AN15" i="4" s="1"/>
  <c r="AL14" i="4"/>
  <c r="AM14" i="4" s="1"/>
  <c r="AK14" i="4"/>
  <c r="AH14" i="4"/>
  <c r="AG14" i="4"/>
  <c r="AF14" i="4"/>
  <c r="AJ14" i="4" s="1"/>
  <c r="AL13" i="4"/>
  <c r="AM13" i="4" s="1"/>
  <c r="AK13" i="4"/>
  <c r="AH13" i="4"/>
  <c r="AG13" i="4"/>
  <c r="AF13" i="4"/>
  <c r="AJ13" i="4" s="1"/>
  <c r="AL12" i="4"/>
  <c r="AM12" i="4" s="1"/>
  <c r="AK12" i="4"/>
  <c r="AH12" i="4"/>
  <c r="AG12" i="4"/>
  <c r="AF12" i="4"/>
  <c r="AJ12" i="4" s="1"/>
  <c r="AN12" i="4" s="1"/>
  <c r="AL11" i="4"/>
  <c r="AM11" i="4" s="1"/>
  <c r="AK11" i="4"/>
  <c r="AH11" i="4"/>
  <c r="AG11" i="4"/>
  <c r="AF11" i="4"/>
  <c r="AJ11" i="4" s="1"/>
  <c r="AL10" i="4"/>
  <c r="AM10" i="4" s="1"/>
  <c r="AK10" i="4"/>
  <c r="AH10" i="4"/>
  <c r="AG10" i="4"/>
  <c r="AF10" i="4"/>
  <c r="AJ10" i="4" s="1"/>
  <c r="AN10" i="4" s="1"/>
  <c r="AL9" i="4"/>
  <c r="AM9" i="4" s="1"/>
  <c r="AK9" i="4"/>
  <c r="AH9" i="4"/>
  <c r="AG9" i="4"/>
  <c r="AF9" i="4"/>
  <c r="AJ9" i="4" s="1"/>
  <c r="AN9" i="4" s="1"/>
  <c r="AL8" i="4"/>
  <c r="AM8" i="4" s="1"/>
  <c r="AK8" i="4"/>
  <c r="AH8" i="4"/>
  <c r="AG8" i="4"/>
  <c r="AF8" i="4"/>
  <c r="AJ8" i="4" s="1"/>
  <c r="AL7" i="4"/>
  <c r="AM7" i="4" s="1"/>
  <c r="AK7" i="4"/>
  <c r="AH7" i="4"/>
  <c r="AG7" i="4"/>
  <c r="AF7" i="4"/>
  <c r="AJ7" i="4" s="1"/>
  <c r="AN7" i="4" s="1"/>
  <c r="AL6" i="4"/>
  <c r="AM6" i="4" s="1"/>
  <c r="AK6" i="4"/>
  <c r="AH6" i="4"/>
  <c r="AG6" i="4"/>
  <c r="AF6" i="4"/>
  <c r="AJ6" i="4" s="1"/>
  <c r="AL5" i="4"/>
  <c r="AM5" i="4" s="1"/>
  <c r="AK5" i="4"/>
  <c r="AH5" i="4"/>
  <c r="AG5" i="4"/>
  <c r="AF5" i="4"/>
  <c r="AJ5" i="4" s="1"/>
  <c r="AO129" i="3"/>
  <c r="AP129" i="3" s="1"/>
  <c r="AN129" i="3"/>
  <c r="AK129" i="3"/>
  <c r="AJ129" i="3"/>
  <c r="AI129" i="3"/>
  <c r="AM129" i="3" s="1"/>
  <c r="AQ129" i="3" s="1"/>
  <c r="AO128" i="3"/>
  <c r="AP128" i="3" s="1"/>
  <c r="AN128" i="3"/>
  <c r="AK128" i="3"/>
  <c r="Z129" i="1" s="1"/>
  <c r="AA129" i="1" s="1"/>
  <c r="AC129" i="1" s="1"/>
  <c r="AE129" i="1" s="1"/>
  <c r="AJ128" i="3"/>
  <c r="Q129" i="1" s="1"/>
  <c r="AI128" i="3"/>
  <c r="AM128" i="3" s="1"/>
  <c r="AO127" i="3"/>
  <c r="W128" i="1" s="1"/>
  <c r="X128" i="1" s="1"/>
  <c r="AN127" i="3"/>
  <c r="AK127" i="3"/>
  <c r="AJ127" i="3"/>
  <c r="AI127" i="3"/>
  <c r="AM127" i="3" s="1"/>
  <c r="AO126" i="3"/>
  <c r="AP126" i="3" s="1"/>
  <c r="AN126" i="3"/>
  <c r="AK126" i="3"/>
  <c r="AJ126" i="3"/>
  <c r="AI126" i="3"/>
  <c r="AM126" i="3" s="1"/>
  <c r="AO125" i="3"/>
  <c r="AP125" i="3" s="1"/>
  <c r="AN125" i="3"/>
  <c r="AK125" i="3"/>
  <c r="AJ125" i="3"/>
  <c r="AI125" i="3"/>
  <c r="AM125" i="3" s="1"/>
  <c r="AQ125" i="3" s="1"/>
  <c r="AO124" i="3"/>
  <c r="AP124" i="3" s="1"/>
  <c r="AN124" i="3"/>
  <c r="AK124" i="3"/>
  <c r="AJ124" i="3"/>
  <c r="AI124" i="3"/>
  <c r="AM124" i="3" s="1"/>
  <c r="AQ124" i="3" s="1"/>
  <c r="AO123" i="3"/>
  <c r="AP123" i="3" s="1"/>
  <c r="AN123" i="3"/>
  <c r="AK123" i="3"/>
  <c r="AJ123" i="3"/>
  <c r="AI123" i="3"/>
  <c r="AM123" i="3" s="1"/>
  <c r="AO122" i="3"/>
  <c r="AP122" i="3" s="1"/>
  <c r="AN122" i="3"/>
  <c r="AK122" i="3"/>
  <c r="AJ122" i="3"/>
  <c r="AI122" i="3"/>
  <c r="AM122" i="3" s="1"/>
  <c r="AQ122" i="3" s="1"/>
  <c r="AO121" i="3"/>
  <c r="AP121" i="3" s="1"/>
  <c r="AN121" i="3"/>
  <c r="AK121" i="3"/>
  <c r="AJ121" i="3"/>
  <c r="AI121" i="3"/>
  <c r="AM121" i="3" s="1"/>
  <c r="AO120" i="3"/>
  <c r="AP120" i="3" s="1"/>
  <c r="AN120" i="3"/>
  <c r="AK120" i="3"/>
  <c r="AJ120" i="3"/>
  <c r="AI120" i="3"/>
  <c r="AM120" i="3" s="1"/>
  <c r="AO119" i="3"/>
  <c r="AP119" i="3" s="1"/>
  <c r="AN119" i="3"/>
  <c r="AK119" i="3"/>
  <c r="AJ119" i="3"/>
  <c r="AI119" i="3"/>
  <c r="AM119" i="3" s="1"/>
  <c r="AQ119" i="3" s="1"/>
  <c r="AO116" i="3"/>
  <c r="AP116" i="3" s="1"/>
  <c r="AN116" i="3"/>
  <c r="AK116" i="3"/>
  <c r="AJ116" i="3"/>
  <c r="AI116" i="3"/>
  <c r="AM116" i="3" s="1"/>
  <c r="AO115" i="3"/>
  <c r="AP115" i="3" s="1"/>
  <c r="AN115" i="3"/>
  <c r="AK115" i="3"/>
  <c r="AJ115" i="3"/>
  <c r="AI115" i="3"/>
  <c r="AM115" i="3" s="1"/>
  <c r="AQ115" i="3" s="1"/>
  <c r="AO114" i="3"/>
  <c r="AP114" i="3" s="1"/>
  <c r="AN114" i="3"/>
  <c r="AK114" i="3"/>
  <c r="AJ114" i="3"/>
  <c r="AI114" i="3"/>
  <c r="AM114" i="3" s="1"/>
  <c r="AQ114" i="3" s="1"/>
  <c r="AO111" i="3"/>
  <c r="AP111" i="3" s="1"/>
  <c r="AN111" i="3"/>
  <c r="AK111" i="3"/>
  <c r="AJ111" i="3"/>
  <c r="AI111" i="3"/>
  <c r="AM111" i="3" s="1"/>
  <c r="AO110" i="3"/>
  <c r="AP110" i="3" s="1"/>
  <c r="AN110" i="3"/>
  <c r="AK110" i="3"/>
  <c r="AJ110" i="3"/>
  <c r="AI110" i="3"/>
  <c r="AM110" i="3" s="1"/>
  <c r="AQ110" i="3" s="1"/>
  <c r="AO109" i="3"/>
  <c r="AP109" i="3" s="1"/>
  <c r="AN109" i="3"/>
  <c r="AK109" i="3"/>
  <c r="AJ109" i="3"/>
  <c r="AI109" i="3"/>
  <c r="AM109" i="3" s="1"/>
  <c r="AO108" i="3"/>
  <c r="AP108" i="3" s="1"/>
  <c r="AN108" i="3"/>
  <c r="AK108" i="3"/>
  <c r="AJ108" i="3"/>
  <c r="AI108" i="3"/>
  <c r="AM108" i="3" s="1"/>
  <c r="AO107" i="3"/>
  <c r="AP107" i="3" s="1"/>
  <c r="AN107" i="3"/>
  <c r="AK107" i="3"/>
  <c r="AJ107" i="3"/>
  <c r="AI107" i="3"/>
  <c r="AM107" i="3" s="1"/>
  <c r="AQ107" i="3" s="1"/>
  <c r="AO106" i="3"/>
  <c r="AP106" i="3" s="1"/>
  <c r="AN106" i="3"/>
  <c r="AK106" i="3"/>
  <c r="AJ106" i="3"/>
  <c r="AI106" i="3"/>
  <c r="AM106" i="3" s="1"/>
  <c r="AO105" i="3"/>
  <c r="AP105" i="3" s="1"/>
  <c r="AN105" i="3"/>
  <c r="AK105" i="3"/>
  <c r="AJ105" i="3"/>
  <c r="AI105" i="3"/>
  <c r="AM105" i="3" s="1"/>
  <c r="AQ105" i="3" s="1"/>
  <c r="AO104" i="3"/>
  <c r="AP104" i="3" s="1"/>
  <c r="AN104" i="3"/>
  <c r="AK104" i="3"/>
  <c r="AJ104" i="3"/>
  <c r="AI104" i="3"/>
  <c r="AM104" i="3" s="1"/>
  <c r="AQ104" i="3" s="1"/>
  <c r="AO103" i="3"/>
  <c r="AP103" i="3" s="1"/>
  <c r="AN103" i="3"/>
  <c r="AK103" i="3"/>
  <c r="AJ103" i="3"/>
  <c r="AI103" i="3"/>
  <c r="AM103" i="3" s="1"/>
  <c r="AO102" i="3"/>
  <c r="AP102" i="3" s="1"/>
  <c r="AN102" i="3"/>
  <c r="AK102" i="3"/>
  <c r="AJ102" i="3"/>
  <c r="AI102" i="3"/>
  <c r="AM102" i="3" s="1"/>
  <c r="AQ102" i="3" s="1"/>
  <c r="AO101" i="3"/>
  <c r="AP101" i="3" s="1"/>
  <c r="AN101" i="3"/>
  <c r="AK101" i="3"/>
  <c r="AJ101" i="3"/>
  <c r="AI101" i="3"/>
  <c r="AM101" i="3" s="1"/>
  <c r="AO100" i="3"/>
  <c r="AP100" i="3" s="1"/>
  <c r="AN100" i="3"/>
  <c r="AK100" i="3"/>
  <c r="AJ100" i="3"/>
  <c r="AI100" i="3"/>
  <c r="AM100" i="3" s="1"/>
  <c r="AO99" i="3"/>
  <c r="AP99" i="3" s="1"/>
  <c r="AN99" i="3"/>
  <c r="AK99" i="3"/>
  <c r="AJ99" i="3"/>
  <c r="AI99" i="3"/>
  <c r="AM99" i="3" s="1"/>
  <c r="AQ99" i="3" s="1"/>
  <c r="AO98" i="3"/>
  <c r="AP98" i="3" s="1"/>
  <c r="AN98" i="3"/>
  <c r="AK98" i="3"/>
  <c r="AJ98" i="3"/>
  <c r="AI98" i="3"/>
  <c r="AM98" i="3" s="1"/>
  <c r="AO95" i="3"/>
  <c r="AP95" i="3" s="1"/>
  <c r="AN95" i="3"/>
  <c r="AK95" i="3"/>
  <c r="AJ95" i="3"/>
  <c r="AI95" i="3"/>
  <c r="AM95" i="3" s="1"/>
  <c r="AQ95" i="3" s="1"/>
  <c r="AO94" i="3"/>
  <c r="AP94" i="3" s="1"/>
  <c r="AN94" i="3"/>
  <c r="AK94" i="3"/>
  <c r="AJ94" i="3"/>
  <c r="AI94" i="3"/>
  <c r="AM94" i="3" s="1"/>
  <c r="AQ94" i="3" s="1"/>
  <c r="AO93" i="3"/>
  <c r="AP93" i="3" s="1"/>
  <c r="AN93" i="3"/>
  <c r="AK93" i="3"/>
  <c r="AJ93" i="3"/>
  <c r="AI93" i="3"/>
  <c r="AM93" i="3" s="1"/>
  <c r="AO92" i="3"/>
  <c r="AP92" i="3" s="1"/>
  <c r="AN92" i="3"/>
  <c r="AK92" i="3"/>
  <c r="AJ92" i="3"/>
  <c r="AI92" i="3"/>
  <c r="AM92" i="3" s="1"/>
  <c r="AQ92" i="3" s="1"/>
  <c r="AO89" i="3"/>
  <c r="AP89" i="3" s="1"/>
  <c r="AN89" i="3"/>
  <c r="AK89" i="3"/>
  <c r="AJ89" i="3"/>
  <c r="AI89" i="3"/>
  <c r="AM89" i="3" s="1"/>
  <c r="AO88" i="3"/>
  <c r="AP88" i="3" s="1"/>
  <c r="AN88" i="3"/>
  <c r="AK88" i="3"/>
  <c r="AJ88" i="3"/>
  <c r="AI88" i="3"/>
  <c r="AM88" i="3" s="1"/>
  <c r="AO87" i="3"/>
  <c r="AP87" i="3" s="1"/>
  <c r="AN87" i="3"/>
  <c r="AK87" i="3"/>
  <c r="AJ87" i="3"/>
  <c r="AI87" i="3"/>
  <c r="AM87" i="3" s="1"/>
  <c r="AQ87" i="3" s="1"/>
  <c r="AO86" i="3"/>
  <c r="AP86" i="3" s="1"/>
  <c r="AN86" i="3"/>
  <c r="AK86" i="3"/>
  <c r="AJ86" i="3"/>
  <c r="AI86" i="3"/>
  <c r="AM86" i="3" s="1"/>
  <c r="AO85" i="3"/>
  <c r="AP85" i="3" s="1"/>
  <c r="AN85" i="3"/>
  <c r="AK85" i="3"/>
  <c r="AJ85" i="3"/>
  <c r="AI85" i="3"/>
  <c r="AM85" i="3" s="1"/>
  <c r="AQ85" i="3" s="1"/>
  <c r="AO82" i="3"/>
  <c r="AP82" i="3" s="1"/>
  <c r="AN82" i="3"/>
  <c r="AK82" i="3"/>
  <c r="AJ82" i="3"/>
  <c r="AI82" i="3"/>
  <c r="AM82" i="3" s="1"/>
  <c r="AQ82" i="3" s="1"/>
  <c r="AO81" i="3"/>
  <c r="AP81" i="3" s="1"/>
  <c r="AN81" i="3"/>
  <c r="AK81" i="3"/>
  <c r="AJ81" i="3"/>
  <c r="AI81" i="3"/>
  <c r="AM81" i="3" s="1"/>
  <c r="AO80" i="3"/>
  <c r="AP80" i="3" s="1"/>
  <c r="AN80" i="3"/>
  <c r="AK80" i="3"/>
  <c r="AJ80" i="3"/>
  <c r="AI80" i="3"/>
  <c r="AM80" i="3" s="1"/>
  <c r="AQ80" i="3" s="1"/>
  <c r="AO79" i="3"/>
  <c r="AP79" i="3" s="1"/>
  <c r="AN79" i="3"/>
  <c r="AK79" i="3"/>
  <c r="AJ79" i="3"/>
  <c r="AI79" i="3"/>
  <c r="AM79" i="3" s="1"/>
  <c r="AO78" i="3"/>
  <c r="AP78" i="3" s="1"/>
  <c r="AN78" i="3"/>
  <c r="AK78" i="3"/>
  <c r="AJ78" i="3"/>
  <c r="AI78" i="3"/>
  <c r="AM78" i="3" s="1"/>
  <c r="AO77" i="3"/>
  <c r="AP77" i="3" s="1"/>
  <c r="AN77" i="3"/>
  <c r="AK77" i="3"/>
  <c r="AJ77" i="3"/>
  <c r="AI77" i="3"/>
  <c r="AM77" i="3" s="1"/>
  <c r="AQ77" i="3" s="1"/>
  <c r="AO74" i="3"/>
  <c r="AP74" i="3" s="1"/>
  <c r="AN74" i="3"/>
  <c r="AK74" i="3"/>
  <c r="AJ74" i="3"/>
  <c r="AI74" i="3"/>
  <c r="AM74" i="3" s="1"/>
  <c r="AO73" i="3"/>
  <c r="AP73" i="3" s="1"/>
  <c r="AN73" i="3"/>
  <c r="AK73" i="3"/>
  <c r="AJ73" i="3"/>
  <c r="AI73" i="3"/>
  <c r="AM73" i="3" s="1"/>
  <c r="AQ73" i="3" s="1"/>
  <c r="AO72" i="3"/>
  <c r="AP72" i="3" s="1"/>
  <c r="AN72" i="3"/>
  <c r="AK72" i="3"/>
  <c r="AJ72" i="3"/>
  <c r="AI72" i="3"/>
  <c r="AM72" i="3" s="1"/>
  <c r="AQ72" i="3" s="1"/>
  <c r="AO71" i="3"/>
  <c r="AP71" i="3" s="1"/>
  <c r="AN71" i="3"/>
  <c r="AK71" i="3"/>
  <c r="AJ71" i="3"/>
  <c r="AI71" i="3"/>
  <c r="AM71" i="3" s="1"/>
  <c r="AO70" i="3"/>
  <c r="AP70" i="3" s="1"/>
  <c r="AN70" i="3"/>
  <c r="AK70" i="3"/>
  <c r="AJ70" i="3"/>
  <c r="AI70" i="3"/>
  <c r="AM70" i="3" s="1"/>
  <c r="AQ70" i="3" s="1"/>
  <c r="AO69" i="3"/>
  <c r="AP69" i="3" s="1"/>
  <c r="AN69" i="3"/>
  <c r="AK69" i="3"/>
  <c r="AJ69" i="3"/>
  <c r="AI69" i="3"/>
  <c r="AM69" i="3" s="1"/>
  <c r="AO68" i="3"/>
  <c r="AP68" i="3" s="1"/>
  <c r="AN68" i="3"/>
  <c r="AK68" i="3"/>
  <c r="AJ68" i="3"/>
  <c r="AI68" i="3"/>
  <c r="AM68" i="3" s="1"/>
  <c r="AO67" i="3"/>
  <c r="AP67" i="3" s="1"/>
  <c r="AN67" i="3"/>
  <c r="AK67" i="3"/>
  <c r="AJ67" i="3"/>
  <c r="AI67" i="3"/>
  <c r="AM67" i="3" s="1"/>
  <c r="AQ67" i="3" s="1"/>
  <c r="AO66" i="3"/>
  <c r="AP66" i="3" s="1"/>
  <c r="AN66" i="3"/>
  <c r="AK66" i="3"/>
  <c r="AJ66" i="3"/>
  <c r="AI66" i="3"/>
  <c r="AM66" i="3" s="1"/>
  <c r="AO65" i="3"/>
  <c r="AP65" i="3" s="1"/>
  <c r="AN65" i="3"/>
  <c r="AK65" i="3"/>
  <c r="AJ65" i="3"/>
  <c r="AI65" i="3"/>
  <c r="AM65" i="3" s="1"/>
  <c r="AQ65" i="3" s="1"/>
  <c r="AO64" i="3"/>
  <c r="AP64" i="3" s="1"/>
  <c r="AN64" i="3"/>
  <c r="AK64" i="3"/>
  <c r="AJ64" i="3"/>
  <c r="AI64" i="3"/>
  <c r="AM64" i="3" s="1"/>
  <c r="AQ64" i="3" s="1"/>
  <c r="AO63" i="3"/>
  <c r="AP63" i="3" s="1"/>
  <c r="AN63" i="3"/>
  <c r="AK63" i="3"/>
  <c r="AJ63" i="3"/>
  <c r="AI63" i="3"/>
  <c r="AM63" i="3" s="1"/>
  <c r="AO62" i="3"/>
  <c r="AP62" i="3" s="1"/>
  <c r="AN62" i="3"/>
  <c r="AK62" i="3"/>
  <c r="AJ62" i="3"/>
  <c r="AI62" i="3"/>
  <c r="AM62" i="3" s="1"/>
  <c r="AQ62" i="3" s="1"/>
  <c r="AO61" i="3"/>
  <c r="AP61" i="3" s="1"/>
  <c r="AN61" i="3"/>
  <c r="AK61" i="3"/>
  <c r="AJ61" i="3"/>
  <c r="AI61" i="3"/>
  <c r="AM61" i="3" s="1"/>
  <c r="AO60" i="3"/>
  <c r="AP60" i="3" s="1"/>
  <c r="AN60" i="3"/>
  <c r="AK60" i="3"/>
  <c r="AJ60" i="3"/>
  <c r="AI60" i="3"/>
  <c r="AM60" i="3" s="1"/>
  <c r="AO59" i="3"/>
  <c r="AP59" i="3" s="1"/>
  <c r="AN59" i="3"/>
  <c r="AK59" i="3"/>
  <c r="AJ59" i="3"/>
  <c r="AI59" i="3"/>
  <c r="AM59" i="3" s="1"/>
  <c r="AQ59" i="3" s="1"/>
  <c r="AO58" i="3"/>
  <c r="AP58" i="3" s="1"/>
  <c r="AN58" i="3"/>
  <c r="AK58" i="3"/>
  <c r="AJ58" i="3"/>
  <c r="AI58" i="3"/>
  <c r="AM58" i="3" s="1"/>
  <c r="AO57" i="3"/>
  <c r="AP57" i="3" s="1"/>
  <c r="AN57" i="3"/>
  <c r="AK57" i="3"/>
  <c r="AJ57" i="3"/>
  <c r="AI57" i="3"/>
  <c r="AM57" i="3" s="1"/>
  <c r="AQ57" i="3" s="1"/>
  <c r="AO56" i="3"/>
  <c r="AP56" i="3" s="1"/>
  <c r="AN56" i="3"/>
  <c r="AK56" i="3"/>
  <c r="AJ56" i="3"/>
  <c r="AI56" i="3"/>
  <c r="AM56" i="3" s="1"/>
  <c r="AQ56" i="3" s="1"/>
  <c r="AO55" i="3"/>
  <c r="AP55" i="3" s="1"/>
  <c r="AN55" i="3"/>
  <c r="AK55" i="3"/>
  <c r="AJ55" i="3"/>
  <c r="AI55" i="3"/>
  <c r="AM55" i="3" s="1"/>
  <c r="AO54" i="3"/>
  <c r="AP54" i="3" s="1"/>
  <c r="AN54" i="3"/>
  <c r="AK54" i="3"/>
  <c r="AJ54" i="3"/>
  <c r="AI54" i="3"/>
  <c r="AM54" i="3" s="1"/>
  <c r="AQ54" i="3" s="1"/>
  <c r="AO53" i="3"/>
  <c r="AP53" i="3" s="1"/>
  <c r="AN53" i="3"/>
  <c r="AK53" i="3"/>
  <c r="AJ53" i="3"/>
  <c r="AI53" i="3"/>
  <c r="AM53" i="3" s="1"/>
  <c r="AO52" i="3"/>
  <c r="AP52" i="3" s="1"/>
  <c r="AN52" i="3"/>
  <c r="AK52" i="3"/>
  <c r="AJ52" i="3"/>
  <c r="AI52" i="3"/>
  <c r="AM52" i="3" s="1"/>
  <c r="AO51" i="3"/>
  <c r="AP51" i="3" s="1"/>
  <c r="AN51" i="3"/>
  <c r="AK51" i="3"/>
  <c r="AJ51" i="3"/>
  <c r="AI51" i="3"/>
  <c r="AM51" i="3" s="1"/>
  <c r="AQ51" i="3" s="1"/>
  <c r="AO50" i="3"/>
  <c r="AP50" i="3" s="1"/>
  <c r="AN50" i="3"/>
  <c r="AK50" i="3"/>
  <c r="AJ50" i="3"/>
  <c r="AI50" i="3"/>
  <c r="AM50" i="3" s="1"/>
  <c r="AO49" i="3"/>
  <c r="AP49" i="3" s="1"/>
  <c r="AN49" i="3"/>
  <c r="AK49" i="3"/>
  <c r="AJ49" i="3"/>
  <c r="AI49" i="3"/>
  <c r="AM49" i="3" s="1"/>
  <c r="AQ49" i="3" s="1"/>
  <c r="AO48" i="3"/>
  <c r="AP48" i="3" s="1"/>
  <c r="AN48" i="3"/>
  <c r="AK48" i="3"/>
  <c r="AJ48" i="3"/>
  <c r="AI48" i="3"/>
  <c r="AM48" i="3" s="1"/>
  <c r="AQ48" i="3" s="1"/>
  <c r="AO47" i="3"/>
  <c r="AP47" i="3" s="1"/>
  <c r="AN47" i="3"/>
  <c r="AK47" i="3"/>
  <c r="AJ47" i="3"/>
  <c r="AI47" i="3"/>
  <c r="AM47" i="3" s="1"/>
  <c r="AO46" i="3"/>
  <c r="AP46" i="3" s="1"/>
  <c r="AN46" i="3"/>
  <c r="AK46" i="3"/>
  <c r="AJ46" i="3"/>
  <c r="AI46" i="3"/>
  <c r="AM46" i="3" s="1"/>
  <c r="AQ46" i="3" s="1"/>
  <c r="AO45" i="3"/>
  <c r="AP45" i="3" s="1"/>
  <c r="AN45" i="3"/>
  <c r="AK45" i="3"/>
  <c r="AJ45" i="3"/>
  <c r="AI45" i="3"/>
  <c r="AM45" i="3" s="1"/>
  <c r="AO44" i="3"/>
  <c r="AP44" i="3" s="1"/>
  <c r="AN44" i="3"/>
  <c r="AK44" i="3"/>
  <c r="AJ44" i="3"/>
  <c r="AI44" i="3"/>
  <c r="AM44" i="3" s="1"/>
  <c r="AO43" i="3"/>
  <c r="AP43" i="3" s="1"/>
  <c r="AN43" i="3"/>
  <c r="AK43" i="3"/>
  <c r="AJ43" i="3"/>
  <c r="AI43" i="3"/>
  <c r="AM43" i="3" s="1"/>
  <c r="AQ43" i="3" s="1"/>
  <c r="AO42" i="3"/>
  <c r="AP42" i="3" s="1"/>
  <c r="AN42" i="3"/>
  <c r="AK42" i="3"/>
  <c r="AJ42" i="3"/>
  <c r="AI42" i="3"/>
  <c r="AM42" i="3" s="1"/>
  <c r="AO41" i="3"/>
  <c r="AP41" i="3" s="1"/>
  <c r="AN41" i="3"/>
  <c r="AK41" i="3"/>
  <c r="AJ41" i="3"/>
  <c r="AI41" i="3"/>
  <c r="AM41" i="3" s="1"/>
  <c r="AQ41" i="3" s="1"/>
  <c r="AO40" i="3"/>
  <c r="AP40" i="3" s="1"/>
  <c r="AN40" i="3"/>
  <c r="AK40" i="3"/>
  <c r="AJ40" i="3"/>
  <c r="AI40" i="3"/>
  <c r="AM40" i="3" s="1"/>
  <c r="AQ40" i="3" s="1"/>
  <c r="AO39" i="3"/>
  <c r="AP39" i="3" s="1"/>
  <c r="AN39" i="3"/>
  <c r="AK39" i="3"/>
  <c r="AJ39" i="3"/>
  <c r="AI39" i="3"/>
  <c r="AM39" i="3" s="1"/>
  <c r="AO38" i="3"/>
  <c r="AP38" i="3" s="1"/>
  <c r="AN38" i="3"/>
  <c r="AK38" i="3"/>
  <c r="AJ38" i="3"/>
  <c r="AI38" i="3"/>
  <c r="AM38" i="3" s="1"/>
  <c r="AQ38" i="3" s="1"/>
  <c r="AO35" i="3"/>
  <c r="AP35" i="3" s="1"/>
  <c r="AN35" i="3"/>
  <c r="AK35" i="3"/>
  <c r="AJ35" i="3"/>
  <c r="AI35" i="3"/>
  <c r="AM35" i="3" s="1"/>
  <c r="AO34" i="3"/>
  <c r="AP34" i="3" s="1"/>
  <c r="AN34" i="3"/>
  <c r="AK34" i="3"/>
  <c r="AJ34" i="3"/>
  <c r="AI34" i="3"/>
  <c r="AM34" i="3" s="1"/>
  <c r="AO33" i="3"/>
  <c r="AP33" i="3" s="1"/>
  <c r="AN33" i="3"/>
  <c r="AK33" i="3"/>
  <c r="AJ33" i="3"/>
  <c r="AI33" i="3"/>
  <c r="AM33" i="3" s="1"/>
  <c r="AQ33" i="3" s="1"/>
  <c r="AO32" i="3"/>
  <c r="AP32" i="3" s="1"/>
  <c r="AN32" i="3"/>
  <c r="AK32" i="3"/>
  <c r="AJ32" i="3"/>
  <c r="AI32" i="3"/>
  <c r="AM32" i="3" s="1"/>
  <c r="AO31" i="3"/>
  <c r="AP31" i="3" s="1"/>
  <c r="AN31" i="3"/>
  <c r="AK31" i="3"/>
  <c r="AJ31" i="3"/>
  <c r="AI31" i="3"/>
  <c r="AM31" i="3" s="1"/>
  <c r="AQ31" i="3" s="1"/>
  <c r="AO30" i="3"/>
  <c r="AP30" i="3" s="1"/>
  <c r="AN30" i="3"/>
  <c r="AK30" i="3"/>
  <c r="AJ30" i="3"/>
  <c r="AI30" i="3"/>
  <c r="AM30" i="3" s="1"/>
  <c r="AQ30" i="3" s="1"/>
  <c r="AO29" i="3"/>
  <c r="AP29" i="3" s="1"/>
  <c r="AN29" i="3"/>
  <c r="AK29" i="3"/>
  <c r="AJ29" i="3"/>
  <c r="AI29" i="3"/>
  <c r="AM29" i="3" s="1"/>
  <c r="AO28" i="3"/>
  <c r="AP28" i="3" s="1"/>
  <c r="AN28" i="3"/>
  <c r="AK28" i="3"/>
  <c r="AJ28" i="3"/>
  <c r="AI28" i="3"/>
  <c r="AM28" i="3" s="1"/>
  <c r="AQ28" i="3" s="1"/>
  <c r="AO27" i="3"/>
  <c r="AP27" i="3" s="1"/>
  <c r="AN27" i="3"/>
  <c r="AK27" i="3"/>
  <c r="AJ27" i="3"/>
  <c r="AI27" i="3"/>
  <c r="AM27" i="3" s="1"/>
  <c r="AO26" i="3"/>
  <c r="AP26" i="3" s="1"/>
  <c r="AN26" i="3"/>
  <c r="AK26" i="3"/>
  <c r="AJ26" i="3"/>
  <c r="AI26" i="3"/>
  <c r="AM26" i="3" s="1"/>
  <c r="AO25" i="3"/>
  <c r="AP25" i="3" s="1"/>
  <c r="AN25" i="3"/>
  <c r="AK25" i="3"/>
  <c r="AJ25" i="3"/>
  <c r="AI25" i="3"/>
  <c r="AM25" i="3" s="1"/>
  <c r="AQ25" i="3" s="1"/>
  <c r="AO24" i="3"/>
  <c r="AP24" i="3" s="1"/>
  <c r="AN24" i="3"/>
  <c r="AK24" i="3"/>
  <c r="AJ24" i="3"/>
  <c r="AI24" i="3"/>
  <c r="AM24" i="3" s="1"/>
  <c r="AO23" i="3"/>
  <c r="AP23" i="3" s="1"/>
  <c r="AN23" i="3"/>
  <c r="AK23" i="3"/>
  <c r="AJ23" i="3"/>
  <c r="AI23" i="3"/>
  <c r="AM23" i="3" s="1"/>
  <c r="AQ23" i="3" s="1"/>
  <c r="AO22" i="3"/>
  <c r="AP22" i="3" s="1"/>
  <c r="AN22" i="3"/>
  <c r="AK22" i="3"/>
  <c r="AJ22" i="3"/>
  <c r="AI22" i="3"/>
  <c r="AM22" i="3" s="1"/>
  <c r="AQ22" i="3" s="1"/>
  <c r="AO19" i="3"/>
  <c r="AP19" i="3" s="1"/>
  <c r="AN19" i="3"/>
  <c r="AK19" i="3"/>
  <c r="AJ19" i="3"/>
  <c r="AI19" i="3"/>
  <c r="AM19" i="3" s="1"/>
  <c r="AO18" i="3"/>
  <c r="AP18" i="3" s="1"/>
  <c r="AN18" i="3"/>
  <c r="AK18" i="3"/>
  <c r="AJ18" i="3"/>
  <c r="AI18" i="3"/>
  <c r="AM18" i="3" s="1"/>
  <c r="AQ18" i="3" s="1"/>
  <c r="AO17" i="3"/>
  <c r="AP17" i="3" s="1"/>
  <c r="AN17" i="3"/>
  <c r="AK17" i="3"/>
  <c r="AJ17" i="3"/>
  <c r="AI17" i="3"/>
  <c r="AM17" i="3" s="1"/>
  <c r="AO16" i="3"/>
  <c r="AP16" i="3" s="1"/>
  <c r="AN16" i="3"/>
  <c r="AK16" i="3"/>
  <c r="AJ16" i="3"/>
  <c r="AI16" i="3"/>
  <c r="AM16" i="3" s="1"/>
  <c r="AO15" i="3"/>
  <c r="AP15" i="3" s="1"/>
  <c r="AN15" i="3"/>
  <c r="AK15" i="3"/>
  <c r="AJ15" i="3"/>
  <c r="AI15" i="3"/>
  <c r="AM15" i="3" s="1"/>
  <c r="AQ15" i="3" s="1"/>
  <c r="AO14" i="3"/>
  <c r="AP14" i="3" s="1"/>
  <c r="AN14" i="3"/>
  <c r="AK14" i="3"/>
  <c r="AJ14" i="3"/>
  <c r="AI14" i="3"/>
  <c r="AM14" i="3" s="1"/>
  <c r="AO13" i="3"/>
  <c r="AP13" i="3" s="1"/>
  <c r="AN13" i="3"/>
  <c r="AK13" i="3"/>
  <c r="AJ13" i="3"/>
  <c r="AI13" i="3"/>
  <c r="AM13" i="3" s="1"/>
  <c r="AQ13" i="3" s="1"/>
  <c r="AO12" i="3"/>
  <c r="AP12" i="3" s="1"/>
  <c r="AN12" i="3"/>
  <c r="AK12" i="3"/>
  <c r="AJ12" i="3"/>
  <c r="AI12" i="3"/>
  <c r="AM12" i="3" s="1"/>
  <c r="AQ12" i="3" s="1"/>
  <c r="AO11" i="3"/>
  <c r="AP11" i="3" s="1"/>
  <c r="AN11" i="3"/>
  <c r="AK11" i="3"/>
  <c r="AJ11" i="3"/>
  <c r="AI11" i="3"/>
  <c r="AM11" i="3" s="1"/>
  <c r="AO10" i="3"/>
  <c r="AP10" i="3" s="1"/>
  <c r="AN10" i="3"/>
  <c r="AK10" i="3"/>
  <c r="AJ10" i="3"/>
  <c r="AI10" i="3"/>
  <c r="AM10" i="3" s="1"/>
  <c r="AQ10" i="3" s="1"/>
  <c r="AO9" i="3"/>
  <c r="AP9" i="3" s="1"/>
  <c r="AN9" i="3"/>
  <c r="AK9" i="3"/>
  <c r="AJ9" i="3"/>
  <c r="AI9" i="3"/>
  <c r="AM9" i="3" s="1"/>
  <c r="AO8" i="3"/>
  <c r="AP8" i="3" s="1"/>
  <c r="AN8" i="3"/>
  <c r="AK8" i="3"/>
  <c r="AJ8" i="3"/>
  <c r="AI8" i="3"/>
  <c r="AM8" i="3" s="1"/>
  <c r="AO7" i="3"/>
  <c r="AP7" i="3" s="1"/>
  <c r="AN7" i="3"/>
  <c r="AK7" i="3"/>
  <c r="AJ7" i="3"/>
  <c r="AI7" i="3"/>
  <c r="AM7" i="3" s="1"/>
  <c r="AQ7" i="3" s="1"/>
  <c r="AO6" i="3"/>
  <c r="AP6" i="3" s="1"/>
  <c r="AN6" i="3"/>
  <c r="AK6" i="3"/>
  <c r="AJ6" i="3"/>
  <c r="AI6" i="3"/>
  <c r="AM6" i="3" s="1"/>
  <c r="AO5" i="3"/>
  <c r="AP5" i="3" s="1"/>
  <c r="AN5" i="3"/>
  <c r="AK5" i="3"/>
  <c r="AJ5" i="3"/>
  <c r="AI5" i="3"/>
  <c r="AM5" i="3" s="1"/>
  <c r="AQ5" i="3" s="1"/>
  <c r="D15" i="2"/>
  <c r="D14" i="2" a="1"/>
  <c r="D14" i="2"/>
  <c r="D13" i="2"/>
  <c r="D12" i="2"/>
  <c r="D11" i="2"/>
  <c r="E10" i="2"/>
  <c r="D10" i="2"/>
  <c r="Z130" i="1"/>
  <c r="AA130" i="1" s="1"/>
  <c r="AC130" i="1" s="1"/>
  <c r="AE130" i="1" s="1"/>
  <c r="Y130" i="1"/>
  <c r="W130" i="1"/>
  <c r="X130" i="1" s="1"/>
  <c r="V130" i="1"/>
  <c r="R130" i="1"/>
  <c r="Q130" i="1"/>
  <c r="P130" i="1"/>
  <c r="Y129" i="1"/>
  <c r="W129" i="1"/>
  <c r="X129" i="1" s="1"/>
  <c r="V129" i="1"/>
  <c r="R129" i="1"/>
  <c r="P129" i="1"/>
  <c r="Z128" i="1"/>
  <c r="Y128" i="1"/>
  <c r="V128" i="1"/>
  <c r="R128" i="1"/>
  <c r="Q128" i="1"/>
  <c r="P128" i="1"/>
  <c r="Z127" i="1"/>
  <c r="Y127" i="1"/>
  <c r="W127" i="1"/>
  <c r="X127" i="1" s="1"/>
  <c r="V127" i="1"/>
  <c r="R127" i="1"/>
  <c r="Q127" i="1"/>
  <c r="P127" i="1"/>
  <c r="Z126" i="1"/>
  <c r="AA126" i="1" s="1"/>
  <c r="AC126" i="1" s="1"/>
  <c r="AE126" i="1" s="1"/>
  <c r="Y126" i="1"/>
  <c r="W126" i="1"/>
  <c r="X126" i="1" s="1"/>
  <c r="V126" i="1"/>
  <c r="R126" i="1"/>
  <c r="Q126" i="1"/>
  <c r="P126" i="1"/>
  <c r="Z125" i="1"/>
  <c r="Y125" i="1"/>
  <c r="W125" i="1"/>
  <c r="X125" i="1" s="1"/>
  <c r="V125" i="1"/>
  <c r="R125" i="1"/>
  <c r="Q125" i="1"/>
  <c r="P125" i="1"/>
  <c r="Z124" i="1"/>
  <c r="Y124" i="1"/>
  <c r="W124" i="1"/>
  <c r="X124" i="1" s="1"/>
  <c r="V124" i="1"/>
  <c r="R124" i="1"/>
  <c r="Q124" i="1"/>
  <c r="P124" i="1"/>
  <c r="Z123" i="1"/>
  <c r="AA123" i="1" s="1"/>
  <c r="AC123" i="1" s="1"/>
  <c r="AE123" i="1" s="1"/>
  <c r="Y123" i="1"/>
  <c r="W123" i="1"/>
  <c r="X123" i="1" s="1"/>
  <c r="V123" i="1"/>
  <c r="R123" i="1"/>
  <c r="Q123" i="1"/>
  <c r="P123" i="1"/>
  <c r="Z122" i="1"/>
  <c r="AA122" i="1" s="1"/>
  <c r="AC122" i="1" s="1"/>
  <c r="AE122" i="1" s="1"/>
  <c r="Y122" i="1"/>
  <c r="W122" i="1"/>
  <c r="X122" i="1" s="1"/>
  <c r="V122" i="1"/>
  <c r="R122" i="1"/>
  <c r="Q122" i="1"/>
  <c r="P122" i="1"/>
  <c r="Z121" i="1"/>
  <c r="AA121" i="1" s="1"/>
  <c r="AC121" i="1" s="1"/>
  <c r="AE121" i="1" s="1"/>
  <c r="Y121" i="1"/>
  <c r="W121" i="1"/>
  <c r="X121" i="1" s="1"/>
  <c r="V121" i="1"/>
  <c r="R121" i="1"/>
  <c r="Q121" i="1"/>
  <c r="P121" i="1"/>
  <c r="Z120" i="1"/>
  <c r="Y120" i="1"/>
  <c r="W120" i="1"/>
  <c r="X120" i="1" s="1"/>
  <c r="V120" i="1"/>
  <c r="R120" i="1"/>
  <c r="Q120" i="1"/>
  <c r="P120" i="1"/>
  <c r="Z117" i="1"/>
  <c r="Y117" i="1"/>
  <c r="W117" i="1"/>
  <c r="X117" i="1" s="1"/>
  <c r="V117" i="1"/>
  <c r="R117" i="1"/>
  <c r="Q117" i="1"/>
  <c r="P117" i="1"/>
  <c r="Z116" i="1"/>
  <c r="AA116" i="1" s="1"/>
  <c r="AC116" i="1" s="1"/>
  <c r="AE116" i="1" s="1"/>
  <c r="Y116" i="1"/>
  <c r="W116" i="1"/>
  <c r="X116" i="1" s="1"/>
  <c r="V116" i="1"/>
  <c r="R116" i="1"/>
  <c r="Q116" i="1"/>
  <c r="P116" i="1"/>
  <c r="Z115" i="1"/>
  <c r="Y115" i="1"/>
  <c r="W115" i="1"/>
  <c r="X115" i="1" s="1"/>
  <c r="V115" i="1"/>
  <c r="R115" i="1"/>
  <c r="Q115" i="1"/>
  <c r="P115" i="1"/>
  <c r="Z112" i="1"/>
  <c r="Y112" i="1"/>
  <c r="W112" i="1"/>
  <c r="X112" i="1" s="1"/>
  <c r="V112" i="1"/>
  <c r="R112" i="1"/>
  <c r="Q112" i="1"/>
  <c r="P112" i="1"/>
  <c r="Z111" i="1"/>
  <c r="AA111" i="1" s="1"/>
  <c r="AC111" i="1" s="1"/>
  <c r="AE111" i="1" s="1"/>
  <c r="Y111" i="1"/>
  <c r="W111" i="1"/>
  <c r="X111" i="1" s="1"/>
  <c r="V111" i="1"/>
  <c r="R111" i="1"/>
  <c r="Q111" i="1"/>
  <c r="P111" i="1"/>
  <c r="Z110" i="1"/>
  <c r="AA110" i="1" s="1"/>
  <c r="AC110" i="1" s="1"/>
  <c r="AE110" i="1" s="1"/>
  <c r="Y110" i="1"/>
  <c r="W110" i="1"/>
  <c r="X110" i="1" s="1"/>
  <c r="V110" i="1"/>
  <c r="R110" i="1"/>
  <c r="Q110" i="1"/>
  <c r="P110" i="1"/>
  <c r="Z109" i="1"/>
  <c r="AA109" i="1" s="1"/>
  <c r="AC109" i="1" s="1"/>
  <c r="AE109" i="1" s="1"/>
  <c r="Y109" i="1"/>
  <c r="W109" i="1"/>
  <c r="X109" i="1" s="1"/>
  <c r="V109" i="1"/>
  <c r="R109" i="1"/>
  <c r="Q109" i="1"/>
  <c r="P109" i="1"/>
  <c r="Z108" i="1"/>
  <c r="Y108" i="1"/>
  <c r="W108" i="1"/>
  <c r="X108" i="1" s="1"/>
  <c r="V108" i="1"/>
  <c r="R108" i="1"/>
  <c r="Q108" i="1"/>
  <c r="P108" i="1"/>
  <c r="Z107" i="1"/>
  <c r="Y107" i="1"/>
  <c r="W107" i="1"/>
  <c r="X107" i="1" s="1"/>
  <c r="V107" i="1"/>
  <c r="R107" i="1"/>
  <c r="Q107" i="1"/>
  <c r="P107" i="1"/>
  <c r="Z106" i="1"/>
  <c r="AA106" i="1" s="1"/>
  <c r="AC106" i="1" s="1"/>
  <c r="AE106" i="1" s="1"/>
  <c r="Y106" i="1"/>
  <c r="W106" i="1"/>
  <c r="X106" i="1" s="1"/>
  <c r="V106" i="1"/>
  <c r="R106" i="1"/>
  <c r="Q106" i="1"/>
  <c r="P106" i="1"/>
  <c r="Z105" i="1"/>
  <c r="Y105" i="1"/>
  <c r="W105" i="1"/>
  <c r="X105" i="1" s="1"/>
  <c r="V105" i="1"/>
  <c r="R105" i="1"/>
  <c r="Q105" i="1"/>
  <c r="P105" i="1"/>
  <c r="Z104" i="1"/>
  <c r="Y104" i="1"/>
  <c r="W104" i="1"/>
  <c r="X104" i="1" s="1"/>
  <c r="V104" i="1"/>
  <c r="R104" i="1"/>
  <c r="Q104" i="1"/>
  <c r="P104" i="1"/>
  <c r="Z103" i="1"/>
  <c r="Y103" i="1"/>
  <c r="W103" i="1"/>
  <c r="X103" i="1" s="1"/>
  <c r="V103" i="1"/>
  <c r="R103" i="1"/>
  <c r="Q103" i="1"/>
  <c r="P103" i="1"/>
  <c r="Z102" i="1"/>
  <c r="AA102" i="1" s="1"/>
  <c r="AC102" i="1" s="1"/>
  <c r="AE102" i="1" s="1"/>
  <c r="Y102" i="1"/>
  <c r="W102" i="1"/>
  <c r="X102" i="1" s="1"/>
  <c r="V102" i="1"/>
  <c r="R102" i="1"/>
  <c r="Q102" i="1"/>
  <c r="P102" i="1"/>
  <c r="Z101" i="1"/>
  <c r="AA101" i="1" s="1"/>
  <c r="AC101" i="1" s="1"/>
  <c r="AE101" i="1" s="1"/>
  <c r="Y101" i="1"/>
  <c r="W101" i="1"/>
  <c r="X101" i="1" s="1"/>
  <c r="V101" i="1"/>
  <c r="R101" i="1"/>
  <c r="Q101" i="1"/>
  <c r="P101" i="1"/>
  <c r="Z100" i="1"/>
  <c r="Y100" i="1"/>
  <c r="W100" i="1"/>
  <c r="X100" i="1" s="1"/>
  <c r="V100" i="1"/>
  <c r="R100" i="1"/>
  <c r="Q100" i="1"/>
  <c r="P100" i="1"/>
  <c r="Z99" i="1"/>
  <c r="Y99" i="1"/>
  <c r="W99" i="1"/>
  <c r="X99" i="1" s="1"/>
  <c r="V99" i="1"/>
  <c r="R99" i="1"/>
  <c r="Q99" i="1"/>
  <c r="P99" i="1"/>
  <c r="Z96" i="1"/>
  <c r="AA96" i="1" s="1"/>
  <c r="AC96" i="1" s="1"/>
  <c r="AE96" i="1" s="1"/>
  <c r="Y96" i="1"/>
  <c r="W96" i="1"/>
  <c r="X96" i="1" s="1"/>
  <c r="V96" i="1"/>
  <c r="R96" i="1"/>
  <c r="Q96" i="1"/>
  <c r="P96" i="1"/>
  <c r="Z95" i="1"/>
  <c r="Y95" i="1"/>
  <c r="W95" i="1"/>
  <c r="X95" i="1" s="1"/>
  <c r="V95" i="1"/>
  <c r="R95" i="1"/>
  <c r="Q95" i="1"/>
  <c r="P95" i="1"/>
  <c r="Z94" i="1"/>
  <c r="Y94" i="1"/>
  <c r="W94" i="1"/>
  <c r="X94" i="1" s="1"/>
  <c r="V94" i="1"/>
  <c r="R94" i="1"/>
  <c r="Q94" i="1"/>
  <c r="P94" i="1"/>
  <c r="Z93" i="1"/>
  <c r="Y93" i="1"/>
  <c r="W93" i="1"/>
  <c r="X93" i="1" s="1"/>
  <c r="V93" i="1"/>
  <c r="R93" i="1"/>
  <c r="Q93" i="1"/>
  <c r="P93" i="1"/>
  <c r="Z90" i="1"/>
  <c r="AA90" i="1" s="1"/>
  <c r="AC90" i="1" s="1"/>
  <c r="AE90" i="1" s="1"/>
  <c r="Y90" i="1"/>
  <c r="W90" i="1"/>
  <c r="X90" i="1" s="1"/>
  <c r="V90" i="1"/>
  <c r="R90" i="1"/>
  <c r="Q90" i="1"/>
  <c r="P90" i="1"/>
  <c r="Z89" i="1"/>
  <c r="AA89" i="1" s="1"/>
  <c r="AC89" i="1" s="1"/>
  <c r="AE89" i="1" s="1"/>
  <c r="Y89" i="1"/>
  <c r="W89" i="1"/>
  <c r="X89" i="1" s="1"/>
  <c r="V89" i="1"/>
  <c r="R89" i="1"/>
  <c r="Q89" i="1"/>
  <c r="P89" i="1"/>
  <c r="Z88" i="1"/>
  <c r="Y88" i="1"/>
  <c r="W88" i="1"/>
  <c r="X88" i="1" s="1"/>
  <c r="V88" i="1"/>
  <c r="R88" i="1"/>
  <c r="Q88" i="1"/>
  <c r="P88" i="1"/>
  <c r="Z87" i="1"/>
  <c r="Y87" i="1"/>
  <c r="W87" i="1"/>
  <c r="X87" i="1" s="1"/>
  <c r="V87" i="1"/>
  <c r="R87" i="1"/>
  <c r="Q87" i="1"/>
  <c r="P87" i="1"/>
  <c r="Z86" i="1"/>
  <c r="AA86" i="1" s="1"/>
  <c r="AC86" i="1" s="1"/>
  <c r="AE86" i="1" s="1"/>
  <c r="Y86" i="1"/>
  <c r="W86" i="1"/>
  <c r="X86" i="1" s="1"/>
  <c r="V86" i="1"/>
  <c r="R86" i="1"/>
  <c r="Q86" i="1"/>
  <c r="P86" i="1"/>
  <c r="Z83" i="1"/>
  <c r="Y83" i="1"/>
  <c r="W83" i="1"/>
  <c r="X83" i="1" s="1"/>
  <c r="V83" i="1"/>
  <c r="R83" i="1"/>
  <c r="Q83" i="1"/>
  <c r="P83" i="1"/>
  <c r="Z82" i="1"/>
  <c r="Y82" i="1"/>
  <c r="W82" i="1"/>
  <c r="X82" i="1" s="1"/>
  <c r="V82" i="1"/>
  <c r="R82" i="1"/>
  <c r="Q82" i="1"/>
  <c r="P82" i="1"/>
  <c r="Z81" i="1"/>
  <c r="Y81" i="1"/>
  <c r="W81" i="1"/>
  <c r="X81" i="1" s="1"/>
  <c r="V81" i="1"/>
  <c r="R81" i="1"/>
  <c r="Q81" i="1"/>
  <c r="P81" i="1"/>
  <c r="Z80" i="1"/>
  <c r="AA80" i="1" s="1"/>
  <c r="AC80" i="1" s="1"/>
  <c r="AE80" i="1" s="1"/>
  <c r="Y80" i="1"/>
  <c r="W80" i="1"/>
  <c r="X80" i="1" s="1"/>
  <c r="V80" i="1"/>
  <c r="R80" i="1"/>
  <c r="Q80" i="1"/>
  <c r="P80" i="1"/>
  <c r="Z79" i="1"/>
  <c r="AA79" i="1" s="1"/>
  <c r="AC79" i="1" s="1"/>
  <c r="AE79" i="1" s="1"/>
  <c r="Y79" i="1"/>
  <c r="W79" i="1"/>
  <c r="X79" i="1" s="1"/>
  <c r="V79" i="1"/>
  <c r="R79" i="1"/>
  <c r="Q79" i="1"/>
  <c r="P79" i="1"/>
  <c r="Z78" i="1"/>
  <c r="Y78" i="1"/>
  <c r="W78" i="1"/>
  <c r="X78" i="1" s="1"/>
  <c r="V78" i="1"/>
  <c r="R78" i="1"/>
  <c r="Q78" i="1"/>
  <c r="P78" i="1"/>
  <c r="Z75" i="1"/>
  <c r="AA75" i="1" s="1"/>
  <c r="AC75" i="1" s="1"/>
  <c r="AE75" i="1" s="1"/>
  <c r="Y75" i="1"/>
  <c r="W75" i="1"/>
  <c r="X75" i="1" s="1"/>
  <c r="V75" i="1"/>
  <c r="R75" i="1"/>
  <c r="Q75" i="1"/>
  <c r="P75" i="1"/>
  <c r="Z74" i="1"/>
  <c r="AA74" i="1" s="1"/>
  <c r="AC74" i="1" s="1"/>
  <c r="AE74" i="1" s="1"/>
  <c r="Y74" i="1"/>
  <c r="W74" i="1"/>
  <c r="X74" i="1" s="1"/>
  <c r="V74" i="1"/>
  <c r="R74" i="1"/>
  <c r="Q74" i="1"/>
  <c r="P74" i="1"/>
  <c r="Z73" i="1"/>
  <c r="Y73" i="1"/>
  <c r="W73" i="1"/>
  <c r="X73" i="1" s="1"/>
  <c r="V73" i="1"/>
  <c r="R73" i="1"/>
  <c r="Q73" i="1"/>
  <c r="P73" i="1"/>
  <c r="Z72" i="1"/>
  <c r="Y72" i="1"/>
  <c r="W72" i="1"/>
  <c r="X72" i="1" s="1"/>
  <c r="V72" i="1"/>
  <c r="R72" i="1"/>
  <c r="Q72" i="1"/>
  <c r="P72" i="1"/>
  <c r="Z71" i="1"/>
  <c r="Y71" i="1"/>
  <c r="W71" i="1"/>
  <c r="X71" i="1" s="1"/>
  <c r="V71" i="1"/>
  <c r="R71" i="1"/>
  <c r="Q71" i="1"/>
  <c r="P71" i="1"/>
  <c r="Z70" i="1"/>
  <c r="AA70" i="1" s="1"/>
  <c r="AC70" i="1" s="1"/>
  <c r="AE70" i="1" s="1"/>
  <c r="Y70" i="1"/>
  <c r="W70" i="1"/>
  <c r="X70" i="1" s="1"/>
  <c r="V70" i="1"/>
  <c r="R70" i="1"/>
  <c r="Q70" i="1"/>
  <c r="P70" i="1"/>
  <c r="Z69" i="1"/>
  <c r="AA69" i="1" s="1"/>
  <c r="AC69" i="1" s="1"/>
  <c r="AE69" i="1" s="1"/>
  <c r="Y69" i="1"/>
  <c r="W69" i="1"/>
  <c r="X69" i="1" s="1"/>
  <c r="V69" i="1"/>
  <c r="R69" i="1"/>
  <c r="Q69" i="1"/>
  <c r="P69" i="1"/>
  <c r="Z68" i="1"/>
  <c r="Y68" i="1"/>
  <c r="W68" i="1"/>
  <c r="X68" i="1" s="1"/>
  <c r="V68" i="1"/>
  <c r="R68" i="1"/>
  <c r="Q68" i="1"/>
  <c r="P68" i="1"/>
  <c r="Z67" i="1"/>
  <c r="AA67" i="1" s="1"/>
  <c r="AC67" i="1" s="1"/>
  <c r="AE67" i="1" s="1"/>
  <c r="Y67" i="1"/>
  <c r="W67" i="1"/>
  <c r="X67" i="1" s="1"/>
  <c r="V67" i="1"/>
  <c r="R67" i="1"/>
  <c r="Q67" i="1"/>
  <c r="P67" i="1"/>
  <c r="Z66" i="1"/>
  <c r="AA66" i="1" s="1"/>
  <c r="AC66" i="1" s="1"/>
  <c r="AE66" i="1" s="1"/>
  <c r="Y66" i="1"/>
  <c r="W66" i="1"/>
  <c r="X66" i="1" s="1"/>
  <c r="V66" i="1"/>
  <c r="R66" i="1"/>
  <c r="Q66" i="1"/>
  <c r="P66" i="1"/>
  <c r="Z65" i="1"/>
  <c r="Y65" i="1"/>
  <c r="W65" i="1"/>
  <c r="X65" i="1" s="1"/>
  <c r="V65" i="1"/>
  <c r="R65" i="1"/>
  <c r="Q65" i="1"/>
  <c r="P65" i="1"/>
  <c r="Z64" i="1"/>
  <c r="Y64" i="1"/>
  <c r="W64" i="1"/>
  <c r="X64" i="1" s="1"/>
  <c r="V64" i="1"/>
  <c r="R64" i="1"/>
  <c r="Q64" i="1"/>
  <c r="P64" i="1"/>
  <c r="Z63" i="1"/>
  <c r="Y63" i="1"/>
  <c r="W63" i="1"/>
  <c r="X63" i="1" s="1"/>
  <c r="V63" i="1"/>
  <c r="R63" i="1"/>
  <c r="Q63" i="1"/>
  <c r="P63" i="1"/>
  <c r="Z62" i="1"/>
  <c r="AA62" i="1" s="1"/>
  <c r="AC62" i="1" s="1"/>
  <c r="AE62" i="1" s="1"/>
  <c r="Y62" i="1"/>
  <c r="W62" i="1"/>
  <c r="X62" i="1" s="1"/>
  <c r="V62" i="1"/>
  <c r="R62" i="1"/>
  <c r="Q62" i="1"/>
  <c r="P62" i="1"/>
  <c r="Z61" i="1"/>
  <c r="AA61" i="1" s="1"/>
  <c r="AC61" i="1" s="1"/>
  <c r="AE61" i="1" s="1"/>
  <c r="Y61" i="1"/>
  <c r="W61" i="1"/>
  <c r="X61" i="1" s="1"/>
  <c r="V61" i="1"/>
  <c r="R61" i="1"/>
  <c r="Q61" i="1"/>
  <c r="P61" i="1"/>
  <c r="Z60" i="1"/>
  <c r="Y60" i="1"/>
  <c r="W60" i="1"/>
  <c r="X60" i="1" s="1"/>
  <c r="V60" i="1"/>
  <c r="R60" i="1"/>
  <c r="Q60" i="1"/>
  <c r="P60" i="1"/>
  <c r="Z59" i="1"/>
  <c r="AA59" i="1" s="1"/>
  <c r="AC59" i="1" s="1"/>
  <c r="AE59" i="1" s="1"/>
  <c r="Y59" i="1"/>
  <c r="W59" i="1"/>
  <c r="X59" i="1" s="1"/>
  <c r="V59" i="1"/>
  <c r="R59" i="1"/>
  <c r="Q59" i="1"/>
  <c r="P59" i="1"/>
  <c r="Z58" i="1"/>
  <c r="AA58" i="1" s="1"/>
  <c r="AC58" i="1" s="1"/>
  <c r="AE58" i="1" s="1"/>
  <c r="Y58" i="1"/>
  <c r="W58" i="1"/>
  <c r="X58" i="1" s="1"/>
  <c r="V58" i="1"/>
  <c r="R58" i="1"/>
  <c r="Q58" i="1"/>
  <c r="P58" i="1"/>
  <c r="Z57" i="1"/>
  <c r="Y57" i="1"/>
  <c r="W57" i="1"/>
  <c r="X57" i="1" s="1"/>
  <c r="V57" i="1"/>
  <c r="R57" i="1"/>
  <c r="Q57" i="1"/>
  <c r="P57" i="1"/>
  <c r="Z56" i="1"/>
  <c r="Y56" i="1"/>
  <c r="W56" i="1"/>
  <c r="X56" i="1" s="1"/>
  <c r="V56" i="1"/>
  <c r="R56" i="1"/>
  <c r="Q56" i="1"/>
  <c r="P56" i="1"/>
  <c r="Z55" i="1"/>
  <c r="AA55" i="1" s="1"/>
  <c r="AC55" i="1" s="1"/>
  <c r="AE55" i="1" s="1"/>
  <c r="Y55" i="1"/>
  <c r="W55" i="1"/>
  <c r="X55" i="1" s="1"/>
  <c r="V55" i="1"/>
  <c r="R55" i="1"/>
  <c r="Q55" i="1"/>
  <c r="P55" i="1"/>
  <c r="Z54" i="1"/>
  <c r="AA54" i="1" s="1"/>
  <c r="AC54" i="1" s="1"/>
  <c r="AE54" i="1" s="1"/>
  <c r="Y54" i="1"/>
  <c r="W54" i="1"/>
  <c r="X54" i="1" s="1"/>
  <c r="V54" i="1"/>
  <c r="R54" i="1"/>
  <c r="Q54" i="1"/>
  <c r="P54" i="1"/>
  <c r="Z53" i="1"/>
  <c r="AA53" i="1" s="1"/>
  <c r="AC53" i="1" s="1"/>
  <c r="AE53" i="1" s="1"/>
  <c r="Y53" i="1"/>
  <c r="W53" i="1"/>
  <c r="X53" i="1" s="1"/>
  <c r="V53" i="1"/>
  <c r="R53" i="1"/>
  <c r="Q53" i="1"/>
  <c r="P53" i="1"/>
  <c r="Z52" i="1"/>
  <c r="Y52" i="1"/>
  <c r="W52" i="1"/>
  <c r="X52" i="1" s="1"/>
  <c r="V52" i="1"/>
  <c r="R52" i="1"/>
  <c r="Q52" i="1"/>
  <c r="P52" i="1"/>
  <c r="Z51" i="1"/>
  <c r="AA51" i="1" s="1"/>
  <c r="AC51" i="1" s="1"/>
  <c r="AE51" i="1" s="1"/>
  <c r="Y51" i="1"/>
  <c r="W51" i="1"/>
  <c r="X51" i="1" s="1"/>
  <c r="V51" i="1"/>
  <c r="R51" i="1"/>
  <c r="Q51" i="1"/>
  <c r="P51" i="1"/>
  <c r="Z50" i="1"/>
  <c r="AA50" i="1" s="1"/>
  <c r="AC50" i="1" s="1"/>
  <c r="AE50" i="1" s="1"/>
  <c r="Y50" i="1"/>
  <c r="W50" i="1"/>
  <c r="X50" i="1" s="1"/>
  <c r="V50" i="1"/>
  <c r="R50" i="1"/>
  <c r="Q50" i="1"/>
  <c r="P50" i="1"/>
  <c r="Z49" i="1"/>
  <c r="Y49" i="1"/>
  <c r="W49" i="1"/>
  <c r="X49" i="1" s="1"/>
  <c r="V49" i="1"/>
  <c r="R49" i="1"/>
  <c r="Q49" i="1"/>
  <c r="P49" i="1"/>
  <c r="Z48" i="1"/>
  <c r="Y48" i="1"/>
  <c r="W48" i="1"/>
  <c r="X48" i="1" s="1"/>
  <c r="V48" i="1"/>
  <c r="R48" i="1"/>
  <c r="Q48" i="1"/>
  <c r="P48" i="1"/>
  <c r="Z47" i="1"/>
  <c r="AA47" i="1" s="1"/>
  <c r="AC47" i="1" s="1"/>
  <c r="AE47" i="1" s="1"/>
  <c r="Y47" i="1"/>
  <c r="W47" i="1"/>
  <c r="X47" i="1" s="1"/>
  <c r="V47" i="1"/>
  <c r="R47" i="1"/>
  <c r="Q47" i="1"/>
  <c r="P47" i="1"/>
  <c r="Z46" i="1"/>
  <c r="AA46" i="1" s="1"/>
  <c r="AC46" i="1" s="1"/>
  <c r="AE46" i="1" s="1"/>
  <c r="Y46" i="1"/>
  <c r="W46" i="1"/>
  <c r="X46" i="1" s="1"/>
  <c r="V46" i="1"/>
  <c r="R46" i="1"/>
  <c r="Q46" i="1"/>
  <c r="P46" i="1"/>
  <c r="Z45" i="1"/>
  <c r="AA45" i="1" s="1"/>
  <c r="AC45" i="1" s="1"/>
  <c r="AE45" i="1" s="1"/>
  <c r="Y45" i="1"/>
  <c r="W45" i="1"/>
  <c r="X45" i="1" s="1"/>
  <c r="V45" i="1"/>
  <c r="R45" i="1"/>
  <c r="Q45" i="1"/>
  <c r="P45" i="1"/>
  <c r="Z44" i="1"/>
  <c r="Y44" i="1"/>
  <c r="W44" i="1"/>
  <c r="X44" i="1" s="1"/>
  <c r="V44" i="1"/>
  <c r="R44" i="1"/>
  <c r="Q44" i="1"/>
  <c r="P44" i="1"/>
  <c r="Z43" i="1"/>
  <c r="AA43" i="1" s="1"/>
  <c r="AC43" i="1" s="1"/>
  <c r="AE43" i="1" s="1"/>
  <c r="Y43" i="1"/>
  <c r="W43" i="1"/>
  <c r="X43" i="1" s="1"/>
  <c r="V43" i="1"/>
  <c r="R43" i="1"/>
  <c r="Q43" i="1"/>
  <c r="P43" i="1"/>
  <c r="Z42" i="1"/>
  <c r="AA42" i="1" s="1"/>
  <c r="AC42" i="1" s="1"/>
  <c r="AE42" i="1" s="1"/>
  <c r="Y42" i="1"/>
  <c r="W42" i="1"/>
  <c r="X42" i="1" s="1"/>
  <c r="V42" i="1"/>
  <c r="R42" i="1"/>
  <c r="Q42" i="1"/>
  <c r="P42" i="1"/>
  <c r="Z41" i="1"/>
  <c r="Y41" i="1"/>
  <c r="W41" i="1"/>
  <c r="X41" i="1" s="1"/>
  <c r="V41" i="1"/>
  <c r="R41" i="1"/>
  <c r="Q41" i="1"/>
  <c r="P41" i="1"/>
  <c r="Z40" i="1"/>
  <c r="Y40" i="1"/>
  <c r="W40" i="1"/>
  <c r="X40" i="1" s="1"/>
  <c r="V40" i="1"/>
  <c r="R40" i="1"/>
  <c r="Q40" i="1"/>
  <c r="P40" i="1"/>
  <c r="Z39" i="1"/>
  <c r="AA39" i="1" s="1"/>
  <c r="AC39" i="1" s="1"/>
  <c r="AE39" i="1" s="1"/>
  <c r="Y39" i="1"/>
  <c r="W39" i="1"/>
  <c r="X39" i="1" s="1"/>
  <c r="V39" i="1"/>
  <c r="R39" i="1"/>
  <c r="Q39" i="1"/>
  <c r="P39" i="1"/>
  <c r="Z36" i="1"/>
  <c r="AA36" i="1" s="1"/>
  <c r="AC36" i="1" s="1"/>
  <c r="AE36" i="1" s="1"/>
  <c r="Y36" i="1"/>
  <c r="W36" i="1"/>
  <c r="X36" i="1" s="1"/>
  <c r="V36" i="1"/>
  <c r="R36" i="1"/>
  <c r="Q36" i="1"/>
  <c r="P36" i="1"/>
  <c r="Z35" i="1"/>
  <c r="AA35" i="1" s="1"/>
  <c r="AC35" i="1" s="1"/>
  <c r="AE35" i="1" s="1"/>
  <c r="Y35" i="1"/>
  <c r="W35" i="1"/>
  <c r="X35" i="1" s="1"/>
  <c r="V35" i="1"/>
  <c r="R35" i="1"/>
  <c r="Q35" i="1"/>
  <c r="P35" i="1"/>
  <c r="Z34" i="1"/>
  <c r="Y34" i="1"/>
  <c r="W34" i="1"/>
  <c r="X34" i="1" s="1"/>
  <c r="V34" i="1"/>
  <c r="R34" i="1"/>
  <c r="Q34" i="1"/>
  <c r="P34" i="1"/>
  <c r="Z33" i="1"/>
  <c r="AA33" i="1" s="1"/>
  <c r="AC33" i="1" s="1"/>
  <c r="AE33" i="1" s="1"/>
  <c r="Y33" i="1"/>
  <c r="W33" i="1"/>
  <c r="X33" i="1" s="1"/>
  <c r="V33" i="1"/>
  <c r="R33" i="1"/>
  <c r="Q33" i="1"/>
  <c r="P33" i="1"/>
  <c r="Z32" i="1"/>
  <c r="AA32" i="1" s="1"/>
  <c r="AC32" i="1" s="1"/>
  <c r="AE32" i="1" s="1"/>
  <c r="Y32" i="1"/>
  <c r="W32" i="1"/>
  <c r="X32" i="1" s="1"/>
  <c r="V32" i="1"/>
  <c r="R32" i="1"/>
  <c r="Q32" i="1"/>
  <c r="P32" i="1"/>
  <c r="Z31" i="1"/>
  <c r="Y31" i="1"/>
  <c r="W31" i="1"/>
  <c r="X31" i="1" s="1"/>
  <c r="V31" i="1"/>
  <c r="R31" i="1"/>
  <c r="Q31" i="1"/>
  <c r="P31" i="1"/>
  <c r="Z30" i="1"/>
  <c r="Y30" i="1"/>
  <c r="W30" i="1"/>
  <c r="X30" i="1" s="1"/>
  <c r="V30" i="1"/>
  <c r="R30" i="1"/>
  <c r="Q30" i="1"/>
  <c r="P30" i="1"/>
  <c r="Z29" i="1"/>
  <c r="Y29" i="1"/>
  <c r="W29" i="1"/>
  <c r="X29" i="1" s="1"/>
  <c r="R29" i="1"/>
  <c r="Z28" i="1"/>
  <c r="AA28" i="1" s="1"/>
  <c r="AC28" i="1" s="1"/>
  <c r="AE28" i="1" s="1"/>
  <c r="Y28" i="1"/>
  <c r="W28" i="1"/>
  <c r="X28" i="1" s="1"/>
  <c r="V28" i="1"/>
  <c r="R28" i="1"/>
  <c r="Q28" i="1"/>
  <c r="P28" i="1"/>
  <c r="Z27" i="1"/>
  <c r="AA27" i="1" s="1"/>
  <c r="AC27" i="1" s="1"/>
  <c r="AE27" i="1" s="1"/>
  <c r="Y27" i="1"/>
  <c r="W27" i="1"/>
  <c r="X27" i="1" s="1"/>
  <c r="V27" i="1"/>
  <c r="R27" i="1"/>
  <c r="Q27" i="1"/>
  <c r="P27" i="1"/>
  <c r="Z26" i="1"/>
  <c r="Y26" i="1"/>
  <c r="W26" i="1"/>
  <c r="X26" i="1" s="1"/>
  <c r="V26" i="1"/>
  <c r="R26" i="1"/>
  <c r="Q26" i="1"/>
  <c r="P26" i="1"/>
  <c r="Z25" i="1"/>
  <c r="AA25" i="1" s="1"/>
  <c r="AC25" i="1" s="1"/>
  <c r="AE25" i="1" s="1"/>
  <c r="Y25" i="1"/>
  <c r="W25" i="1"/>
  <c r="X25" i="1" s="1"/>
  <c r="V25" i="1"/>
  <c r="R25" i="1"/>
  <c r="Q25" i="1"/>
  <c r="P25" i="1"/>
  <c r="Z24" i="1"/>
  <c r="AA24" i="1" s="1"/>
  <c r="AC24" i="1" s="1"/>
  <c r="AE24" i="1" s="1"/>
  <c r="Y24" i="1"/>
  <c r="W24" i="1"/>
  <c r="X24" i="1" s="1"/>
  <c r="V24" i="1"/>
  <c r="R24" i="1"/>
  <c r="Q24" i="1"/>
  <c r="P24" i="1"/>
  <c r="Z23" i="1"/>
  <c r="Y23" i="1"/>
  <c r="W23" i="1"/>
  <c r="X23" i="1" s="1"/>
  <c r="V23" i="1"/>
  <c r="R23" i="1"/>
  <c r="Q23" i="1"/>
  <c r="P23" i="1"/>
  <c r="Z20" i="1"/>
  <c r="Y20" i="1"/>
  <c r="W20" i="1"/>
  <c r="X20" i="1" s="1"/>
  <c r="V20" i="1"/>
  <c r="R20" i="1"/>
  <c r="Q20" i="1"/>
  <c r="P20" i="1"/>
  <c r="Z19" i="1"/>
  <c r="AA19" i="1" s="1"/>
  <c r="AC19" i="1" s="1"/>
  <c r="AE19" i="1" s="1"/>
  <c r="Y19" i="1"/>
  <c r="W19" i="1"/>
  <c r="X19" i="1" s="1"/>
  <c r="V19" i="1"/>
  <c r="R19" i="1"/>
  <c r="Q19" i="1"/>
  <c r="P19" i="1"/>
  <c r="Z18" i="1"/>
  <c r="AA18" i="1" s="1"/>
  <c r="AC18" i="1" s="1"/>
  <c r="AE18" i="1" s="1"/>
  <c r="Y18" i="1"/>
  <c r="W18" i="1"/>
  <c r="X18" i="1" s="1"/>
  <c r="V18" i="1"/>
  <c r="R18" i="1"/>
  <c r="Q18" i="1"/>
  <c r="P18" i="1"/>
  <c r="Z17" i="1"/>
  <c r="AA17" i="1" s="1"/>
  <c r="AC17" i="1" s="1"/>
  <c r="AE17" i="1" s="1"/>
  <c r="Y17" i="1"/>
  <c r="W17" i="1"/>
  <c r="X17" i="1" s="1"/>
  <c r="V17" i="1"/>
  <c r="R17" i="1"/>
  <c r="Q17" i="1"/>
  <c r="P17" i="1"/>
  <c r="Z16" i="1"/>
  <c r="Y16" i="1"/>
  <c r="W16" i="1"/>
  <c r="X16" i="1" s="1"/>
  <c r="V16" i="1"/>
  <c r="R16" i="1"/>
  <c r="Q16" i="1"/>
  <c r="P16" i="1"/>
  <c r="Z15" i="1"/>
  <c r="Y15" i="1"/>
  <c r="W15" i="1"/>
  <c r="X15" i="1" s="1"/>
  <c r="V15" i="1"/>
  <c r="R15" i="1"/>
  <c r="Q15" i="1"/>
  <c r="P15" i="1"/>
  <c r="Z14" i="1"/>
  <c r="AA14" i="1" s="1"/>
  <c r="AC14" i="1" s="1"/>
  <c r="AE14" i="1" s="1"/>
  <c r="Y14" i="1"/>
  <c r="W14" i="1"/>
  <c r="X14" i="1" s="1"/>
  <c r="V14" i="1"/>
  <c r="R14" i="1"/>
  <c r="Q14" i="1"/>
  <c r="P14" i="1"/>
  <c r="Z13" i="1"/>
  <c r="Y13" i="1"/>
  <c r="W13" i="1"/>
  <c r="X13" i="1" s="1"/>
  <c r="V13" i="1"/>
  <c r="R13" i="1"/>
  <c r="Q13" i="1"/>
  <c r="P13" i="1"/>
  <c r="Z12" i="1"/>
  <c r="Y12" i="1"/>
  <c r="W12" i="1"/>
  <c r="X12" i="1" s="1"/>
  <c r="V12" i="1"/>
  <c r="R12" i="1"/>
  <c r="Q12" i="1"/>
  <c r="P12" i="1"/>
  <c r="Z11" i="1"/>
  <c r="AA11" i="1" s="1"/>
  <c r="AC11" i="1" s="1"/>
  <c r="AE11" i="1" s="1"/>
  <c r="Y11" i="1"/>
  <c r="W11" i="1"/>
  <c r="X11" i="1" s="1"/>
  <c r="V11" i="1"/>
  <c r="R11" i="1"/>
  <c r="Q11" i="1"/>
  <c r="P11" i="1"/>
  <c r="Z10" i="1"/>
  <c r="AA10" i="1" s="1"/>
  <c r="AC10" i="1" s="1"/>
  <c r="AE10" i="1" s="1"/>
  <c r="Y10" i="1"/>
  <c r="W10" i="1"/>
  <c r="X10" i="1" s="1"/>
  <c r="V10" i="1"/>
  <c r="R10" i="1"/>
  <c r="Q10" i="1"/>
  <c r="P10" i="1"/>
  <c r="Z9" i="1"/>
  <c r="AA9" i="1" s="1"/>
  <c r="AC9" i="1" s="1"/>
  <c r="AE9" i="1" s="1"/>
  <c r="Y9" i="1"/>
  <c r="W9" i="1"/>
  <c r="X9" i="1" s="1"/>
  <c r="V9" i="1"/>
  <c r="R9" i="1"/>
  <c r="Q9" i="1"/>
  <c r="P9" i="1"/>
  <c r="Z8" i="1"/>
  <c r="AA8" i="1" s="1"/>
  <c r="AC8" i="1" s="1"/>
  <c r="AE8" i="1" s="1"/>
  <c r="Y8" i="1"/>
  <c r="W8" i="1"/>
  <c r="X8" i="1" s="1"/>
  <c r="V8" i="1"/>
  <c r="R8" i="1"/>
  <c r="Q8" i="1"/>
  <c r="P8" i="1"/>
  <c r="Z7" i="1"/>
  <c r="Y7" i="1"/>
  <c r="W7" i="1"/>
  <c r="X7" i="1" s="1"/>
  <c r="V7" i="1"/>
  <c r="R7" i="1"/>
  <c r="Q7" i="1"/>
  <c r="P7" i="1"/>
  <c r="S64" i="1" l="1"/>
  <c r="S82" i="1"/>
  <c r="AQ28" i="14"/>
  <c r="S110" i="1"/>
  <c r="S86" i="1"/>
  <c r="S83" i="1"/>
  <c r="AA68" i="1"/>
  <c r="AC68" i="1" s="1"/>
  <c r="AE68" i="1" s="1"/>
  <c r="S17" i="1"/>
  <c r="S53" i="1"/>
  <c r="S61" i="1"/>
  <c r="S45" i="1"/>
  <c r="S88" i="1"/>
  <c r="S14" i="1"/>
  <c r="S25" i="1"/>
  <c r="S27" i="1"/>
  <c r="S12" i="1"/>
  <c r="S49" i="1"/>
  <c r="AA83" i="1"/>
  <c r="AC83" i="1" s="1"/>
  <c r="AE83" i="1" s="1"/>
  <c r="S122" i="1"/>
  <c r="S65" i="1"/>
  <c r="S101" i="1"/>
  <c r="S13" i="1"/>
  <c r="AA60" i="1"/>
  <c r="AC60" i="1" s="1"/>
  <c r="AE60" i="1" s="1"/>
  <c r="S73" i="1"/>
  <c r="S112" i="1"/>
  <c r="S124" i="1"/>
  <c r="S51" i="1"/>
  <c r="S72" i="1"/>
  <c r="S39" i="1"/>
  <c r="AA78" i="1"/>
  <c r="AC78" i="1" s="1"/>
  <c r="AE78" i="1" s="1"/>
  <c r="AA31" i="1"/>
  <c r="AC31" i="1" s="1"/>
  <c r="AE31" i="1" s="1"/>
  <c r="S36" i="1"/>
  <c r="S68" i="1"/>
  <c r="S69" i="1"/>
  <c r="S93" i="1"/>
  <c r="S95" i="1"/>
  <c r="AA115" i="1"/>
  <c r="AC115" i="1" s="1"/>
  <c r="AE115" i="1" s="1"/>
  <c r="S128" i="1"/>
  <c r="S46" i="1"/>
  <c r="S57" i="1"/>
  <c r="S79" i="1"/>
  <c r="S89" i="1"/>
  <c r="S90" i="1"/>
  <c r="S40" i="1"/>
  <c r="S41" i="1"/>
  <c r="AA52" i="1"/>
  <c r="AC52" i="1" s="1"/>
  <c r="AE52" i="1" s="1"/>
  <c r="AA107" i="1"/>
  <c r="AC107" i="1" s="1"/>
  <c r="AE107" i="1" s="1"/>
  <c r="AA108" i="1"/>
  <c r="AC108" i="1" s="1"/>
  <c r="AE108" i="1" s="1"/>
  <c r="S111" i="1"/>
  <c r="S123" i="1"/>
  <c r="S11" i="1"/>
  <c r="AA44" i="1"/>
  <c r="AC44" i="1" s="1"/>
  <c r="AE44" i="1" s="1"/>
  <c r="S52" i="1"/>
  <c r="S67" i="1"/>
  <c r="AA99" i="1"/>
  <c r="AC99" i="1" s="1"/>
  <c r="AE99" i="1" s="1"/>
  <c r="AA100" i="1"/>
  <c r="AC100" i="1" s="1"/>
  <c r="AE100" i="1" s="1"/>
  <c r="AA103" i="1"/>
  <c r="AC103" i="1" s="1"/>
  <c r="AE103" i="1" s="1"/>
  <c r="AA104" i="1"/>
  <c r="AC104" i="1" s="1"/>
  <c r="AE104" i="1" s="1"/>
  <c r="S108" i="1"/>
  <c r="S109" i="1"/>
  <c r="S9" i="1"/>
  <c r="S8" i="1"/>
  <c r="S20" i="1"/>
  <c r="S31" i="1"/>
  <c r="S32" i="1"/>
  <c r="AA72" i="1"/>
  <c r="AC72" i="1" s="1"/>
  <c r="AE72" i="1" s="1"/>
  <c r="AA93" i="1"/>
  <c r="AC93" i="1" s="1"/>
  <c r="AE93" i="1" s="1"/>
  <c r="AA94" i="1"/>
  <c r="AC94" i="1" s="1"/>
  <c r="AE94" i="1" s="1"/>
  <c r="AA95" i="1"/>
  <c r="AC95" i="1" s="1"/>
  <c r="AE95" i="1" s="1"/>
  <c r="S104" i="1"/>
  <c r="S105" i="1"/>
  <c r="S106" i="1"/>
  <c r="AA112" i="1"/>
  <c r="AC112" i="1" s="1"/>
  <c r="AE112" i="1" s="1"/>
  <c r="S117" i="1"/>
  <c r="AA124" i="1"/>
  <c r="AC124" i="1" s="1"/>
  <c r="AE124" i="1" s="1"/>
  <c r="AA13" i="1"/>
  <c r="AC13" i="1" s="1"/>
  <c r="AE13" i="1" s="1"/>
  <c r="S19" i="1"/>
  <c r="S30" i="1"/>
  <c r="AA40" i="1"/>
  <c r="AC40" i="1" s="1"/>
  <c r="AE40" i="1" s="1"/>
  <c r="AA41" i="1"/>
  <c r="AC41" i="1" s="1"/>
  <c r="AE41" i="1" s="1"/>
  <c r="S60" i="1"/>
  <c r="S78" i="1"/>
  <c r="S99" i="1"/>
  <c r="AA12" i="1"/>
  <c r="AC12" i="1" s="1"/>
  <c r="AE12" i="1" s="1"/>
  <c r="AA26" i="1"/>
  <c r="AC26" i="1" s="1"/>
  <c r="AE26" i="1" s="1"/>
  <c r="S43" i="1"/>
  <c r="S59" i="1"/>
  <c r="S75" i="1"/>
  <c r="S115" i="1"/>
  <c r="S125" i="1"/>
  <c r="S42" i="1"/>
  <c r="AA127" i="1"/>
  <c r="AC127" i="1" s="1"/>
  <c r="AE127" i="1" s="1"/>
  <c r="S7" i="1"/>
  <c r="S10" i="1"/>
  <c r="S16" i="1"/>
  <c r="AA20" i="1"/>
  <c r="AC20" i="1" s="1"/>
  <c r="AE20" i="1" s="1"/>
  <c r="AA23" i="1"/>
  <c r="AC23" i="1" s="1"/>
  <c r="AE23" i="1" s="1"/>
  <c r="S47" i="1"/>
  <c r="S48" i="1"/>
  <c r="S50" i="1"/>
  <c r="S54" i="1"/>
  <c r="S55" i="1"/>
  <c r="S56" i="1"/>
  <c r="S58" i="1"/>
  <c r="S62" i="1"/>
  <c r="S63" i="1"/>
  <c r="S66" i="1"/>
  <c r="S70" i="1"/>
  <c r="S71" i="1"/>
  <c r="S74" i="1"/>
  <c r="S80" i="1"/>
  <c r="S81" i="1"/>
  <c r="S87" i="1"/>
  <c r="S94" i="1"/>
  <c r="S100" i="1"/>
  <c r="AA105" i="1"/>
  <c r="AC105" i="1" s="1"/>
  <c r="AE105" i="1" s="1"/>
  <c r="AA117" i="1"/>
  <c r="AC117" i="1" s="1"/>
  <c r="AE117" i="1" s="1"/>
  <c r="AA120" i="1"/>
  <c r="AC120" i="1" s="1"/>
  <c r="AE120" i="1" s="1"/>
  <c r="AA125" i="1"/>
  <c r="AC125" i="1" s="1"/>
  <c r="AE125" i="1" s="1"/>
  <c r="Q29" i="1"/>
  <c r="S29" i="1" s="1"/>
  <c r="V29" i="1"/>
  <c r="S18" i="1"/>
  <c r="S23" i="1"/>
  <c r="S24" i="1"/>
  <c r="S28" i="1"/>
  <c r="AA34" i="1"/>
  <c r="AC34" i="1" s="1"/>
  <c r="AE34" i="1" s="1"/>
  <c r="S102" i="1"/>
  <c r="S103" i="1"/>
  <c r="S107" i="1"/>
  <c r="S120" i="1"/>
  <c r="S121" i="1"/>
  <c r="S127" i="1"/>
  <c r="AA29" i="1"/>
  <c r="AC29" i="1" s="1"/>
  <c r="AE29" i="1" s="1"/>
  <c r="AA30" i="1"/>
  <c r="AC30" i="1" s="1"/>
  <c r="AE30" i="1" s="1"/>
  <c r="S34" i="1"/>
  <c r="S35" i="1"/>
  <c r="AA64" i="1"/>
  <c r="AC64" i="1" s="1"/>
  <c r="AE64" i="1" s="1"/>
  <c r="S116" i="1"/>
  <c r="AA7" i="1"/>
  <c r="AC7" i="1" s="1"/>
  <c r="AE7" i="1" s="1"/>
  <c r="S33" i="1"/>
  <c r="S44" i="1"/>
  <c r="AA48" i="1"/>
  <c r="AC48" i="1" s="1"/>
  <c r="AE48" i="1" s="1"/>
  <c r="AA49" i="1"/>
  <c r="AC49" i="1" s="1"/>
  <c r="AE49" i="1" s="1"/>
  <c r="AA56" i="1"/>
  <c r="AC56" i="1" s="1"/>
  <c r="AE56" i="1" s="1"/>
  <c r="AA57" i="1"/>
  <c r="AC57" i="1" s="1"/>
  <c r="AE57" i="1" s="1"/>
  <c r="AA63" i="1"/>
  <c r="AC63" i="1" s="1"/>
  <c r="AE63" i="1" s="1"/>
  <c r="AA65" i="1"/>
  <c r="AC65" i="1" s="1"/>
  <c r="AE65" i="1" s="1"/>
  <c r="AA71" i="1"/>
  <c r="AC71" i="1" s="1"/>
  <c r="AE71" i="1" s="1"/>
  <c r="AA73" i="1"/>
  <c r="AC73" i="1" s="1"/>
  <c r="AE73" i="1" s="1"/>
  <c r="AA81" i="1"/>
  <c r="AC81" i="1" s="1"/>
  <c r="AE81" i="1" s="1"/>
  <c r="AA82" i="1"/>
  <c r="AC82" i="1" s="1"/>
  <c r="AE82" i="1" s="1"/>
  <c r="AA87" i="1"/>
  <c r="AC87" i="1" s="1"/>
  <c r="AE87" i="1" s="1"/>
  <c r="AA88" i="1"/>
  <c r="AC88" i="1" s="1"/>
  <c r="AE88" i="1" s="1"/>
  <c r="AA128" i="1"/>
  <c r="AC128" i="1" s="1"/>
  <c r="AE128" i="1" s="1"/>
  <c r="S130" i="1"/>
  <c r="S126" i="1"/>
  <c r="S129" i="1"/>
  <c r="S96" i="1"/>
  <c r="U65" i="1"/>
  <c r="AQ9" i="3"/>
  <c r="AQ17" i="3"/>
  <c r="AQ27" i="3"/>
  <c r="AQ35" i="3"/>
  <c r="AQ45" i="3"/>
  <c r="AQ53" i="3"/>
  <c r="AQ61" i="3"/>
  <c r="U62" i="1" s="1"/>
  <c r="AQ69" i="3"/>
  <c r="AQ79" i="3"/>
  <c r="AQ89" i="3"/>
  <c r="AQ101" i="3"/>
  <c r="AQ109" i="3"/>
  <c r="AQ121" i="3"/>
  <c r="AN48" i="4"/>
  <c r="U49" i="1" s="1"/>
  <c r="AQ6" i="3"/>
  <c r="AQ14" i="3"/>
  <c r="AQ24" i="3"/>
  <c r="U25" i="1" s="1"/>
  <c r="AQ32" i="3"/>
  <c r="AQ42" i="3"/>
  <c r="AQ50" i="3"/>
  <c r="AQ58" i="3"/>
  <c r="AQ66" i="3"/>
  <c r="AQ74" i="3"/>
  <c r="AQ86" i="3"/>
  <c r="AQ98" i="3"/>
  <c r="U99" i="1" s="1"/>
  <c r="AQ106" i="3"/>
  <c r="AQ116" i="3"/>
  <c r="AQ126" i="3"/>
  <c r="AQ11" i="3"/>
  <c r="AQ19" i="3"/>
  <c r="AQ29" i="3"/>
  <c r="AQ39" i="3"/>
  <c r="AQ47" i="3"/>
  <c r="AQ55" i="3"/>
  <c r="AQ63" i="3"/>
  <c r="U64" i="1" s="1"/>
  <c r="AQ71" i="3"/>
  <c r="AQ81" i="3"/>
  <c r="AQ93" i="3"/>
  <c r="AQ103" i="3"/>
  <c r="AQ111" i="3"/>
  <c r="AQ123" i="3"/>
  <c r="AN6" i="4"/>
  <c r="AN14" i="4"/>
  <c r="AN24" i="4"/>
  <c r="AN32" i="4"/>
  <c r="AN42" i="4"/>
  <c r="AN50" i="4"/>
  <c r="AN62" i="4"/>
  <c r="AA15" i="1"/>
  <c r="AC15" i="1" s="1"/>
  <c r="AE15" i="1" s="1"/>
  <c r="AQ8" i="3"/>
  <c r="AQ16" i="3"/>
  <c r="AQ26" i="3"/>
  <c r="AQ34" i="3"/>
  <c r="AQ44" i="3"/>
  <c r="AQ52" i="3"/>
  <c r="AQ60" i="3"/>
  <c r="AQ68" i="3"/>
  <c r="AQ78" i="3"/>
  <c r="AQ88" i="3"/>
  <c r="AQ100" i="3"/>
  <c r="U101" i="1" s="1"/>
  <c r="AQ108" i="3"/>
  <c r="U109" i="1" s="1"/>
  <c r="AQ120" i="3"/>
  <c r="AQ128" i="3"/>
  <c r="AN11" i="4"/>
  <c r="AN19" i="4"/>
  <c r="AN29" i="4"/>
  <c r="AN39" i="4"/>
  <c r="AN47" i="4"/>
  <c r="S26" i="1"/>
  <c r="U126" i="1"/>
  <c r="AN8" i="4"/>
  <c r="AN16" i="4"/>
  <c r="AN26" i="4"/>
  <c r="AN34" i="4"/>
  <c r="AN44" i="4"/>
  <c r="S15" i="1"/>
  <c r="AA16" i="1"/>
  <c r="AC16" i="1" s="1"/>
  <c r="AE16" i="1" s="1"/>
  <c r="U81" i="1"/>
  <c r="U93" i="1"/>
  <c r="AN5" i="4"/>
  <c r="AN13" i="4"/>
  <c r="U15" i="1" s="1"/>
  <c r="AN23" i="4"/>
  <c r="AN31" i="4"/>
  <c r="U32" i="1" s="1"/>
  <c r="AN41" i="4"/>
  <c r="U42" i="1" s="1"/>
  <c r="AN49" i="4"/>
  <c r="AJ67" i="4"/>
  <c r="AN67" i="4" s="1"/>
  <c r="AJ98" i="4"/>
  <c r="AN98" i="4" s="1"/>
  <c r="AJ101" i="4"/>
  <c r="AN101" i="4" s="1"/>
  <c r="AJ104" i="4"/>
  <c r="AN104" i="4" s="1"/>
  <c r="U105" i="1" s="1"/>
  <c r="AJ107" i="4"/>
  <c r="AN107" i="4" s="1"/>
  <c r="U108" i="1" s="1"/>
  <c r="AM9" i="5"/>
  <c r="AQ9" i="5" s="1"/>
  <c r="AM12" i="5"/>
  <c r="AQ12" i="5" s="1"/>
  <c r="U14" i="1" s="1"/>
  <c r="AM22" i="5"/>
  <c r="AQ22" i="5" s="1"/>
  <c r="U23" i="1" s="1"/>
  <c r="AM30" i="5"/>
  <c r="AQ30" i="5" s="1"/>
  <c r="AM40" i="5"/>
  <c r="AQ40" i="5" s="1"/>
  <c r="U41" i="1" s="1"/>
  <c r="AM48" i="5"/>
  <c r="AQ48" i="5" s="1"/>
  <c r="AM56" i="5"/>
  <c r="AQ56" i="5" s="1"/>
  <c r="U57" i="1" s="1"/>
  <c r="AM64" i="5"/>
  <c r="AQ64" i="5" s="1"/>
  <c r="AM72" i="5"/>
  <c r="AQ72" i="5" s="1"/>
  <c r="U73" i="1" s="1"/>
  <c r="AM82" i="5"/>
  <c r="AQ82" i="5" s="1"/>
  <c r="U83" i="1" s="1"/>
  <c r="AM94" i="5"/>
  <c r="AQ94" i="5" s="1"/>
  <c r="AM104" i="5"/>
  <c r="AQ104" i="5" s="1"/>
  <c r="AM114" i="5"/>
  <c r="AQ114" i="5" s="1"/>
  <c r="U115" i="1" s="1"/>
  <c r="AN85" i="4"/>
  <c r="U86" i="1" s="1"/>
  <c r="AN88" i="4"/>
  <c r="AN93" i="4"/>
  <c r="AN125" i="4"/>
  <c r="AN128" i="4"/>
  <c r="AQ6" i="5"/>
  <c r="AQ17" i="5"/>
  <c r="AQ27" i="5"/>
  <c r="AQ35" i="5"/>
  <c r="AQ45" i="5"/>
  <c r="AQ53" i="5"/>
  <c r="AQ61" i="5"/>
  <c r="AQ69" i="5"/>
  <c r="AQ79" i="5"/>
  <c r="AQ89" i="5"/>
  <c r="AQ101" i="5"/>
  <c r="AQ109" i="5"/>
  <c r="AQ121" i="5"/>
  <c r="AJ65" i="4"/>
  <c r="AN65" i="4" s="1"/>
  <c r="U66" i="1" s="1"/>
  <c r="AJ92" i="4"/>
  <c r="AN92" i="4" s="1"/>
  <c r="AJ95" i="4"/>
  <c r="AN95" i="4" s="1"/>
  <c r="U96" i="1" s="1"/>
  <c r="AJ100" i="4"/>
  <c r="AN100" i="4" s="1"/>
  <c r="AJ103" i="4"/>
  <c r="AN103" i="4" s="1"/>
  <c r="AM5" i="5"/>
  <c r="AQ5" i="5" s="1"/>
  <c r="AM8" i="5"/>
  <c r="AQ8" i="5" s="1"/>
  <c r="AM11" i="5"/>
  <c r="AQ11" i="5" s="1"/>
  <c r="AM19" i="5"/>
  <c r="AQ19" i="5" s="1"/>
  <c r="AM29" i="5"/>
  <c r="AQ29" i="5" s="1"/>
  <c r="AM39" i="5"/>
  <c r="AQ39" i="5" s="1"/>
  <c r="AM47" i="5"/>
  <c r="AQ47" i="5" s="1"/>
  <c r="AM55" i="5"/>
  <c r="AQ55" i="5" s="1"/>
  <c r="AM63" i="5"/>
  <c r="AQ63" i="5" s="1"/>
  <c r="AM71" i="5"/>
  <c r="AQ71" i="5" s="1"/>
  <c r="AM81" i="5"/>
  <c r="AQ81" i="5" s="1"/>
  <c r="AM93" i="5"/>
  <c r="AQ93" i="5" s="1"/>
  <c r="AM103" i="5"/>
  <c r="AQ103" i="5" s="1"/>
  <c r="AM111" i="5"/>
  <c r="AQ111" i="5" s="1"/>
  <c r="AQ123" i="5"/>
  <c r="AJ64" i="4"/>
  <c r="AN64" i="4" s="1"/>
  <c r="AJ74" i="4"/>
  <c r="AN74" i="4" s="1"/>
  <c r="AJ79" i="4"/>
  <c r="AN79" i="4" s="1"/>
  <c r="AJ82" i="4"/>
  <c r="AN82" i="4" s="1"/>
  <c r="AJ87" i="4"/>
  <c r="AN87" i="4" s="1"/>
  <c r="U88" i="1" s="1"/>
  <c r="AJ116" i="4"/>
  <c r="AN116" i="4" s="1"/>
  <c r="AJ121" i="4"/>
  <c r="AN121" i="4" s="1"/>
  <c r="AJ124" i="4"/>
  <c r="AN124" i="4" s="1"/>
  <c r="U125" i="1" s="1"/>
  <c r="AJ127" i="4"/>
  <c r="AN127" i="4" s="1"/>
  <c r="AM16" i="5"/>
  <c r="AQ16" i="5" s="1"/>
  <c r="AM26" i="5"/>
  <c r="AQ26" i="5" s="1"/>
  <c r="AM34" i="5"/>
  <c r="AQ34" i="5" s="1"/>
  <c r="AM44" i="5"/>
  <c r="AQ44" i="5" s="1"/>
  <c r="AM52" i="5"/>
  <c r="AQ52" i="5" s="1"/>
  <c r="AM60" i="5"/>
  <c r="AQ60" i="5" s="1"/>
  <c r="AM68" i="5"/>
  <c r="AQ68" i="5" s="1"/>
  <c r="AM78" i="5"/>
  <c r="AQ78" i="5" s="1"/>
  <c r="AM88" i="5"/>
  <c r="AQ88" i="5" s="1"/>
  <c r="AM100" i="5"/>
  <c r="AQ100" i="5" s="1"/>
  <c r="AM108" i="5"/>
  <c r="AQ108" i="5" s="1"/>
  <c r="AM120" i="5"/>
  <c r="AQ120" i="5" s="1"/>
  <c r="AP127" i="3"/>
  <c r="AQ127" i="3" s="1"/>
  <c r="U128" i="1" s="1"/>
  <c r="AJ86" i="4"/>
  <c r="AN86" i="4" s="1"/>
  <c r="AN89" i="4"/>
  <c r="AN94" i="4"/>
  <c r="U95" i="1" s="1"/>
  <c r="AN99" i="4"/>
  <c r="U100" i="1" s="1"/>
  <c r="AN129" i="4"/>
  <c r="AQ7" i="5"/>
  <c r="U9" i="1" s="1"/>
  <c r="AQ10" i="5"/>
  <c r="U12" i="1" s="1"/>
  <c r="AQ18" i="5"/>
  <c r="AQ28" i="5"/>
  <c r="U29" i="1" s="1"/>
  <c r="AQ38" i="5"/>
  <c r="U39" i="1" s="1"/>
  <c r="AQ46" i="5"/>
  <c r="U47" i="1" s="1"/>
  <c r="AQ54" i="5"/>
  <c r="U55" i="1" s="1"/>
  <c r="AQ62" i="5"/>
  <c r="AQ70" i="5"/>
  <c r="U71" i="1" s="1"/>
  <c r="AQ80" i="5"/>
  <c r="AQ92" i="5"/>
  <c r="AM102" i="5"/>
  <c r="AQ102" i="5" s="1"/>
  <c r="U103" i="1" s="1"/>
  <c r="AM110" i="5"/>
  <c r="AQ110" i="5" s="1"/>
  <c r="U111" i="1" s="1"/>
  <c r="AM122" i="5"/>
  <c r="AQ122" i="5" s="1"/>
  <c r="AQ62" i="7"/>
  <c r="U63" i="1" s="1"/>
  <c r="AQ110" i="7"/>
  <c r="AP23" i="8"/>
  <c r="U24" i="1" s="1"/>
  <c r="AP57" i="8"/>
  <c r="AM126" i="5"/>
  <c r="AQ126" i="5" s="1"/>
  <c r="AL5" i="6"/>
  <c r="AP5" i="6" s="1"/>
  <c r="AL9" i="6"/>
  <c r="AP9" i="6" s="1"/>
  <c r="AL13" i="6"/>
  <c r="AP13" i="6" s="1"/>
  <c r="AL17" i="6"/>
  <c r="AP17" i="6" s="1"/>
  <c r="AL23" i="6"/>
  <c r="AP23" i="6" s="1"/>
  <c r="AL27" i="6"/>
  <c r="AP27" i="6" s="1"/>
  <c r="AL31" i="6"/>
  <c r="AP31" i="6" s="1"/>
  <c r="AL35" i="6"/>
  <c r="AP35" i="6" s="1"/>
  <c r="AL41" i="6"/>
  <c r="AP41" i="6" s="1"/>
  <c r="AL45" i="6"/>
  <c r="AP45" i="6" s="1"/>
  <c r="AL49" i="6"/>
  <c r="AP49" i="6" s="1"/>
  <c r="AL53" i="6"/>
  <c r="AP53" i="6" s="1"/>
  <c r="AL57" i="6"/>
  <c r="AP57" i="6" s="1"/>
  <c r="AL61" i="6"/>
  <c r="AP61" i="6" s="1"/>
  <c r="AL65" i="6"/>
  <c r="AP65" i="6" s="1"/>
  <c r="AL69" i="6"/>
  <c r="AP69" i="6" s="1"/>
  <c r="AL73" i="6"/>
  <c r="AP73" i="6" s="1"/>
  <c r="U74" i="1" s="1"/>
  <c r="AL79" i="6"/>
  <c r="AP79" i="6" s="1"/>
  <c r="AL85" i="6"/>
  <c r="AP85" i="6" s="1"/>
  <c r="AL89" i="6"/>
  <c r="AP89" i="6" s="1"/>
  <c r="AL95" i="6"/>
  <c r="AP95" i="6" s="1"/>
  <c r="AL101" i="6"/>
  <c r="AP101" i="6" s="1"/>
  <c r="AL105" i="6"/>
  <c r="AP105" i="6" s="1"/>
  <c r="U106" i="1" s="1"/>
  <c r="AL109" i="6"/>
  <c r="AP109" i="6" s="1"/>
  <c r="AL115" i="6"/>
  <c r="AP115" i="6" s="1"/>
  <c r="U116" i="1" s="1"/>
  <c r="AL121" i="6"/>
  <c r="AP121" i="6" s="1"/>
  <c r="AL125" i="6"/>
  <c r="AP125" i="6" s="1"/>
  <c r="AL129" i="6"/>
  <c r="AP129" i="6" s="1"/>
  <c r="AM8" i="7"/>
  <c r="AQ8" i="7" s="1"/>
  <c r="AM12" i="7"/>
  <c r="AQ12" i="7" s="1"/>
  <c r="AM16" i="7"/>
  <c r="AQ16" i="7" s="1"/>
  <c r="AM22" i="7"/>
  <c r="AQ22" i="7" s="1"/>
  <c r="AM26" i="7"/>
  <c r="AQ26" i="7" s="1"/>
  <c r="AM30" i="7"/>
  <c r="AQ30" i="7" s="1"/>
  <c r="U31" i="1" s="1"/>
  <c r="AM34" i="7"/>
  <c r="AQ34" i="7" s="1"/>
  <c r="AM40" i="7"/>
  <c r="AQ40" i="7" s="1"/>
  <c r="AQ58" i="7"/>
  <c r="AQ106" i="7"/>
  <c r="AP17" i="8"/>
  <c r="AP53" i="8"/>
  <c r="AQ66" i="7"/>
  <c r="AQ116" i="7"/>
  <c r="AP27" i="8"/>
  <c r="AP61" i="8"/>
  <c r="AQ54" i="7"/>
  <c r="AQ102" i="7"/>
  <c r="AP13" i="8"/>
  <c r="AP49" i="8"/>
  <c r="AM124" i="5"/>
  <c r="AQ124" i="5" s="1"/>
  <c r="AM128" i="5"/>
  <c r="AQ128" i="5" s="1"/>
  <c r="AL7" i="6"/>
  <c r="AP7" i="6" s="1"/>
  <c r="AL11" i="6"/>
  <c r="AP11" i="6" s="1"/>
  <c r="AL15" i="6"/>
  <c r="AP15" i="6" s="1"/>
  <c r="U16" i="1" s="1"/>
  <c r="AL19" i="6"/>
  <c r="AP19" i="6" s="1"/>
  <c r="AL25" i="6"/>
  <c r="AP25" i="6" s="1"/>
  <c r="U26" i="1" s="1"/>
  <c r="AL29" i="6"/>
  <c r="AP29" i="6" s="1"/>
  <c r="AL33" i="6"/>
  <c r="AP33" i="6" s="1"/>
  <c r="U34" i="1" s="1"/>
  <c r="AL39" i="6"/>
  <c r="AP39" i="6" s="1"/>
  <c r="AL43" i="6"/>
  <c r="AP43" i="6" s="1"/>
  <c r="U44" i="1" s="1"/>
  <c r="AL47" i="6"/>
  <c r="AP47" i="6" s="1"/>
  <c r="AL51" i="6"/>
  <c r="AP51" i="6" s="1"/>
  <c r="U52" i="1" s="1"/>
  <c r="AL55" i="6"/>
  <c r="AP55" i="6" s="1"/>
  <c r="AL59" i="6"/>
  <c r="AP59" i="6" s="1"/>
  <c r="U60" i="1" s="1"/>
  <c r="AL63" i="6"/>
  <c r="AP63" i="6" s="1"/>
  <c r="AL67" i="6"/>
  <c r="AP67" i="6" s="1"/>
  <c r="U68" i="1" s="1"/>
  <c r="AL71" i="6"/>
  <c r="AP71" i="6" s="1"/>
  <c r="AL77" i="6"/>
  <c r="AP77" i="6" s="1"/>
  <c r="U78" i="1" s="1"/>
  <c r="AL81" i="6"/>
  <c r="AP81" i="6" s="1"/>
  <c r="AL87" i="6"/>
  <c r="AP87" i="6" s="1"/>
  <c r="AL93" i="6"/>
  <c r="AP93" i="6" s="1"/>
  <c r="AL99" i="6"/>
  <c r="AP99" i="6" s="1"/>
  <c r="AL103" i="6"/>
  <c r="AP103" i="6" s="1"/>
  <c r="AL107" i="6"/>
  <c r="AP107" i="6" s="1"/>
  <c r="AL111" i="6"/>
  <c r="AP111" i="6" s="1"/>
  <c r="AL119" i="6"/>
  <c r="AP119" i="6" s="1"/>
  <c r="AL123" i="6"/>
  <c r="AP123" i="6" s="1"/>
  <c r="AL127" i="6"/>
  <c r="AP127" i="6" s="1"/>
  <c r="AM6" i="7"/>
  <c r="AQ6" i="7" s="1"/>
  <c r="AM10" i="7"/>
  <c r="AQ10" i="7" s="1"/>
  <c r="AM14" i="7"/>
  <c r="AQ14" i="7" s="1"/>
  <c r="AM18" i="7"/>
  <c r="AQ18" i="7" s="1"/>
  <c r="U19" i="1" s="1"/>
  <c r="AM24" i="7"/>
  <c r="AQ24" i="7" s="1"/>
  <c r="AM28" i="7"/>
  <c r="AQ28" i="7" s="1"/>
  <c r="AM32" i="7"/>
  <c r="AQ32" i="7" s="1"/>
  <c r="AM38" i="7"/>
  <c r="AQ38" i="7" s="1"/>
  <c r="AQ74" i="7"/>
  <c r="AP73" i="8"/>
  <c r="AP129" i="8"/>
  <c r="U130" i="1" s="1"/>
  <c r="AP77" i="8"/>
  <c r="AQ28" i="9"/>
  <c r="AP79" i="8"/>
  <c r="AQ46" i="9"/>
  <c r="AM13" i="9"/>
  <c r="AQ13" i="9" s="1"/>
  <c r="AM16" i="9"/>
  <c r="AQ16" i="9" s="1"/>
  <c r="AM31" i="9"/>
  <c r="AQ31" i="9" s="1"/>
  <c r="AM34" i="9"/>
  <c r="AQ34" i="9" s="1"/>
  <c r="AM49" i="9"/>
  <c r="AQ49" i="9" s="1"/>
  <c r="U50" i="1" s="1"/>
  <c r="AM52" i="9"/>
  <c r="AQ52" i="9" s="1"/>
  <c r="AM65" i="9"/>
  <c r="AQ65" i="9" s="1"/>
  <c r="AM68" i="9"/>
  <c r="AQ68" i="9" s="1"/>
  <c r="AM85" i="9"/>
  <c r="AQ85" i="9" s="1"/>
  <c r="AQ105" i="9"/>
  <c r="AQ125" i="9"/>
  <c r="AQ16" i="10"/>
  <c r="AM19" i="9"/>
  <c r="AQ19" i="9" s="1"/>
  <c r="AM24" i="9"/>
  <c r="AQ24" i="9" s="1"/>
  <c r="AM39" i="9"/>
  <c r="AQ39" i="9" s="1"/>
  <c r="AM42" i="9"/>
  <c r="AQ42" i="9" s="1"/>
  <c r="AM55" i="9"/>
  <c r="AQ55" i="9" s="1"/>
  <c r="AM58" i="9"/>
  <c r="AQ58" i="9" s="1"/>
  <c r="AM71" i="9"/>
  <c r="AQ71" i="9" s="1"/>
  <c r="AM74" i="9"/>
  <c r="AQ74" i="9" s="1"/>
  <c r="AQ93" i="9"/>
  <c r="AQ30" i="10"/>
  <c r="AQ26" i="10"/>
  <c r="AM11" i="9"/>
  <c r="AQ11" i="9" s="1"/>
  <c r="AM14" i="9"/>
  <c r="AQ14" i="9" s="1"/>
  <c r="AM29" i="9"/>
  <c r="AQ29" i="9" s="1"/>
  <c r="AM32" i="9"/>
  <c r="AQ32" i="9" s="1"/>
  <c r="AM47" i="9"/>
  <c r="AQ47" i="9" s="1"/>
  <c r="AM50" i="9"/>
  <c r="AQ50" i="9" s="1"/>
  <c r="AM63" i="9"/>
  <c r="AQ63" i="9" s="1"/>
  <c r="AM66" i="9"/>
  <c r="AQ66" i="9" s="1"/>
  <c r="AM81" i="9"/>
  <c r="AQ81" i="9" s="1"/>
  <c r="AQ17" i="9"/>
  <c r="AQ35" i="9"/>
  <c r="AQ53" i="9"/>
  <c r="AQ69" i="9"/>
  <c r="AQ89" i="9"/>
  <c r="AQ109" i="9"/>
  <c r="AQ129" i="9"/>
  <c r="AQ22" i="10"/>
  <c r="AQ34" i="10"/>
  <c r="AQ25" i="9"/>
  <c r="AQ43" i="9"/>
  <c r="AQ59" i="9"/>
  <c r="AQ77" i="9"/>
  <c r="AQ99" i="9"/>
  <c r="AM88" i="9"/>
  <c r="AQ88" i="9" s="1"/>
  <c r="AM94" i="9"/>
  <c r="AQ94" i="9" s="1"/>
  <c r="AM100" i="9"/>
  <c r="AQ100" i="9" s="1"/>
  <c r="AM104" i="9"/>
  <c r="AQ104" i="9" s="1"/>
  <c r="AM108" i="9"/>
  <c r="AQ108" i="9" s="1"/>
  <c r="AM114" i="9"/>
  <c r="AQ114" i="9" s="1"/>
  <c r="AM120" i="9"/>
  <c r="AQ120" i="9" s="1"/>
  <c r="AM124" i="9"/>
  <c r="AQ124" i="9" s="1"/>
  <c r="AM128" i="9"/>
  <c r="AQ128" i="9" s="1"/>
  <c r="AM7" i="10"/>
  <c r="AQ7" i="10" s="1"/>
  <c r="AM11" i="10"/>
  <c r="AQ11" i="10" s="1"/>
  <c r="AM15" i="10"/>
  <c r="AQ15" i="10" s="1"/>
  <c r="AM19" i="10"/>
  <c r="AQ19" i="10" s="1"/>
  <c r="AM25" i="10"/>
  <c r="AQ25" i="10" s="1"/>
  <c r="AM29" i="10"/>
  <c r="AQ29" i="10" s="1"/>
  <c r="AM33" i="10"/>
  <c r="AQ33" i="10" s="1"/>
  <c r="AM39" i="10"/>
  <c r="AQ39" i="10" s="1"/>
  <c r="AM43" i="10"/>
  <c r="AQ43" i="10" s="1"/>
  <c r="AM47" i="10"/>
  <c r="AQ47" i="10" s="1"/>
  <c r="AM51" i="10"/>
  <c r="AQ51" i="10" s="1"/>
  <c r="AM55" i="10"/>
  <c r="AQ55" i="10" s="1"/>
  <c r="AM58" i="10"/>
  <c r="AQ58" i="10" s="1"/>
  <c r="AM57" i="10"/>
  <c r="AQ57" i="10" s="1"/>
  <c r="U58" i="1" s="1"/>
  <c r="AM86" i="9"/>
  <c r="AQ86" i="9" s="1"/>
  <c r="AM92" i="9"/>
  <c r="AQ92" i="9" s="1"/>
  <c r="AM98" i="9"/>
  <c r="AQ98" i="9" s="1"/>
  <c r="AM102" i="9"/>
  <c r="AQ102" i="9" s="1"/>
  <c r="AM106" i="9"/>
  <c r="AQ106" i="9" s="1"/>
  <c r="AM110" i="9"/>
  <c r="AQ110" i="9" s="1"/>
  <c r="AM116" i="9"/>
  <c r="AQ116" i="9" s="1"/>
  <c r="AM122" i="9"/>
  <c r="AQ122" i="9" s="1"/>
  <c r="U123" i="1" s="1"/>
  <c r="AM126" i="9"/>
  <c r="AQ126" i="9" s="1"/>
  <c r="AM5" i="10"/>
  <c r="AQ5" i="10" s="1"/>
  <c r="AM9" i="10"/>
  <c r="AQ9" i="10" s="1"/>
  <c r="AM13" i="10"/>
  <c r="AQ13" i="10" s="1"/>
  <c r="AM17" i="10"/>
  <c r="AQ17" i="10" s="1"/>
  <c r="AM23" i="10"/>
  <c r="AQ23" i="10" s="1"/>
  <c r="AM27" i="10"/>
  <c r="AQ27" i="10" s="1"/>
  <c r="AM31" i="10"/>
  <c r="AQ31" i="10" s="1"/>
  <c r="AM35" i="10"/>
  <c r="AQ35" i="10" s="1"/>
  <c r="AM41" i="10"/>
  <c r="AQ41" i="10" s="1"/>
  <c r="AM45" i="10"/>
  <c r="AQ45" i="10" s="1"/>
  <c r="AM49" i="10"/>
  <c r="AQ49" i="10" s="1"/>
  <c r="AM53" i="10"/>
  <c r="AQ53" i="10" s="1"/>
  <c r="AQ56" i="10"/>
  <c r="AM66" i="10"/>
  <c r="AQ66" i="10" s="1"/>
  <c r="AM74" i="10"/>
  <c r="AQ74" i="10" s="1"/>
  <c r="AM86" i="10"/>
  <c r="AQ86" i="10" s="1"/>
  <c r="AM98" i="10"/>
  <c r="AQ98" i="10" s="1"/>
  <c r="AM106" i="10"/>
  <c r="AQ106" i="10" s="1"/>
  <c r="AM116" i="10"/>
  <c r="AQ116" i="10" s="1"/>
  <c r="AM126" i="10"/>
  <c r="AQ126" i="10" s="1"/>
  <c r="AL9" i="11"/>
  <c r="AP9" i="11" s="1"/>
  <c r="AL17" i="11"/>
  <c r="AP17" i="11" s="1"/>
  <c r="AL27" i="11"/>
  <c r="AP27" i="11" s="1"/>
  <c r="AL35" i="11"/>
  <c r="AP35" i="11" s="1"/>
  <c r="AL45" i="11"/>
  <c r="AP45" i="11" s="1"/>
  <c r="AL53" i="11"/>
  <c r="AP53" i="11" s="1"/>
  <c r="AL61" i="11"/>
  <c r="AP61" i="11" s="1"/>
  <c r="AQ78" i="12"/>
  <c r="AQ100" i="12"/>
  <c r="AQ71" i="10"/>
  <c r="AQ81" i="10"/>
  <c r="AQ93" i="10"/>
  <c r="AQ103" i="10"/>
  <c r="AQ111" i="10"/>
  <c r="AQ123" i="10"/>
  <c r="AP6" i="11"/>
  <c r="AP14" i="11"/>
  <c r="AP24" i="11"/>
  <c r="AP32" i="11"/>
  <c r="AP42" i="11"/>
  <c r="AP50" i="11"/>
  <c r="AP58" i="11"/>
  <c r="AP73" i="11"/>
  <c r="AP95" i="11"/>
  <c r="AQ16" i="12"/>
  <c r="AM73" i="10"/>
  <c r="AQ73" i="10" s="1"/>
  <c r="AM85" i="10"/>
  <c r="AQ85" i="10" s="1"/>
  <c r="AM95" i="10"/>
  <c r="AQ95" i="10" s="1"/>
  <c r="AM105" i="10"/>
  <c r="AQ105" i="10" s="1"/>
  <c r="AM115" i="10"/>
  <c r="AQ115" i="10" s="1"/>
  <c r="AM125" i="10"/>
  <c r="AQ125" i="10" s="1"/>
  <c r="AL8" i="11"/>
  <c r="AP8" i="11" s="1"/>
  <c r="AL16" i="11"/>
  <c r="AP16" i="11" s="1"/>
  <c r="AL26" i="11"/>
  <c r="AP26" i="11" s="1"/>
  <c r="AL34" i="11"/>
  <c r="AP34" i="11" s="1"/>
  <c r="AL44" i="11"/>
  <c r="AP44" i="11" s="1"/>
  <c r="AL52" i="11"/>
  <c r="AP52" i="11" s="1"/>
  <c r="AL60" i="11"/>
  <c r="AP60" i="11" s="1"/>
  <c r="AL46" i="11"/>
  <c r="AP46" i="11" s="1"/>
  <c r="AL54" i="11"/>
  <c r="AP54" i="11" s="1"/>
  <c r="AL62" i="11"/>
  <c r="AP62" i="11" s="1"/>
  <c r="AM72" i="10"/>
  <c r="AQ72" i="10" s="1"/>
  <c r="AM82" i="10"/>
  <c r="AQ82" i="10" s="1"/>
  <c r="AM94" i="10"/>
  <c r="AQ94" i="10" s="1"/>
  <c r="AM104" i="10"/>
  <c r="AQ104" i="10" s="1"/>
  <c r="AM114" i="10"/>
  <c r="AQ114" i="10" s="1"/>
  <c r="AM124" i="10"/>
  <c r="AQ124" i="10" s="1"/>
  <c r="AL7" i="11"/>
  <c r="AP7" i="11" s="1"/>
  <c r="AL15" i="11"/>
  <c r="AP15" i="11" s="1"/>
  <c r="AL25" i="11"/>
  <c r="AP25" i="11" s="1"/>
  <c r="AL33" i="11"/>
  <c r="AP33" i="11" s="1"/>
  <c r="AL43" i="11"/>
  <c r="AP43" i="11" s="1"/>
  <c r="AL51" i="11"/>
  <c r="AP51" i="11" s="1"/>
  <c r="AL59" i="11"/>
  <c r="AP59" i="11" s="1"/>
  <c r="AQ26" i="12"/>
  <c r="AQ44" i="12"/>
  <c r="AL82" i="11"/>
  <c r="AP82" i="11" s="1"/>
  <c r="AL94" i="11"/>
  <c r="AP94" i="11" s="1"/>
  <c r="AL104" i="11"/>
  <c r="AP104" i="11" s="1"/>
  <c r="AL114" i="11"/>
  <c r="AP114" i="11" s="1"/>
  <c r="AL124" i="11"/>
  <c r="AP124" i="11" s="1"/>
  <c r="AM7" i="12"/>
  <c r="AQ7" i="12" s="1"/>
  <c r="AM15" i="12"/>
  <c r="AQ15" i="12" s="1"/>
  <c r="AM25" i="12"/>
  <c r="AQ25" i="12" s="1"/>
  <c r="AM33" i="12"/>
  <c r="AQ33" i="12" s="1"/>
  <c r="AM43" i="12"/>
  <c r="AQ43" i="12" s="1"/>
  <c r="AM51" i="12"/>
  <c r="AQ51" i="12" s="1"/>
  <c r="AM59" i="12"/>
  <c r="AQ59" i="12" s="1"/>
  <c r="AM67" i="12"/>
  <c r="AQ67" i="12" s="1"/>
  <c r="AM77" i="12"/>
  <c r="AQ77" i="12" s="1"/>
  <c r="AM87" i="12"/>
  <c r="AQ87" i="12" s="1"/>
  <c r="AM99" i="12"/>
  <c r="AQ99" i="12" s="1"/>
  <c r="AM107" i="12"/>
  <c r="AQ107" i="12" s="1"/>
  <c r="AL14" i="13"/>
  <c r="AP14" i="13" s="1"/>
  <c r="AP18" i="13"/>
  <c r="AP25" i="13"/>
  <c r="AL71" i="11"/>
  <c r="AP71" i="11" s="1"/>
  <c r="AL81" i="11"/>
  <c r="AP81" i="11" s="1"/>
  <c r="AL93" i="11"/>
  <c r="AP93" i="11" s="1"/>
  <c r="AL103" i="11"/>
  <c r="AP103" i="11" s="1"/>
  <c r="AL111" i="11"/>
  <c r="AP111" i="11" s="1"/>
  <c r="AL123" i="11"/>
  <c r="AP123" i="11" s="1"/>
  <c r="AM6" i="12"/>
  <c r="AQ6" i="12" s="1"/>
  <c r="AM14" i="12"/>
  <c r="AQ14" i="12" s="1"/>
  <c r="AM24" i="12"/>
  <c r="AQ24" i="12" s="1"/>
  <c r="AM32" i="12"/>
  <c r="AQ32" i="12" s="1"/>
  <c r="AM42" i="12"/>
  <c r="AQ42" i="12" s="1"/>
  <c r="AM50" i="12"/>
  <c r="AQ50" i="12" s="1"/>
  <c r="AM58" i="12"/>
  <c r="AQ58" i="12" s="1"/>
  <c r="AM66" i="12"/>
  <c r="AQ66" i="12" s="1"/>
  <c r="AM74" i="12"/>
  <c r="AQ74" i="12" s="1"/>
  <c r="AM86" i="12"/>
  <c r="AQ86" i="12" s="1"/>
  <c r="AM98" i="12"/>
  <c r="AQ98" i="12" s="1"/>
  <c r="AM106" i="12"/>
  <c r="AQ106" i="12" s="1"/>
  <c r="AP31" i="13"/>
  <c r="AP35" i="13"/>
  <c r="AP13" i="13"/>
  <c r="AP17" i="13"/>
  <c r="AP40" i="13"/>
  <c r="AP30" i="13"/>
  <c r="AP54" i="13"/>
  <c r="AL67" i="11"/>
  <c r="AP67" i="11" s="1"/>
  <c r="AL77" i="11"/>
  <c r="AP77" i="11" s="1"/>
  <c r="AL87" i="11"/>
  <c r="AP87" i="11" s="1"/>
  <c r="AL99" i="11"/>
  <c r="AP99" i="11" s="1"/>
  <c r="AL107" i="11"/>
  <c r="AP107" i="11" s="1"/>
  <c r="AL119" i="11"/>
  <c r="AP119" i="11" s="1"/>
  <c r="U120" i="1" s="1"/>
  <c r="AL127" i="11"/>
  <c r="AP127" i="11" s="1"/>
  <c r="AM10" i="12"/>
  <c r="AQ10" i="12" s="1"/>
  <c r="AM18" i="12"/>
  <c r="AQ18" i="12" s="1"/>
  <c r="AM28" i="12"/>
  <c r="AQ28" i="12" s="1"/>
  <c r="AM38" i="12"/>
  <c r="AQ38" i="12" s="1"/>
  <c r="AM46" i="12"/>
  <c r="AQ46" i="12" s="1"/>
  <c r="AM54" i="12"/>
  <c r="AQ54" i="12" s="1"/>
  <c r="AM62" i="12"/>
  <c r="AQ62" i="12" s="1"/>
  <c r="AM70" i="12"/>
  <c r="AQ70" i="12" s="1"/>
  <c r="AM80" i="12"/>
  <c r="AQ80" i="12" s="1"/>
  <c r="AM92" i="12"/>
  <c r="AQ92" i="12" s="1"/>
  <c r="AM102" i="12"/>
  <c r="AQ102" i="12" s="1"/>
  <c r="AM110" i="12"/>
  <c r="AQ110" i="12" s="1"/>
  <c r="AL42" i="13"/>
  <c r="AP42" i="13" s="1"/>
  <c r="AP46" i="13"/>
  <c r="AL66" i="11"/>
  <c r="AP66" i="11" s="1"/>
  <c r="AL74" i="11"/>
  <c r="AP74" i="11" s="1"/>
  <c r="AL86" i="11"/>
  <c r="AP86" i="11" s="1"/>
  <c r="AL98" i="11"/>
  <c r="AP98" i="11" s="1"/>
  <c r="AL106" i="11"/>
  <c r="AP106" i="11" s="1"/>
  <c r="AL116" i="11"/>
  <c r="AP116" i="11" s="1"/>
  <c r="AL126" i="11"/>
  <c r="AP126" i="11" s="1"/>
  <c r="AM9" i="12"/>
  <c r="AQ9" i="12" s="1"/>
  <c r="AM17" i="12"/>
  <c r="AQ17" i="12" s="1"/>
  <c r="AM27" i="12"/>
  <c r="AQ27" i="12" s="1"/>
  <c r="AM35" i="12"/>
  <c r="AQ35" i="12" s="1"/>
  <c r="AM45" i="12"/>
  <c r="AQ45" i="12" s="1"/>
  <c r="AM53" i="12"/>
  <c r="AQ53" i="12" s="1"/>
  <c r="AM61" i="12"/>
  <c r="AQ61" i="12" s="1"/>
  <c r="AM69" i="12"/>
  <c r="AQ69" i="12" s="1"/>
  <c r="AM79" i="12"/>
  <c r="AQ79" i="12" s="1"/>
  <c r="AM89" i="12"/>
  <c r="AQ89" i="12" s="1"/>
  <c r="AM101" i="12"/>
  <c r="AQ101" i="12" s="1"/>
  <c r="AM109" i="12"/>
  <c r="AQ109" i="12" s="1"/>
  <c r="AP12" i="13"/>
  <c r="AL32" i="13"/>
  <c r="AP32" i="13" s="1"/>
  <c r="AP38" i="13"/>
  <c r="AP28" i="13"/>
  <c r="AL59" i="13"/>
  <c r="AP59" i="13" s="1"/>
  <c r="AL67" i="13"/>
  <c r="AP67" i="13" s="1"/>
  <c r="AL77" i="13"/>
  <c r="AP77" i="13" s="1"/>
  <c r="AP86" i="13"/>
  <c r="AP103" i="13"/>
  <c r="AL56" i="13"/>
  <c r="AP56" i="13" s="1"/>
  <c r="AL64" i="13"/>
  <c r="AP64" i="13" s="1"/>
  <c r="AL72" i="13"/>
  <c r="AP72" i="13" s="1"/>
  <c r="AL80" i="13"/>
  <c r="AP80" i="13" s="1"/>
  <c r="AQ9" i="14"/>
  <c r="AQ44" i="14"/>
  <c r="AL63" i="13"/>
  <c r="AP63" i="13" s="1"/>
  <c r="AL71" i="13"/>
  <c r="AP71" i="13" s="1"/>
  <c r="AQ23" i="14"/>
  <c r="AP57" i="13"/>
  <c r="AP65" i="13"/>
  <c r="AP73" i="13"/>
  <c r="AQ17" i="14"/>
  <c r="AQ56" i="14"/>
  <c r="AP11" i="13"/>
  <c r="AP19" i="13"/>
  <c r="AP29" i="13"/>
  <c r="AP39" i="13"/>
  <c r="AP47" i="13"/>
  <c r="AP62" i="13"/>
  <c r="AP70" i="13"/>
  <c r="AP116" i="13"/>
  <c r="AQ13" i="14"/>
  <c r="AL88" i="13"/>
  <c r="AP88" i="13" s="1"/>
  <c r="AL100" i="13"/>
  <c r="AP100" i="13" s="1"/>
  <c r="AL108" i="13"/>
  <c r="AP108" i="13" s="1"/>
  <c r="AL120" i="13"/>
  <c r="AP120" i="13" s="1"/>
  <c r="AL128" i="13"/>
  <c r="AP128" i="13" s="1"/>
  <c r="AM11" i="14"/>
  <c r="AQ11" i="14" s="1"/>
  <c r="AM19" i="14"/>
  <c r="AQ19" i="14" s="1"/>
  <c r="AM29" i="14"/>
  <c r="AQ29" i="14" s="1"/>
  <c r="AM33" i="14"/>
  <c r="AQ33" i="14" s="1"/>
  <c r="AM45" i="14"/>
  <c r="AQ45" i="14" s="1"/>
  <c r="AM48" i="14"/>
  <c r="AQ48" i="14" s="1"/>
  <c r="AM51" i="14"/>
  <c r="AQ51" i="14" s="1"/>
  <c r="AM54" i="14"/>
  <c r="AQ54" i="14" s="1"/>
  <c r="AM57" i="14"/>
  <c r="AQ57" i="14" s="1"/>
  <c r="AQ95" i="14"/>
  <c r="AM68" i="14"/>
  <c r="AQ68" i="14" s="1"/>
  <c r="AM71" i="14"/>
  <c r="AQ71" i="14" s="1"/>
  <c r="AL82" i="13"/>
  <c r="AP82" i="13" s="1"/>
  <c r="AL94" i="13"/>
  <c r="AP94" i="13" s="1"/>
  <c r="AL104" i="13"/>
  <c r="AP104" i="13" s="1"/>
  <c r="AL114" i="13"/>
  <c r="AP114" i="13" s="1"/>
  <c r="AL124" i="13"/>
  <c r="AP124" i="13" s="1"/>
  <c r="AM7" i="14"/>
  <c r="AQ7" i="14" s="1"/>
  <c r="AQ40" i="14"/>
  <c r="AQ43" i="14"/>
  <c r="AM64" i="14"/>
  <c r="AQ64" i="14" s="1"/>
  <c r="AQ46" i="14"/>
  <c r="AQ52" i="14"/>
  <c r="AQ55" i="14"/>
  <c r="AQ58" i="14"/>
  <c r="AQ61" i="14"/>
  <c r="AL92" i="13"/>
  <c r="AP92" i="13" s="1"/>
  <c r="AL102" i="13"/>
  <c r="AP102" i="13" s="1"/>
  <c r="AL110" i="13"/>
  <c r="AP110" i="13" s="1"/>
  <c r="AL122" i="13"/>
  <c r="AP122" i="13" s="1"/>
  <c r="AQ31" i="14"/>
  <c r="AQ34" i="14"/>
  <c r="AQ39" i="14"/>
  <c r="AQ49" i="14"/>
  <c r="AQ72" i="14"/>
  <c r="AQ85" i="14"/>
  <c r="AQ125" i="14"/>
  <c r="AL89" i="13"/>
  <c r="AP89" i="13" s="1"/>
  <c r="AL101" i="13"/>
  <c r="AP101" i="13" s="1"/>
  <c r="AL109" i="13"/>
  <c r="AP109" i="13" s="1"/>
  <c r="AL121" i="13"/>
  <c r="AP121" i="13" s="1"/>
  <c r="AL129" i="13"/>
  <c r="AP129" i="13" s="1"/>
  <c r="AM12" i="14"/>
  <c r="AQ12" i="14" s="1"/>
  <c r="AM22" i="14"/>
  <c r="AQ22" i="14" s="1"/>
  <c r="AM30" i="14"/>
  <c r="AQ30" i="14" s="1"/>
  <c r="AM42" i="14"/>
  <c r="AQ42" i="14" s="1"/>
  <c r="AM60" i="14"/>
  <c r="AQ60" i="14" s="1"/>
  <c r="AM63" i="14"/>
  <c r="AQ63" i="14" s="1"/>
  <c r="AM66" i="14"/>
  <c r="AQ66" i="14" s="1"/>
  <c r="AM69" i="14"/>
  <c r="AQ69" i="14" s="1"/>
  <c r="AQ109" i="14"/>
  <c r="AM74" i="14"/>
  <c r="AQ74" i="14" s="1"/>
  <c r="AM80" i="14"/>
  <c r="AQ80" i="14" s="1"/>
  <c r="AM86" i="14"/>
  <c r="AQ86" i="14" s="1"/>
  <c r="AM92" i="14"/>
  <c r="AQ92" i="14" s="1"/>
  <c r="AM98" i="14"/>
  <c r="AQ98" i="14" s="1"/>
  <c r="AM102" i="14"/>
  <c r="AQ102" i="14" s="1"/>
  <c r="AM106" i="14"/>
  <c r="AQ106" i="14" s="1"/>
  <c r="AM110" i="14"/>
  <c r="AQ110" i="14" s="1"/>
  <c r="AM116" i="14"/>
  <c r="AQ116" i="14" s="1"/>
  <c r="AM122" i="14"/>
  <c r="AQ122" i="14" s="1"/>
  <c r="AM126" i="14"/>
  <c r="AQ126" i="14" s="1"/>
  <c r="AQ78" i="14"/>
  <c r="AQ82" i="14"/>
  <c r="AQ88" i="14"/>
  <c r="AQ94" i="14"/>
  <c r="AQ100" i="14"/>
  <c r="AQ104" i="14"/>
  <c r="AQ108" i="14"/>
  <c r="AQ114" i="14"/>
  <c r="AQ120" i="14"/>
  <c r="AQ124" i="14"/>
  <c r="AQ128" i="14"/>
  <c r="AM77" i="14"/>
  <c r="AQ77" i="14" s="1"/>
  <c r="AM81" i="14"/>
  <c r="AQ81" i="14" s="1"/>
  <c r="AM87" i="14"/>
  <c r="AQ87" i="14" s="1"/>
  <c r="AM93" i="14"/>
  <c r="AQ93" i="14" s="1"/>
  <c r="AM99" i="14"/>
  <c r="AQ99" i="14" s="1"/>
  <c r="AM103" i="14"/>
  <c r="AQ103" i="14" s="1"/>
  <c r="AM107" i="14"/>
  <c r="AQ107" i="14" s="1"/>
  <c r="AM111" i="14"/>
  <c r="AQ111" i="14" s="1"/>
  <c r="AM119" i="14"/>
  <c r="AQ119" i="14" s="1"/>
  <c r="AM123" i="14"/>
  <c r="AQ123" i="14" s="1"/>
  <c r="AM127" i="14"/>
  <c r="AQ127" i="14" s="1"/>
  <c r="U35" i="1" l="1"/>
  <c r="U54" i="1"/>
  <c r="U89" i="1"/>
  <c r="U17" i="1"/>
  <c r="U124" i="1"/>
  <c r="U48" i="1"/>
  <c r="U75" i="1"/>
  <c r="U8" i="1"/>
  <c r="U122" i="1"/>
  <c r="U46" i="1"/>
  <c r="U87" i="1"/>
  <c r="U79" i="1"/>
  <c r="U10" i="1"/>
  <c r="U112" i="1"/>
  <c r="U40" i="1"/>
  <c r="U67" i="1"/>
  <c r="U110" i="1"/>
  <c r="U36" i="1"/>
  <c r="U7" i="1"/>
  <c r="U69" i="1"/>
  <c r="U104" i="1"/>
  <c r="U30" i="1"/>
  <c r="U59" i="1"/>
  <c r="U102" i="1"/>
  <c r="U28" i="1"/>
  <c r="U27" i="1"/>
  <c r="U61" i="1"/>
  <c r="U94" i="1"/>
  <c r="U20" i="1"/>
  <c r="U127" i="1"/>
  <c r="U51" i="1"/>
  <c r="U90" i="1"/>
  <c r="U18" i="1"/>
  <c r="U56" i="1"/>
  <c r="U129" i="1"/>
  <c r="U53" i="1"/>
  <c r="U82" i="1"/>
  <c r="U13" i="1"/>
  <c r="U117" i="1"/>
  <c r="U43" i="1"/>
  <c r="U80" i="1"/>
  <c r="U11" i="1"/>
  <c r="U121" i="1"/>
  <c r="U45" i="1"/>
  <c r="U72" i="1"/>
  <c r="U107" i="1"/>
  <c r="U33" i="1"/>
  <c r="U70" i="1"/>
</calcChain>
</file>

<file path=xl/sharedStrings.xml><?xml version="1.0" encoding="utf-8"?>
<sst xmlns="http://schemas.openxmlformats.org/spreadsheetml/2006/main" count="44785" uniqueCount="490">
  <si>
    <t>STAFF ATTENDANCE SUMMARY 2025</t>
  </si>
  <si>
    <t>Prepared: 25 February 2026 | Staff Only | Organized by Department: IT Department</t>
  </si>
  <si>
    <t>Legend:</t>
  </si>
  <si>
    <t>ON</t>
  </si>
  <si>
    <t>Present</t>
  </si>
  <si>
    <t>OFF</t>
  </si>
  <si>
    <t>Absent</t>
  </si>
  <si>
    <t>½</t>
  </si>
  <si>
    <t>Saturday</t>
  </si>
  <si>
    <t>—</t>
  </si>
  <si>
    <t>Sunday</t>
  </si>
  <si>
    <t>OT</t>
  </si>
  <si>
    <t>Overtime</t>
  </si>
  <si>
    <t>WEEKEND ROTATION &amp; ATTENDANCE SUMMARY</t>
  </si>
  <si>
    <t>No</t>
  </si>
  <si>
    <t>Name</t>
  </si>
  <si>
    <t>Department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</si>
  <si>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</si>
  <si>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</si>
  <si>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</si>
  <si>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</si>
  <si>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</si>
  <si>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</si>
  <si>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</si>
  <si>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</si>
  <si>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</si>
  <si>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</si>
  <si>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</si>
  <si>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</si>
  <si>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Sundays</t>
  </si>
  <si>
    <t>Rate</t>
  </si>
  <si>
    <t>Yr
Days Worked</t>
  </si>
  <si>
    <t>Yr
Days OFF</t>
  </si>
  <si>
    <t>Yr
Wknd Fri</t>
  </si>
  <si>
    <t>Yr
Deduct Days</t>
  </si>
  <si>
    <t>Sat
OT Days</t>
  </si>
  <si>
    <t>Sun
OT Days</t>
  </si>
  <si>
    <t>Total
OT Days</t>
  </si>
  <si>
    <t>Holidays
Worked</t>
  </si>
  <si>
    <t>Grand
Total OT</t>
  </si>
  <si>
    <t>OT
Taken</t>
  </si>
  <si>
    <t>OT
Balance</t>
  </si>
  <si>
    <t>► ADMN</t>
  </si>
  <si>
    <t>97</t>
  </si>
  <si>
    <t>Ndamukunda Flavien</t>
  </si>
  <si>
    <t>ADMN</t>
  </si>
  <si>
    <t>207</t>
  </si>
  <si>
    <t>NSABIMANA ABIKUNDA Irene</t>
  </si>
  <si>
    <t>211</t>
  </si>
  <si>
    <t>HAKIZIMANA DIOGENE</t>
  </si>
  <si>
    <t>249</t>
  </si>
  <si>
    <t>KARIHANZE THEMISTOCLESS</t>
  </si>
  <si>
    <t>251</t>
  </si>
  <si>
    <t>UKWISHAKA JEAN AIME</t>
  </si>
  <si>
    <t>272</t>
  </si>
  <si>
    <t>Nzabamwita.Pascal</t>
  </si>
  <si>
    <t>276</t>
  </si>
  <si>
    <t>Tuyisabe.Jean.Damascene</t>
  </si>
  <si>
    <t>277</t>
  </si>
  <si>
    <t>Ndandari.Blaise</t>
  </si>
  <si>
    <t>278</t>
  </si>
  <si>
    <t>Ndayizeye.Pascal</t>
  </si>
  <si>
    <t>395</t>
  </si>
  <si>
    <t>MBARUSHIMANA VEDASTE</t>
  </si>
  <si>
    <t>1000</t>
  </si>
  <si>
    <t>2345</t>
  </si>
  <si>
    <t>Bakundufite Alphonsine</t>
  </si>
  <si>
    <t>2370</t>
  </si>
  <si>
    <t>Dusabamahoro Olivier</t>
  </si>
  <si>
    <t>2373</t>
  </si>
  <si>
    <t>Manzi David</t>
  </si>
  <si>
    <t>► MAINTENANCE</t>
  </si>
  <si>
    <t>186</t>
  </si>
  <si>
    <t>Sindikubwabo</t>
  </si>
  <si>
    <t>MAINTENANCE</t>
  </si>
  <si>
    <t>223</t>
  </si>
  <si>
    <t>NDACYAYISENGA J.PIERRE</t>
  </si>
  <si>
    <t>224</t>
  </si>
  <si>
    <t>IYAKAREMYE AUGUSTIN</t>
  </si>
  <si>
    <t>225</t>
  </si>
  <si>
    <t>RUKUNDO MOISE</t>
  </si>
  <si>
    <t>228</t>
  </si>
  <si>
    <t>RUBAYIZA JEAN DE DIEU</t>
  </si>
  <si>
    <t>231</t>
  </si>
  <si>
    <t>MANIRAREBA MANASSEH</t>
  </si>
  <si>
    <t>239</t>
  </si>
  <si>
    <t>GATETE JIMMY</t>
  </si>
  <si>
    <t>245</t>
  </si>
  <si>
    <t>NZEYIMANA JEAN CLAUDE</t>
  </si>
  <si>
    <t>247</t>
  </si>
  <si>
    <t>KAGABO NOEL</t>
  </si>
  <si>
    <t>306</t>
  </si>
  <si>
    <t>Mushimiyimana Eric</t>
  </si>
  <si>
    <t>307</t>
  </si>
  <si>
    <t>Nkangura Damascene</t>
  </si>
  <si>
    <t>309</t>
  </si>
  <si>
    <t>Mamitiana R</t>
  </si>
  <si>
    <t>358</t>
  </si>
  <si>
    <t>MACUMI JMV</t>
  </si>
  <si>
    <t>2356</t>
  </si>
  <si>
    <t>Mikael Larsson</t>
  </si>
  <si>
    <t>► OPERATORS</t>
  </si>
  <si>
    <t>209</t>
  </si>
  <si>
    <t>NZAYINAMBAHO JAMES</t>
  </si>
  <si>
    <t>OPERATORS</t>
  </si>
  <si>
    <t>210</t>
  </si>
  <si>
    <t>HABIMANA JUSTIN</t>
  </si>
  <si>
    <t>212</t>
  </si>
  <si>
    <t>NIYONKURU ANICET</t>
  </si>
  <si>
    <t>215</t>
  </si>
  <si>
    <t>BAKOMEZA GIDEON</t>
  </si>
  <si>
    <t>218</t>
  </si>
  <si>
    <t>NDINDIRIYIMANA INNOCENT</t>
  </si>
  <si>
    <t>219</t>
  </si>
  <si>
    <t>TUYISHIMIRE DIEUDONNE</t>
  </si>
  <si>
    <t>221</t>
  </si>
  <si>
    <t>UWAYEZU JEAN CLAUDE</t>
  </si>
  <si>
    <t>222</t>
  </si>
  <si>
    <t>RUGANINTWALI SALEH</t>
  </si>
  <si>
    <t>226</t>
  </si>
  <si>
    <t>NSENGIYUMVA INNOCENT</t>
  </si>
  <si>
    <t>227</t>
  </si>
  <si>
    <t>NSENGIYUMVA DIDIER FABRI</t>
  </si>
  <si>
    <t>232</t>
  </si>
  <si>
    <t>NDUNGUTSE JEAN BAPTISTE</t>
  </si>
  <si>
    <t>242</t>
  </si>
  <si>
    <t>BUCYANA RICHARD</t>
  </si>
  <si>
    <t>250</t>
  </si>
  <si>
    <t>MBABAZI DIEUDONNE</t>
  </si>
  <si>
    <t>252</t>
  </si>
  <si>
    <t>NTEZIYAREMYE JEAN PIERRE</t>
  </si>
  <si>
    <t>269</t>
  </si>
  <si>
    <t>Sibomana.Jeremie.Issa</t>
  </si>
  <si>
    <t>279</t>
  </si>
  <si>
    <t>Kagabo.Clement</t>
  </si>
  <si>
    <t>281</t>
  </si>
  <si>
    <t>Ndindiriyimana.Emmanuel</t>
  </si>
  <si>
    <t>282</t>
  </si>
  <si>
    <t>Rwemera.Baptiste</t>
  </si>
  <si>
    <t>284</t>
  </si>
  <si>
    <t>Ishimwe.Jonathan</t>
  </si>
  <si>
    <t>289</t>
  </si>
  <si>
    <t>Murigande</t>
  </si>
  <si>
    <t>290</t>
  </si>
  <si>
    <t>Tuyihanzamaso Ignace</t>
  </si>
  <si>
    <t>291</t>
  </si>
  <si>
    <t>Nsanzimana Jean Nepomsce</t>
  </si>
  <si>
    <t>293</t>
  </si>
  <si>
    <t>Ndacyayisaba Jackson</t>
  </si>
  <si>
    <t>294</t>
  </si>
  <si>
    <t>Mukunzi Jean Bosco</t>
  </si>
  <si>
    <t>303</t>
  </si>
  <si>
    <t>MANISHIMWE</t>
  </si>
  <si>
    <t>304</t>
  </si>
  <si>
    <t>Ntawukuriryayo Gaspard</t>
  </si>
  <si>
    <t>305</t>
  </si>
  <si>
    <t>MANIRARORA Alphonse</t>
  </si>
  <si>
    <t>311</t>
  </si>
  <si>
    <t>NIYONSENGA ANACLET</t>
  </si>
  <si>
    <t>314</t>
  </si>
  <si>
    <t>TWAGIRAYESU SOSTHENE</t>
  </si>
  <si>
    <t>315</t>
  </si>
  <si>
    <t>HAKIZIMANA FRANCOIS</t>
  </si>
  <si>
    <t>317</t>
  </si>
  <si>
    <t>KAYOMBYA CLAUDE</t>
  </si>
  <si>
    <t>2352</t>
  </si>
  <si>
    <t>RWARINDA Jean de Dieu</t>
  </si>
  <si>
    <t>2364</t>
  </si>
  <si>
    <t>Ndemezo Andre</t>
  </si>
  <si>
    <t>2366</t>
  </si>
  <si>
    <t>Uwimpuhwe Beyse</t>
  </si>
  <si>
    <t>2375</t>
  </si>
  <si>
    <t>Tuyizere Faustin</t>
  </si>
  <si>
    <t>2376</t>
  </si>
  <si>
    <t>Nshimiyimana Samuel</t>
  </si>
  <si>
    <t>2378</t>
  </si>
  <si>
    <t>Turikubwimana Theoneste</t>
  </si>
  <si>
    <t>► CLEANERS</t>
  </si>
  <si>
    <t>53</t>
  </si>
  <si>
    <t>NYIRAMANA Aline</t>
  </si>
  <si>
    <t>CLEANERS</t>
  </si>
  <si>
    <t>287</t>
  </si>
  <si>
    <t>Christine.Munkurize</t>
  </si>
  <si>
    <t>319</t>
  </si>
  <si>
    <t>Musoni Eurade</t>
  </si>
  <si>
    <t>321</t>
  </si>
  <si>
    <t>Hakorimana Gaspard</t>
  </si>
  <si>
    <t>2374</t>
  </si>
  <si>
    <t>Uwubahimana Illumine</t>
  </si>
  <si>
    <t>2379</t>
  </si>
  <si>
    <t>Mukankaka Ernestine</t>
  </si>
  <si>
    <t>► LAB</t>
  </si>
  <si>
    <t>2330</t>
  </si>
  <si>
    <t>Jovanice Kasheeka</t>
  </si>
  <si>
    <t>LAB</t>
  </si>
  <si>
    <t>2337</t>
  </si>
  <si>
    <t>Theophile Tuyishimire</t>
  </si>
  <si>
    <t>2338</t>
  </si>
  <si>
    <t>Vumilia Umutoni</t>
  </si>
  <si>
    <t>2340</t>
  </si>
  <si>
    <t>Pascal Ntakirutimana</t>
  </si>
  <si>
    <t>2369</t>
  </si>
  <si>
    <t>Yvette Kanzayire</t>
  </si>
  <si>
    <t>► CD&amp;SE</t>
  </si>
  <si>
    <t>267</t>
  </si>
  <si>
    <t>Nkuranga.Emmanuel</t>
  </si>
  <si>
    <t>CD&amp;SE</t>
  </si>
  <si>
    <t>2333</t>
  </si>
  <si>
    <t>Superiano Gatera</t>
  </si>
  <si>
    <t>2336</t>
  </si>
  <si>
    <t>Dina Mukabyiringiro</t>
  </si>
  <si>
    <t>2380</t>
  </si>
  <si>
    <t>MUKARWEGO Mediatrice</t>
  </si>
  <si>
    <t>► GARDENERS</t>
  </si>
  <si>
    <t>295</t>
  </si>
  <si>
    <t>Niyizigihe</t>
  </si>
  <si>
    <t>GARDENERS</t>
  </si>
  <si>
    <t>296</t>
  </si>
  <si>
    <t>Nsaguye</t>
  </si>
  <si>
    <t>297</t>
  </si>
  <si>
    <t>Iradukunda</t>
  </si>
  <si>
    <t>300</t>
  </si>
  <si>
    <t>Nyirandikumana.Jacquelin</t>
  </si>
  <si>
    <t>318</t>
  </si>
  <si>
    <t>Kabagwira</t>
  </si>
  <si>
    <t>322</t>
  </si>
  <si>
    <t>Ndagijimana Eric</t>
  </si>
  <si>
    <t>2263</t>
  </si>
  <si>
    <t>RUKERATABARO Jean Bosco</t>
  </si>
  <si>
    <t>2274</t>
  </si>
  <si>
    <t>NDAYISABA</t>
  </si>
  <si>
    <t>2275</t>
  </si>
  <si>
    <t>AKIMANA HENRIETTE</t>
  </si>
  <si>
    <t>2281</t>
  </si>
  <si>
    <t>AKIMANA THEREZE</t>
  </si>
  <si>
    <t>2361</t>
  </si>
  <si>
    <t>Ntabanganyimana JMV</t>
  </si>
  <si>
    <t>2362</t>
  </si>
  <si>
    <t>Nsengimana</t>
  </si>
  <si>
    <t>2363</t>
  </si>
  <si>
    <t>Habiyaremye Nshimiyimana</t>
  </si>
  <si>
    <t>2368</t>
  </si>
  <si>
    <t>Nshimiyimana Jean Bosco</t>
  </si>
  <si>
    <t>► PUMP ASSISTANT</t>
  </si>
  <si>
    <t>84</t>
  </si>
  <si>
    <t>MUHIRWA</t>
  </si>
  <si>
    <t>Pump assistant</t>
  </si>
  <si>
    <t>285</t>
  </si>
  <si>
    <t>Sebatesi.augustin</t>
  </si>
  <si>
    <t>286</t>
  </si>
  <si>
    <t>Zirimwabagabo.Alphonse</t>
  </si>
  <si>
    <t>► YUMN GUARDS</t>
  </si>
  <si>
    <t>1036</t>
  </si>
  <si>
    <t>NDAGIJIMANA Simon</t>
  </si>
  <si>
    <t>YUMN GUARDS</t>
  </si>
  <si>
    <t>1037</t>
  </si>
  <si>
    <t>RUSANGANWA Celestin</t>
  </si>
  <si>
    <t>1038</t>
  </si>
  <si>
    <t>BAGANINEZA Reverien</t>
  </si>
  <si>
    <t>1039</t>
  </si>
  <si>
    <t>MUGENZI Vincent</t>
  </si>
  <si>
    <t>1040</t>
  </si>
  <si>
    <t>BIGIRIMANA  Vincent</t>
  </si>
  <si>
    <t>1042</t>
  </si>
  <si>
    <t>NKUSI Alexis</t>
  </si>
  <si>
    <t>1289</t>
  </si>
  <si>
    <t>MUZARIBARA J Bosco</t>
  </si>
  <si>
    <t>1290</t>
  </si>
  <si>
    <t>MISAGO Francois</t>
  </si>
  <si>
    <t>1291</t>
  </si>
  <si>
    <t>MUTABAZI Vincent</t>
  </si>
  <si>
    <t>1292</t>
  </si>
  <si>
    <t>NYANDWI Jean</t>
  </si>
  <si>
    <t>1293</t>
  </si>
  <si>
    <t>NSHIMIYIMANA Joseph</t>
  </si>
  <si>
    <t>📅 QUICK DATE RANGE CALCULATOR</t>
  </si>
  <si>
    <t>RWANDAN PUBLIC HOLIDAYS</t>
  </si>
  <si>
    <t>Enter Last Day of Work and Return Date to calculate leave days:</t>
  </si>
  <si>
    <t>Date</t>
  </si>
  <si>
    <t>Holiday Name</t>
  </si>
  <si>
    <t>New Year's Day</t>
  </si>
  <si>
    <t>Last Day of Work:</t>
  </si>
  <si>
    <t>National Heroes' Day</t>
  </si>
  <si>
    <t>Return to Work:</t>
  </si>
  <si>
    <t>Genocide Memorial Day</t>
  </si>
  <si>
    <t>Good Friday</t>
  </si>
  <si>
    <t>Results:</t>
  </si>
  <si>
    <t>Holidays in Range:</t>
  </si>
  <si>
    <t>Easter Monday</t>
  </si>
  <si>
    <t>Calendar Days (Leave):</t>
  </si>
  <si>
    <t>Labour Day</t>
  </si>
  <si>
    <t>Working Days (Mon-Fri):</t>
  </si>
  <si>
    <t>Independence Day</t>
  </si>
  <si>
    <t>Saturdays in Leave:</t>
  </si>
  <si>
    <t>Liberation Day</t>
  </si>
  <si>
    <t>Sundays in Leave:</t>
  </si>
  <si>
    <t>Assumption Day</t>
  </si>
  <si>
    <t>Public Holidays in Leave:</t>
  </si>
  <si>
    <t>All Saints' Day</t>
  </si>
  <si>
    <t>TOTAL LEAVE DAYS:</t>
  </si>
  <si>
    <t>Christmas Day</t>
  </si>
  <si>
    <t>Boxing Day</t>
  </si>
  <si>
    <t>📝 Rule: Last Day of Work &amp; Return Day are NOT counted as leave</t>
  </si>
  <si>
    <t>📝 Formula: Mon-Fri (full) + Saturdays × 0.5 + Sundays × 0</t>
  </si>
  <si>
    <t>Note: Public Holidays listed separately (not deducted from leave formula)</t>
  </si>
  <si>
    <t>📋 EXAMPLES:</t>
  </si>
  <si>
    <t>Last Day Work</t>
  </si>
  <si>
    <t>Return Date</t>
  </si>
  <si>
    <t>Leave Days</t>
  </si>
  <si>
    <t>JANUARY 2025 - STAFF ATTENDANCE</t>
  </si>
  <si>
    <t>ON = Present  |  OFF = Absent  |  ½ = Saturday (Half Day)  |  — = Sunday (Rest)  |  Sundays = Sunday Work</t>
  </si>
  <si>
    <t>Hrs per Fri:</t>
  </si>
  <si>
    <t>Dept</t>
  </si>
  <si>
    <t>1
W</t>
  </si>
  <si>
    <t>2
T</t>
  </si>
  <si>
    <t>3
F</t>
  </si>
  <si>
    <t>4
S</t>
  </si>
  <si>
    <t>5
S</t>
  </si>
  <si>
    <t>6
M</t>
  </si>
  <si>
    <t>7
T</t>
  </si>
  <si>
    <t>8
W</t>
  </si>
  <si>
    <t>9
T</t>
  </si>
  <si>
    <t>10
F</t>
  </si>
  <si>
    <t>11
S</t>
  </si>
  <si>
    <t>12
S</t>
  </si>
  <si>
    <t>13
M</t>
  </si>
  <si>
    <t>14
T</t>
  </si>
  <si>
    <t>15
W</t>
  </si>
  <si>
    <t>16
T</t>
  </si>
  <si>
    <t>17
F</t>
  </si>
  <si>
    <t>18
S</t>
  </si>
  <si>
    <t>19
S</t>
  </si>
  <si>
    <t>20
M</t>
  </si>
  <si>
    <t>21
T</t>
  </si>
  <si>
    <t>22
W</t>
  </si>
  <si>
    <t>23
T</t>
  </si>
  <si>
    <t>24
F</t>
  </si>
  <si>
    <t>25
S</t>
  </si>
  <si>
    <t>26
S</t>
  </si>
  <si>
    <t>27
M</t>
  </si>
  <si>
    <t>28
T</t>
  </si>
  <si>
    <t>29
W</t>
  </si>
  <si>
    <t>30
T</t>
  </si>
  <si>
    <t>31
F</t>
  </si>
  <si>
    <t>P</t>
  </si>
  <si>
    <t>A</t>
  </si>
  <si>
    <t>Sat</t>
  </si>
  <si>
    <t>Total</t>
  </si>
  <si>
    <t>Exp
Hrs</t>
  </si>
  <si>
    <t>Wknd
Fri</t>
  </si>
  <si>
    <t>Deduct
Hrs</t>
  </si>
  <si>
    <t>Net
Days</t>
  </si>
  <si>
    <t>301</t>
  </si>
  <si>
    <t>NGABO Karake</t>
  </si>
  <si>
    <t>Pump assista</t>
  </si>
  <si>
    <t>FEBRUARY 2025 - STAFF ATTENDANCE</t>
  </si>
  <si>
    <t>1
S</t>
  </si>
  <si>
    <t>2
S</t>
  </si>
  <si>
    <t>3
M</t>
  </si>
  <si>
    <t>4
T</t>
  </si>
  <si>
    <t>5
W</t>
  </si>
  <si>
    <t>6
T</t>
  </si>
  <si>
    <t>7
F</t>
  </si>
  <si>
    <t>8
S</t>
  </si>
  <si>
    <t>9
S</t>
  </si>
  <si>
    <t>10
M</t>
  </si>
  <si>
    <t>11
T</t>
  </si>
  <si>
    <t>12
W</t>
  </si>
  <si>
    <t>13
T</t>
  </si>
  <si>
    <t>14
F</t>
  </si>
  <si>
    <t>15
S</t>
  </si>
  <si>
    <t>16
S</t>
  </si>
  <si>
    <t>17
M</t>
  </si>
  <si>
    <t>18
T</t>
  </si>
  <si>
    <t>19
W</t>
  </si>
  <si>
    <t>20
T</t>
  </si>
  <si>
    <t>21
F</t>
  </si>
  <si>
    <t>22
S</t>
  </si>
  <si>
    <t>23
S</t>
  </si>
  <si>
    <t>24
M</t>
  </si>
  <si>
    <t>25
T</t>
  </si>
  <si>
    <t>26
W</t>
  </si>
  <si>
    <t>27
T</t>
  </si>
  <si>
    <t>28
F</t>
  </si>
  <si>
    <t>MARCH 2025 - STAFF ATTENDANCE</t>
  </si>
  <si>
    <t>29
S</t>
  </si>
  <si>
    <t>30
S</t>
  </si>
  <si>
    <t>31
M</t>
  </si>
  <si>
    <t>APRIL 2025 - STAFF ATTENDANCE</t>
  </si>
  <si>
    <t>1
T</t>
  </si>
  <si>
    <t>2
W</t>
  </si>
  <si>
    <t>3
T</t>
  </si>
  <si>
    <t>4
F</t>
  </si>
  <si>
    <t>6
S</t>
  </si>
  <si>
    <t>7
M</t>
  </si>
  <si>
    <t>8
T</t>
  </si>
  <si>
    <t>9
W</t>
  </si>
  <si>
    <t>10
T</t>
  </si>
  <si>
    <t>11
F</t>
  </si>
  <si>
    <t>13
S</t>
  </si>
  <si>
    <t>14
M</t>
  </si>
  <si>
    <t>15
T</t>
  </si>
  <si>
    <t>16
W</t>
  </si>
  <si>
    <t>17
T</t>
  </si>
  <si>
    <t>18
F</t>
  </si>
  <si>
    <t>20
S</t>
  </si>
  <si>
    <t>21
M</t>
  </si>
  <si>
    <t>22
T</t>
  </si>
  <si>
    <t>23
W</t>
  </si>
  <si>
    <t>24
T</t>
  </si>
  <si>
    <t>25
F</t>
  </si>
  <si>
    <t>27
S</t>
  </si>
  <si>
    <t>28
M</t>
  </si>
  <si>
    <t>29
T</t>
  </si>
  <si>
    <t>30
W</t>
  </si>
  <si>
    <t>MAY 2025 - STAFF ATTENDANCE</t>
  </si>
  <si>
    <t>2
F</t>
  </si>
  <si>
    <t>3
S</t>
  </si>
  <si>
    <t>5
M</t>
  </si>
  <si>
    <t>7
W</t>
  </si>
  <si>
    <t>9
F</t>
  </si>
  <si>
    <t>10
S</t>
  </si>
  <si>
    <t>12
M</t>
  </si>
  <si>
    <t>14
W</t>
  </si>
  <si>
    <t>16
F</t>
  </si>
  <si>
    <t>17
S</t>
  </si>
  <si>
    <t>19
M</t>
  </si>
  <si>
    <t>21
W</t>
  </si>
  <si>
    <t>23
F</t>
  </si>
  <si>
    <t>24
S</t>
  </si>
  <si>
    <t>26
M</t>
  </si>
  <si>
    <t>28
W</t>
  </si>
  <si>
    <t>30
F</t>
  </si>
  <si>
    <t>31
S</t>
  </si>
  <si>
    <t>JUNE 2025 - STAFF ATTENDANCE</t>
  </si>
  <si>
    <t>2
M</t>
  </si>
  <si>
    <t>4
W</t>
  </si>
  <si>
    <t>5
T</t>
  </si>
  <si>
    <t>6
F</t>
  </si>
  <si>
    <t>7
S</t>
  </si>
  <si>
    <t>9
M</t>
  </si>
  <si>
    <t>11
W</t>
  </si>
  <si>
    <t>12
T</t>
  </si>
  <si>
    <t>13
F</t>
  </si>
  <si>
    <t>14
S</t>
  </si>
  <si>
    <t>16
M</t>
  </si>
  <si>
    <t>18
W</t>
  </si>
  <si>
    <t>19
T</t>
  </si>
  <si>
    <t>20
F</t>
  </si>
  <si>
    <t>21
S</t>
  </si>
  <si>
    <t>23
M</t>
  </si>
  <si>
    <t>25
W</t>
  </si>
  <si>
    <t>26
T</t>
  </si>
  <si>
    <t>27
F</t>
  </si>
  <si>
    <t>28
S</t>
  </si>
  <si>
    <t>30
M</t>
  </si>
  <si>
    <t>JULY 2025 - STAFF ATTENDANCE</t>
  </si>
  <si>
    <t>31
T</t>
  </si>
  <si>
    <t>AUGUST 2025 - STAFF ATTENDANCE</t>
  </si>
  <si>
    <t>1
F</t>
  </si>
  <si>
    <t>4
M</t>
  </si>
  <si>
    <t>6
W</t>
  </si>
  <si>
    <t>8
F</t>
  </si>
  <si>
    <t>11
M</t>
  </si>
  <si>
    <t>13
W</t>
  </si>
  <si>
    <t>15
F</t>
  </si>
  <si>
    <t>18
M</t>
  </si>
  <si>
    <t>20
W</t>
  </si>
  <si>
    <t>22
F</t>
  </si>
  <si>
    <t>25
M</t>
  </si>
  <si>
    <t>27
W</t>
  </si>
  <si>
    <t>29
F</t>
  </si>
  <si>
    <t>SEPTEMBER 2025 - STAFF ATTENDANCE</t>
  </si>
  <si>
    <t>1
M</t>
  </si>
  <si>
    <t>3
W</t>
  </si>
  <si>
    <t>5
F</t>
  </si>
  <si>
    <t>8
M</t>
  </si>
  <si>
    <t>10
W</t>
  </si>
  <si>
    <t>12
F</t>
  </si>
  <si>
    <t>15
M</t>
  </si>
  <si>
    <t>17
W</t>
  </si>
  <si>
    <t>19
F</t>
  </si>
  <si>
    <t>22
M</t>
  </si>
  <si>
    <t>24
W</t>
  </si>
  <si>
    <t>26
F</t>
  </si>
  <si>
    <t>29
M</t>
  </si>
  <si>
    <t>OCTOBER 2025 - STAFF ATTENDANCE</t>
  </si>
  <si>
    <t>NOVEMBER 2025 - STAFF ATTENDANCE</t>
  </si>
  <si>
    <t>DECEMBER 2025 - STAFF ATTENDANCE</t>
  </si>
  <si>
    <t>31
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</si>
</sst>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yyyy\-mm\-dd"/>
    <numFmt numFmtId="166" formatCode="0.0"/>
  </numFmts>
  <fonts count="38" x14ac:knownFonts="1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</font>
    <font>
      <i/>
      <sz val="11"/>
      <color rgb="FF2E75B6"/>
      <name val="Calibri"/>
      <family val="2"/>
    </font>
    <font>
      <b/>
      <sz val="11"/>
      <name val="Calibri"/>
      <family val="2"/>
    </font>
    <font>
      <b/>
      <sz val="9"/>
      <color rgb="FF006400"/>
      <name val="Calibri"/>
      <family val="2"/>
    </font>
    <font>
      <b/>
      <sz val="8"/>
      <color rgb="FF8B0000"/>
      <name val="Calibri"/>
      <family val="2"/>
    </font>
    <font>
      <b/>
      <sz val="9"/>
      <color rgb="FF996600"/>
      <name val="Calibri"/>
      <family val="2"/>
    </font>
    <font>
      <b/>
      <sz val="11"/>
      <color rgb="FF666666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8"/>
      <color rgb="FF1F4E79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4"/>
      <color rgb="FF1F4E79"/>
      <name val="Calibri"/>
      <family val="2"/>
    </font>
    <font>
      <b/>
      <sz val="14"/>
      <name val="Calibri"/>
      <family val="2"/>
    </font>
    <font>
      <i/>
      <sz val="10"/>
      <color rgb="FF666666"/>
      <name val="Calibri"/>
      <family val="2"/>
    </font>
    <font>
      <b/>
      <sz val="16"/>
      <color rgb="FF1F4E79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9"/>
      <name val="Calibri"/>
      <family val="2"/>
    </font>
    <font>
      <b/>
      <sz val="7"/>
      <color rgb="FF8B0000"/>
      <name val="Calibri"/>
      <family val="2"/>
    </font>
    <font>
      <b/>
      <sz val="9"/>
      <color rgb="FF666666"/>
      <name val="Calibri"/>
      <family val="2"/>
    </font>
    <font>
      <b/>
      <sz val="8"/>
      <color rgb="FF006400"/>
      <name val="Calibri"/>
      <family val="2"/>
    </font>
    <font>
      <b/>
      <sz val="8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sz val="11"/>
      <name val="Calibri"/>
    </font>
    <font>
      <b/>
      <sz val="10"/>
      <color rgb="FFFFFFFF"/>
      <name val="Calibri"/>
    </font>
    <font>
      <b/>
      <sz val="8"/>
      <color rgb="FFC00000"/>
      <name val="Calibri"/>
    </font>
    <font>
      <b/>
      <sz val="12"/>
      <color rgb="FFC00000"/>
      <name val="Calibri"/>
    </font>
    <font>
      <b/>
      <sz val="11"/>
      <color rgb="FFC00000"/>
      <name val="Calibri"/>
    </font>
    <font>
      <b/>
      <sz val="10"/>
      <name val="Calibri"/>
    </font>
    <font>
      <b/>
      <sz val="10"/>
      <color rgb="FF1F3864"/>
      <name val="Calibri"/>
    </font>
    <font>
      <b/>
      <sz val="10"/>
      <color rgb="FF000000"/>
      <name val="Calibri"/>
    </font>
    <font>
      <b/>
      <sz val="11"/>
      <color rgb="FF806000"/>
      <name val="Calibri"/>
    </font>
    <font>
      <b/>
      <sz val="11"/>
      <color rgb="FF006100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6B6B"/>
        <bgColor rgb="FFFF6B6B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rgb="FF00B0F0"/>
      </patternFill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7030A0"/>
        <bgColor rgb="FF7030A0"/>
      </patternFill>
    </fill>
    <fill>
      <patternFill patternType="solid">
        <fgColor rgb="FFFFFFCC"/>
        <bgColor rgb="FFFFFFCC"/>
      </patternFill>
    </fill>
    <fill>
      <patternFill patternType="solid">
        <fgColor rgb="FF2E75B6"/>
        <bgColor rgb="FF2E75B6"/>
      </patternFill>
    </fill>
    <fill>
      <patternFill patternType="solid">
        <fgColor rgb="FF2F5496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7B2D26"/>
      </patternFill>
    </fill>
    <fill>
      <patternFill patternType="solid">
        <fgColor rgb="FFED7D31"/>
      </patternFill>
    </fill>
    <fill>
      <patternFill patternType="solid">
        <fgColor rgb="FF1F3864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BF8F00"/>
      </patternFill>
    </fill>
    <fill>
      <patternFill patternType="solid">
        <fgColor rgb="FFFF6699"/>
      </patternFill>
    </fill>
    <fill>
      <patternFill patternType="solid">
        <fgColor rgb="FFFFE0EB"/>
      </patternFill>
    </fill>
    <fill>
      <patternFill patternType="solid">
        <fgColor rgb="FF806000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006100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3"/>
  </cellStyleXfs>
  <cellXfs count="79">
    <xf numFmtId="0" fontId="0" fillId="0" borderId="0" xfId="0" applyBorder="1"/>
    <xf numFmtId="0" fontId="3" fillId="0" borderId="0" xfId="0" applyFont="1" applyBorder="1"/>
    <xf numFmtId="0" fontId="4" fillId="2" borderId="0" xfId="0" applyFont="1" applyFill="1" applyBorder="1"/>
    <xf numFmtId="0" fontId="5" fillId="3" borderId="0" xfId="0" applyFont="1" applyFill="1" applyBorder="1"/>
    <xf numFmtId="0" fontId="6" fillId="4" borderId="0" xfId="0" applyFont="1" applyFill="1" applyBorder="1"/>
    <xf numFmtId="0" fontId="7" fillId="5" borderId="0" xfId="0" applyFont="1" applyFill="1" applyBorder="1"/>
    <xf numFmtId="0" fontId="8" fillId="6" borderId="0" xfId="0" applyFont="1" applyFill="1" applyBorder="1"/>
    <xf numFmtId="0" fontId="9" fillId="7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0" xfId="0" applyFont="1" applyBorder="1"/>
    <xf numFmtId="164" fontId="0" fillId="12" borderId="1" xfId="0" applyNumberFormat="1" applyFill="1" applyBorder="1" applyAlignment="1">
      <alignment horizontal="center" vertical="center"/>
    </xf>
    <xf numFmtId="0" fontId="13" fillId="0" borderId="0" xfId="0" applyFont="1" applyBorder="1"/>
    <xf numFmtId="0" fontId="15" fillId="2" borderId="1" xfId="0" applyFont="1" applyFill="1" applyBorder="1" applyAlignment="1">
      <alignment horizontal="center" vertical="center"/>
    </xf>
    <xf numFmtId="0" fontId="16" fillId="0" borderId="0" xfId="0" applyFont="1" applyBorder="1"/>
    <xf numFmtId="164" fontId="0" fillId="0" borderId="1" xfId="0" applyNumberFormat="1" applyBorder="1"/>
    <xf numFmtId="0" fontId="19" fillId="7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5" fillId="0" borderId="0" xfId="0" applyFont="1" applyBorder="1"/>
    <xf numFmtId="0" fontId="26" fillId="0" borderId="0" xfId="0" applyFont="1" applyBorder="1"/>
    <xf numFmtId="165" fontId="0" fillId="0" borderId="0" xfId="0" applyNumberFormat="1" applyBorder="1"/>
    <xf numFmtId="0" fontId="0" fillId="0" borderId="2" xfId="0" applyBorder="1" applyAlignment="1">
      <alignment horizontal="center" wrapText="1"/>
    </xf>
    <xf numFmtId="0" fontId="27" fillId="14" borderId="2" xfId="0" applyFont="1" applyFill="1" applyBorder="1" applyAlignment="1">
      <alignment horizontal="center" wrapText="1"/>
    </xf>
    <xf numFmtId="9" fontId="0" fillId="2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28" fillId="0" borderId="4" xfId="0" applyFont="1" applyBorder="1"/>
    <xf numFmtId="0" fontId="32" fillId="0" borderId="4" xfId="0" applyFont="1" applyBorder="1"/>
    <xf numFmtId="0" fontId="29" fillId="18" borderId="5" xfId="0" applyFont="1" applyFill="1" applyBorder="1" applyAlignment="1">
      <alignment horizontal="center" wrapText="1"/>
    </xf>
    <xf numFmtId="0" fontId="29" fillId="19" borderId="5" xfId="0" applyFont="1" applyFill="1" applyBorder="1" applyAlignment="1">
      <alignment horizontal="center" wrapText="1"/>
    </xf>
    <xf numFmtId="0" fontId="29" fillId="16" borderId="5" xfId="0" applyFont="1" applyFill="1" applyBorder="1" applyAlignment="1">
      <alignment horizontal="center" wrapText="1"/>
    </xf>
    <xf numFmtId="0" fontId="29" fillId="17" borderId="5" xfId="0" applyFont="1" applyFill="1" applyBorder="1" applyAlignment="1">
      <alignment horizontal="center" wrapText="1"/>
    </xf>
    <xf numFmtId="0" fontId="35" fillId="20" borderId="5" xfId="0" applyFont="1" applyFill="1" applyBorder="1" applyAlignment="1">
      <alignment horizontal="center" wrapText="1"/>
    </xf>
    <xf numFmtId="0" fontId="35" fillId="21" borderId="5" xfId="0" applyFont="1" applyFill="1" applyBorder="1" applyAlignment="1">
      <alignment horizontal="center" wrapText="1"/>
    </xf>
    <xf numFmtId="0" fontId="29" fillId="22" borderId="5" xfId="0" applyFont="1" applyFill="1" applyBorder="1" applyAlignment="1">
      <alignment horizontal="center" wrapText="1"/>
    </xf>
    <xf numFmtId="0" fontId="29" fillId="23" borderId="5" xfId="0" applyFont="1" applyFill="1" applyBorder="1" applyAlignment="1">
      <alignment horizontal="center" wrapText="1"/>
    </xf>
    <xf numFmtId="0" fontId="29" fillId="25" borderId="5" xfId="0" applyFont="1" applyFill="1" applyBorder="1" applyAlignment="1">
      <alignment horizontal="center" wrapText="1"/>
    </xf>
    <xf numFmtId="0" fontId="29" fillId="26" borderId="5" xfId="0" applyFont="1" applyFill="1" applyBorder="1" applyAlignment="1">
      <alignment horizontal="center" wrapText="1"/>
    </xf>
    <xf numFmtId="0" fontId="29" fillId="28" borderId="5" xfId="0" applyFont="1" applyFill="1" applyBorder="1" applyAlignment="1">
      <alignment horizontal="center" wrapText="1"/>
    </xf>
    <xf numFmtId="166" fontId="33" fillId="0" borderId="5" xfId="0" applyNumberFormat="1" applyFont="1" applyBorder="1" applyAlignment="1">
      <alignment horizontal="center" wrapText="1"/>
    </xf>
    <xf numFmtId="1" fontId="34" fillId="0" borderId="5" xfId="0" applyNumberFormat="1" applyFont="1" applyBorder="1" applyAlignment="1">
      <alignment horizontal="center" wrapText="1"/>
    </xf>
    <xf numFmtId="166" fontId="28" fillId="0" borderId="5" xfId="0" applyNumberFormat="1" applyFont="1" applyBorder="1" applyAlignment="1">
      <alignment horizontal="center" wrapText="1"/>
    </xf>
    <xf numFmtId="1" fontId="28" fillId="0" borderId="5" xfId="0" applyNumberFormat="1" applyFont="1" applyBorder="1" applyAlignment="1">
      <alignment horizontal="center" wrapText="1"/>
    </xf>
    <xf numFmtId="1" fontId="28" fillId="24" borderId="5" xfId="0" applyNumberFormat="1" applyFont="1" applyFill="1" applyBorder="1" applyAlignment="1">
      <alignment horizontal="center" wrapText="1"/>
    </xf>
    <xf numFmtId="166" fontId="36" fillId="0" borderId="5" xfId="0" applyNumberFormat="1" applyFont="1" applyBorder="1" applyAlignment="1">
      <alignment horizontal="center" wrapText="1"/>
    </xf>
    <xf numFmtId="166" fontId="28" fillId="27" borderId="5" xfId="0" applyNumberFormat="1" applyFont="1" applyFill="1" applyBorder="1" applyAlignment="1">
      <alignment horizontal="center" wrapText="1"/>
    </xf>
    <xf numFmtId="166" fontId="37" fillId="0" borderId="5" xfId="0" applyNumberFormat="1" applyFont="1" applyBorder="1" applyAlignment="1">
      <alignment horizontal="center" wrapText="1"/>
    </xf>
    <xf numFmtId="0" fontId="30" fillId="0" borderId="4" xfId="0" applyFont="1" applyBorder="1"/>
    <xf numFmtId="0" fontId="31" fillId="0" borderId="5" xfId="0" applyFont="1" applyBorder="1"/>
    <xf numFmtId="0" fontId="29" fillId="15" borderId="5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8" fillId="0" borderId="5" xfId="0" applyFont="1" applyBorder="1" applyAlignment="1">
      <alignment horizontal="center" wrapText="1"/>
    </xf>
    <xf numFmtId="0" fontId="10" fillId="11" borderId="3" xfId="0" applyFont="1" applyFill="1" applyAlignment="1">
      <alignment horizontal="left" vertical="center"/>
    </xf>
    <xf numFmtId="0" fontId="0" fillId="0" borderId="0" xfId="0" applyBorder="1"/>
    <xf numFmtId="0" fontId="10" fillId="9" borderId="3" xfId="0" applyFont="1" applyFill="1" applyAlignment="1">
      <alignment horizontal="left" vertical="center"/>
    </xf>
    <xf numFmtId="0" fontId="1" fillId="0" borderId="3" xfId="0" applyFont="1" applyAlignment="1">
      <alignment horizontal="center" vertical="center"/>
    </xf>
    <xf numFmtId="0" fontId="10" fillId="8" borderId="3" xfId="0" applyFont="1" applyFill="1" applyAlignment="1">
      <alignment horizontal="left" vertical="center"/>
    </xf>
    <xf numFmtId="0" fontId="2" fillId="0" borderId="3" xfId="0" applyFont="1" applyAlignment="1">
      <alignment horizontal="center" vertical="center"/>
    </xf>
    <xf numFmtId="0" fontId="10" fillId="10" borderId="3" xfId="0" applyFont="1" applyFill="1" applyAlignment="1">
      <alignment horizontal="left" vertical="center"/>
    </xf>
    <xf numFmtId="0" fontId="11" fillId="0" borderId="3" xfId="0" applyFont="1" applyAlignment="1">
      <alignment horizontal="left" vertical="center"/>
    </xf>
    <xf numFmtId="0" fontId="14" fillId="0" borderId="3" xfId="0" applyFont="1"/>
    <xf numFmtId="0" fontId="9" fillId="8" borderId="3" xfId="0" applyFont="1" applyFill="1"/>
    <xf numFmtId="0" fontId="9" fillId="11" borderId="3" xfId="0" applyFont="1" applyFill="1"/>
    <xf numFmtId="0" fontId="9" fillId="9" borderId="3" xfId="0" applyFont="1" applyFill="1"/>
    <xf numFmtId="0" fontId="18" fillId="0" borderId="3" xfId="0" applyFont="1" applyAlignment="1">
      <alignment horizontal="center" vertical="center"/>
    </xf>
    <xf numFmtId="0" fontId="9" fillId="10" borderId="3" xfId="0" applyFont="1" applyFill="1"/>
    <xf numFmtId="0" fontId="17" fillId="0" borderId="3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0"/>
  <sheetViews>
    <sheetView workbookViewId="0">
      <pane xSplit="3" ySplit="5" topLeftCell="D26" activePane="bottomRight" state="frozen"/>
      <selection pane="topRight"/>
      <selection pane="bottomLeft"/>
      <selection pane="bottomRight" activeCell="L30" sqref="L30"/>
    </sheetView>
  </sheetViews>
  <sheetFormatPr defaultRowHeight="14.5" x14ac:dyDescent="0.35"/>
  <cols>
    <col min="1" max="1" width="8" customWidth="1"/>
    <col min="2" max="2" width="28" customWidth="1"/>
    <col min="3" max="3" width="14" customWidth="1"/>
    <col min="4" max="15" width="6" customWidth="1"/>
    <col min="16" max="19" width="8" customWidth="1"/>
    <col min="21" max="21" width="12" customWidth="1"/>
    <col min="22" max="22" width="11" customWidth="1"/>
    <col min="23" max="23" width="10" customWidth="1"/>
    <col min="24" max="24" width="11" customWidth="1"/>
    <col min="25" max="27" width="10" customWidth="1"/>
    <col min="28" max="29" width="11" customWidth="1"/>
    <col min="30" max="32" width="10" customWidth="1"/>
  </cols>
  <sheetData>
    <row r="1" spans="1:49" ht="26" customHeight="1" x14ac:dyDescent="0.35">
      <c r="A1" s="67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</row>
    <row r="2" spans="1:49" x14ac:dyDescent="0.35">
      <c r="A2" s="69" t="s">
        <v>1</v>
      </c>
      <c r="B2" s="65"/>
      <c r="C2" s="65"/>
      <c r="D2" s="65"/>
      <c r="E2" s="65"/>
      <c r="F2" s="65"/>
      <c r="G2" s="65"/>
      <c r="H2" s="65"/>
      <c r="I2" s="65"/>
      <c r="J2" s="65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</row>
    <row r="3" spans="1:49" x14ac:dyDescent="0.35">
      <c r="A3" s="1" t="s">
        <v>2</v>
      </c>
      <c r="B3" s="2" t="s">
        <v>3</v>
      </c>
      <c r="C3" t="s">
        <v>4</v>
      </c>
      <c r="D3" s="3" t="s">
        <v>5</v>
      </c>
      <c r="E3" t="s">
        <v>6</v>
      </c>
      <c r="F3" s="4" t="s">
        <v>7</v>
      </c>
      <c r="G3" t="s">
        <v>8</v>
      </c>
      <c r="H3" s="5" t="s">
        <v>9</v>
      </c>
      <c r="I3" t="s">
        <v>10</v>
      </c>
      <c r="J3" s="6" t="s">
        <v>11</v>
      </c>
      <c r="K3" t="s">
        <v>12</v>
      </c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</row>
    <row r="4" spans="1:49" x14ac:dyDescent="0.35">
      <c r="T4" s="38"/>
      <c r="U4" s="39" t="s">
        <v>13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</row>
    <row r="5" spans="1:49" ht="30" customHeight="1" x14ac:dyDescent="0.35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4</v>
      </c>
      <c r="Q5" s="7" t="s">
        <v>6</v>
      </c>
      <c r="R5" s="7" t="s">
        <v>29</v>
      </c>
      <c r="S5" s="7" t="s">
        <v>30</v>
      </c>
      <c r="T5" s="38"/>
      <c r="U5" s="40" t="s">
        <v>31</v>
      </c>
      <c r="V5" s="41" t="s">
        <v>32</v>
      </c>
      <c r="W5" s="42" t="s">
        <v>33</v>
      </c>
      <c r="X5" s="43" t="s">
        <v>34</v>
      </c>
      <c r="Y5" s="44" t="s">
        <v>35</v>
      </c>
      <c r="Z5" s="45" t="s">
        <v>36</v>
      </c>
      <c r="AA5" s="46" t="s">
        <v>37</v>
      </c>
      <c r="AB5" s="47" t="s">
        <v>38</v>
      </c>
      <c r="AC5" s="48" t="s">
        <v>39</v>
      </c>
      <c r="AD5" s="49" t="s">
        <v>40</v>
      </c>
      <c r="AE5" s="50" t="s">
        <v>41</v>
      </c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</row>
    <row r="6" spans="1:49" ht="25" customHeight="1" x14ac:dyDescent="0.35">
      <c r="A6" s="68" t="s">
        <v>42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</row>
    <row r="7" spans="1:49" ht="22" customHeight="1" x14ac:dyDescent="0.35">
      <c r="A7" s="8" t="s">
        <v>43</v>
      </c>
      <c r="B7" s="8" t="s">
        <v>44</v>
      </c>
      <c r="C7" s="8" t="s">
        <v>45</v>
      </c>
      <c r="D7" s="9">
        <v>0</v>
      </c>
      <c r="E7" s="10">
        <v>22</v>
      </c>
      <c r="F7" s="11">
        <v>18</v>
      </c>
      <c r="G7" s="10">
        <v>26</v>
      </c>
      <c r="H7" s="11">
        <v>15</v>
      </c>
      <c r="I7" s="11">
        <v>11</v>
      </c>
      <c r="J7" s="10">
        <v>20</v>
      </c>
      <c r="K7" s="11">
        <v>13</v>
      </c>
      <c r="L7" s="10">
        <v>27</v>
      </c>
      <c r="M7" s="10">
        <v>27</v>
      </c>
      <c r="N7" s="10">
        <v>24</v>
      </c>
      <c r="O7" s="11">
        <v>10</v>
      </c>
      <c r="P7" s="8">
        <f>IFERROR(INDEX(January!$AI:$AI,MATCH($A7,January!$A:$A,0)),0)+IFERROR(INDEX(February!$AF:$AF,MATCH($A7,February!$A:$A,0)),0)+IFERROR(INDEX(March!$AI:$AI,MATCH($A7,March!$A:$A,0)),0)+IFERROR(INDEX(April!$AH:$AH,MATCH($A7,April!$A:$A,0)),0)+IFERROR(INDEX(May!$AI:$AI,MATCH($A7,May!$A:$A,0)),0)+IFERROR(INDEX(June!$AH:$AH,MATCH($A7,June!$A:$A,0)),0)+IFERROR(INDEX(July!$AI:$AI,MATCH($A7,July!$A:$A,0)),0)+IFERROR(INDEX(August!$AI:$AI,MATCH($A7,August!$A:$A,0)),0)+IFERROR(INDEX(September!$AH:$AH,MATCH($A7,September!$A:$A,0)),0)+IFERROR(INDEX(October!$AI:$AI,MATCH($A7,October!$A:$A,0)),0)+IFERROR(INDEX(November!$AH:$AH,MATCH($A7,November!$A:$A,0)),0)+IFERROR(INDEX(December!$AI:$AI,MATCH($A7,December!$A:$A,0)),0)</f>
        <v>178</v>
      </c>
      <c r="Q7" s="8">
        <f>IFERROR(INDEX(January!$AJ:$AJ,MATCH($A7,January!$A:$A,0)),0)+IFERROR(INDEX(February!$AG:$AG,MATCH($A7,February!$A:$A,0)),0)+IFERROR(INDEX(March!$AJ:$AJ,MATCH($A7,March!$A:$A,0)),0)+IFERROR(INDEX(April!$AI:$AI,MATCH($A7,April!$A:$A,0)),0)+IFERROR(INDEX(May!$AJ:$AJ,MATCH($A7,May!$A:$A,0)),0)+IFERROR(INDEX(June!$AI:$AI,MATCH($A7,June!$A:$A,0)),0)+IFERROR(INDEX(July!$AJ:$AJ,MATCH($A7,July!$A:$A,0)),0)+IFERROR(INDEX(August!$AJ:$AJ,MATCH($A7,August!$A:$A,0)),0)+IFERROR(INDEX(September!$AI:$AI,MATCH($A7,September!$A:$A,0)),0)+IFERROR(INDEX(October!$AJ:$AJ,MATCH($A7,October!$A:$A,0)),0)+IFERROR(INDEX(November!$AI:$AI,MATCH($A7,November!$A:$A,0)),0)+IFERROR(INDEX(December!$AJ:$AJ,MATCH($A7,December!$A:$A,0)),0)</f>
        <v>83</v>
      </c>
      <c r="R7" s="8">
        <f>IFERROR(INDEX(January!$AK:$AK,MATCH($A7,January!$A:$A,0)),0)+IFERROR(INDEX(February!$AH:$AH,MATCH($A7,February!$A:$A,0)),0)+IFERROR(INDEX(March!$AK:$AK,MATCH($A7,March!$A:$A,0)),0)+IFERROR(INDEX(April!$AJ:$AJ,MATCH($A7,April!$A:$A,0)),0)+IFERROR(INDEX(May!$AK:$AK,MATCH($A7,May!$A:$A,0)),0)+IFERROR(INDEX(June!$AJ:$AJ,MATCH($A7,June!$A:$A,0)),0)+IFERROR(INDEX(July!$AK:$AK,MATCH($A7,July!$A:$A,0)),0)+IFERROR(INDEX(August!$AK:$AK,MATCH($A7,August!$A:$A,0)),0)+IFERROR(INDEX(September!$AJ:$AJ,MATCH($A7,September!$A:$A,0)),0)+IFERROR(INDEX(October!$AK:$AK,MATCH($A7,October!$A:$A,0)),0)+IFERROR(INDEX(November!$AJ:$AJ,MATCH($A7,November!$A:$A,0)),0)+IFERROR(INDEX(December!$AK:$AK,MATCH($A7,December!$A:$A,0)),0)</f>
        <v>16</v>
      </c>
      <c r="S7" s="36">
        <f>IF((P7+Q7)=0,"",P7/(P7+Q7))</f>
        <v>0.68199233716475094</v>
      </c>
      <c r="T7" s="38"/>
      <c r="U7" s="51">
        <f>IFERROR(INDEX(January!$AQ:$AQ,MATCH($A7,January!$A:$A,0)),0)+IFERROR(INDEX(February!$AN:$AN,MATCH($A7,February!$A:$A,0)),0)+IFERROR(INDEX(March!$AQ:$AQ,MATCH($A7,March!$A:$A,0)),0)+IFERROR(INDEX(April!$AP:$AP,MATCH($A7,April!$A:$A,0)),0)+IFERROR(INDEX(May!$AQ:$AQ,MATCH($A7,May!$A:$A,0)),0)+IFERROR(INDEX(June!$AP:$AP,MATCH($A7,June!$A:$A,0)),0)+IFERROR(INDEX(July!$AQ:$AQ,MATCH($A7,July!$A:$A,0)),0)+IFERROR(INDEX(August!$AQ:$AQ,MATCH($A7,August!$A:$A,0)),0)+IFERROR(INDEX(September!$AP:$AP,MATCH($A7,September!$A:$A,0)),0)+IFERROR(INDEX(October!$AQ:$AQ,MATCH($A7,October!$A:$A,0)),0)+IFERROR(INDEX(November!$AP:$AP,MATCH($A7,November!$A:$A,0)),0)+IFERROR(INDEX(December!$AQ:$AQ,MATCH($A7,December!$A:$A,0)),0)</f>
        <v>195.5</v>
      </c>
      <c r="V7" s="52">
        <f>IFERROR(INDEX(January!$AJ:$AJ,MATCH($A7,January!$A:$A,0)),0)+IFERROR(INDEX(February!$AG:$AG,MATCH($A7,February!$A:$A,0)),0)+IFERROR(INDEX(March!$AJ:$AJ,MATCH($A7,March!$A:$A,0)),0)+IFERROR(INDEX(April!$AI:$AI,MATCH($A7,April!$A:$A,0)),0)+IFERROR(INDEX(May!$AJ:$AJ,MATCH($A7,May!$A:$A,0)),0)+IFERROR(INDEX(June!$AI:$AI,MATCH($A7,June!$A:$A,0)),0)+IFERROR(INDEX(July!$AJ:$AJ,MATCH($A7,July!$A:$A,0)),0)+IFERROR(INDEX(August!$AJ:$AJ,MATCH($A7,August!$A:$A,0)),0)+IFERROR(INDEX(September!$AI:$AI,MATCH($A7,September!$A:$A,0)),0)+IFERROR(INDEX(October!$AJ:$AJ,MATCH($A7,October!$A:$A,0)),0)+IFERROR(INDEX(November!$AI:$AI,MATCH($A7,November!$A:$A,0)),0)+IFERROR(INDEX(December!$AJ:$AJ,MATCH($A7,December!$A:$A,0)),0)</f>
        <v>83</v>
      </c>
      <c r="W7" s="53">
        <f>IFERROR(INDEX(January!$AO:$AO,MATCH($A7,January!$A:$A,0)),0)+IFERROR(INDEX(February!$AL:$AL,MATCH($A7,February!$A:$A,0)),0)+IFERROR(INDEX(March!$AO:$AO,MATCH($A7,March!$A:$A,0)),0)+IFERROR(INDEX(April!$AN:$AN,MATCH($A7,April!$A:$A,0)),0)+IFERROR(INDEX(May!$AO:$AO,MATCH($A7,May!$A:$A,0)),0)+IFERROR(INDEX(June!$AN:$AN,MATCH($A7,June!$A:$A,0)),0)+IFERROR(INDEX(July!$AO:$AO,MATCH($A7,July!$A:$A,0)),0)+IFERROR(INDEX(August!$AO:$AO,MATCH($A7,August!$A:$A,0)),0)+IFERROR(INDEX(September!$AN:$AN,MATCH($A7,September!$A:$A,0)),0)+IFERROR(INDEX(October!$AO:$AO,MATCH($A7,October!$A:$A,0)),0)+IFERROR(INDEX(November!$AN:$AN,MATCH($A7,November!$A:$A,0)),0)+IFERROR(INDEX(December!$AO:$AO,MATCH($A7,December!$A:$A,0)),0)</f>
        <v>16</v>
      </c>
      <c r="X7" s="53">
        <f t="shared" ref="X7:X20" si="0">W7/2</f>
        <v>8</v>
      </c>
      <c r="Y7" s="53">
        <f>(IFERROR(INDEX(January!$AL:$AL,MATCH($A7,January!$A:$A,0)),0)+IFERROR(INDEX(February!$AI:$AI,MATCH($A7,February!$A:$A,0)),0)+IFERROR(INDEX(March!$AL:$AL,MATCH($A7,March!$A:$A,0)),0)+IFERROR(INDEX(April!$AK:$AK,MATCH($A7,April!$A:$A,0)),0)+IFERROR(INDEX(May!$AL:$AL,MATCH($A7,May!$A:$A,0)),0)+IFERROR(INDEX(June!$AK:$AK,MATCH($A7,June!$A:$A,0)),0)+IFERROR(INDEX(July!$AL:$AL,MATCH($A7,July!$A:$A,0)),0)+IFERROR(INDEX(August!$AL:$AL,MATCH($A7,August!$A:$A,0)),0)+IFERROR(INDEX(September!$AK:$AK,MATCH($A7,September!$A:$A,0)),0)+IFERROR(INDEX(October!$AL:$AL,MATCH($A7,October!$A:$A,0)),0)+IFERROR(INDEX(November!$AK:$AK,MATCH($A7,November!$A:$A,0)),0)+IFERROR(INDEX(December!$AL:$AL,MATCH($A7,December!$A:$A,0)),0))*0.5</f>
        <v>9.5</v>
      </c>
      <c r="Z7" s="54">
        <f>IFERROR(INDEX(January!$AK:$AK,MATCH($A7,January!$A:$A,0)),0)+IFERROR(INDEX(February!$AH:$AH,MATCH($A7,February!$A:$A,0)),0)+IFERROR(INDEX(March!$AK:$AK,MATCH($A7,March!$A:$A,0)),0)+IFERROR(INDEX(April!$AJ:$AJ,MATCH($A7,April!$A:$A,0)),0)+IFERROR(INDEX(May!$AK:$AK,MATCH($A7,May!$A:$A,0)),0)+IFERROR(INDEX(June!$AJ:$AJ,MATCH($A7,June!$A:$A,0)),0)+IFERROR(INDEX(July!$AK:$AK,MATCH($A7,July!$A:$A,0)),0)+IFERROR(INDEX(August!$AK:$AK,MATCH($A7,August!$A:$A,0)),0)+IFERROR(INDEX(September!$AJ:$AJ,MATCH($A7,September!$A:$A,0)),0)+IFERROR(INDEX(October!$AK:$AK,MATCH($A7,October!$A:$A,0)),0)+IFERROR(INDEX(November!$AJ:$AJ,MATCH($A7,November!$A:$A,0)),0)+IFERROR(INDEX(December!$AK:$AK,MATCH($A7,December!$A:$A,0)),0)</f>
        <v>16</v>
      </c>
      <c r="AA7" s="51">
        <f t="shared" ref="AA7:AA20" si="1">Y7+Z7</f>
        <v>25.5</v>
      </c>
      <c r="AB7" s="55">
        <v>17</v>
      </c>
      <c r="AC7" s="56">
        <f t="shared" ref="AC7:AC20" si="2">AA7+IF(AB7="",0,AB7)</f>
        <v>42.5</v>
      </c>
      <c r="AD7" s="57"/>
      <c r="AE7" s="58">
        <f t="shared" ref="AE7:AE20" si="3">AC7-IF(AD7="",0,AD7)</f>
        <v>42.5</v>
      </c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</row>
    <row r="8" spans="1:49" ht="22" customHeight="1" x14ac:dyDescent="0.35">
      <c r="A8" s="8" t="s">
        <v>46</v>
      </c>
      <c r="B8" s="8" t="s">
        <v>47</v>
      </c>
      <c r="C8" s="8" t="s">
        <v>45</v>
      </c>
      <c r="D8" s="10">
        <v>23</v>
      </c>
      <c r="E8" s="10">
        <v>23</v>
      </c>
      <c r="F8" s="10">
        <v>24</v>
      </c>
      <c r="G8" s="10">
        <v>22</v>
      </c>
      <c r="H8" s="10">
        <v>22</v>
      </c>
      <c r="I8" s="11">
        <v>17</v>
      </c>
      <c r="J8" s="11">
        <v>9</v>
      </c>
      <c r="K8" s="10">
        <v>23</v>
      </c>
      <c r="L8" s="10">
        <v>26</v>
      </c>
      <c r="M8" s="10">
        <v>23</v>
      </c>
      <c r="N8" s="11">
        <v>14</v>
      </c>
      <c r="O8" s="11">
        <v>9</v>
      </c>
      <c r="P8" s="8">
        <f>IFERROR(INDEX(January!$AI:$AI,MATCH($A8,January!$A:$A,0)),0)+IFERROR(INDEX(February!$AF:$AF,MATCH($A8,February!$A:$A,0)),0)+IFERROR(INDEX(March!$AI:$AI,MATCH($A8,March!$A:$A,0)),0)+IFERROR(INDEX(April!$AH:$AH,MATCH($A8,April!$A:$A,0)),0)+IFERROR(INDEX(May!$AI:$AI,MATCH($A8,May!$A:$A,0)),0)+IFERROR(INDEX(June!$AH:$AH,MATCH($A8,June!$A:$A,0)),0)+IFERROR(INDEX(July!$AI:$AI,MATCH($A8,July!$A:$A,0)),0)+IFERROR(INDEX(August!$AI:$AI,MATCH($A8,August!$A:$A,0)),0)+IFERROR(INDEX(September!$AH:$AH,MATCH($A8,September!$A:$A,0)),0)+IFERROR(INDEX(October!$AI:$AI,MATCH($A8,October!$A:$A,0)),0)+IFERROR(INDEX(November!$AH:$AH,MATCH($A8,November!$A:$A,0)),0)+IFERROR(INDEX(December!$AI:$AI,MATCH($A8,December!$A:$A,0)),0)</f>
        <v>187</v>
      </c>
      <c r="Q8" s="8">
        <f>IFERROR(INDEX(January!$AJ:$AJ,MATCH($A8,January!$A:$A,0)),0)+IFERROR(INDEX(February!$AG:$AG,MATCH($A8,February!$A:$A,0)),0)+IFERROR(INDEX(March!$AJ:$AJ,MATCH($A8,March!$A:$A,0)),0)+IFERROR(INDEX(April!$AI:$AI,MATCH($A8,April!$A:$A,0)),0)+IFERROR(INDEX(May!$AJ:$AJ,MATCH($A8,May!$A:$A,0)),0)+IFERROR(INDEX(June!$AI:$AI,MATCH($A8,June!$A:$A,0)),0)+IFERROR(INDEX(July!$AJ:$AJ,MATCH($A8,July!$A:$A,0)),0)+IFERROR(INDEX(August!$AJ:$AJ,MATCH($A8,August!$A:$A,0)),0)+IFERROR(INDEX(September!$AI:$AI,MATCH($A8,September!$A:$A,0)),0)+IFERROR(INDEX(October!$AJ:$AJ,MATCH($A8,October!$A:$A,0)),0)+IFERROR(INDEX(November!$AI:$AI,MATCH($A8,November!$A:$A,0)),0)+IFERROR(INDEX(December!$AJ:$AJ,MATCH($A8,December!$A:$A,0)),0)</f>
        <v>74</v>
      </c>
      <c r="R8" s="8">
        <f>IFERROR(INDEX(January!$AK:$AK,MATCH($A8,January!$A:$A,0)),0)+IFERROR(INDEX(February!$AH:$AH,MATCH($A8,February!$A:$A,0)),0)+IFERROR(INDEX(March!$AK:$AK,MATCH($A8,March!$A:$A,0)),0)+IFERROR(INDEX(April!$AJ:$AJ,MATCH($A8,April!$A:$A,0)),0)+IFERROR(INDEX(May!$AK:$AK,MATCH($A8,May!$A:$A,0)),0)+IFERROR(INDEX(June!$AJ:$AJ,MATCH($A8,June!$A:$A,0)),0)+IFERROR(INDEX(July!$AK:$AK,MATCH($A8,July!$A:$A,0)),0)+IFERROR(INDEX(August!$AK:$AK,MATCH($A8,August!$A:$A,0)),0)+IFERROR(INDEX(September!$AJ:$AJ,MATCH($A8,September!$A:$A,0)),0)+IFERROR(INDEX(October!$AK:$AK,MATCH($A8,October!$A:$A,0)),0)+IFERROR(INDEX(November!$AJ:$AJ,MATCH($A8,November!$A:$A,0)),0)+IFERROR(INDEX(December!$AK:$AK,MATCH($A8,December!$A:$A,0)),0)</f>
        <v>24</v>
      </c>
      <c r="S8" s="35">
        <f t="shared" ref="S7:S20" si="4">IF((P8+Q8)=0,"",P8/(P8+Q8))</f>
        <v>0.71647509578544066</v>
      </c>
      <c r="T8" s="38"/>
      <c r="U8" s="51">
        <f>IFERROR(INDEX(January!$AQ:$AQ,MATCH($A8,January!$A:$A,0)),0)+IFERROR(INDEX(February!$AN:$AN,MATCH($A8,February!$A:$A,0)),0)+IFERROR(INDEX(March!$AQ:$AQ,MATCH($A8,March!$A:$A,0)),0)+IFERROR(INDEX(April!$AP:$AP,MATCH($A8,April!$A:$A,0)),0)+IFERROR(INDEX(May!$AQ:$AQ,MATCH($A8,May!$A:$A,0)),0)+IFERROR(INDEX(June!$AP:$AP,MATCH($A8,June!$A:$A,0)),0)+IFERROR(INDEX(July!$AQ:$AQ,MATCH($A8,July!$A:$A,0)),0)+IFERROR(INDEX(August!$AQ:$AQ,MATCH($A8,August!$A:$A,0)),0)+IFERROR(INDEX(September!$AP:$AP,MATCH($A8,September!$A:$A,0)),0)+IFERROR(INDEX(October!$AQ:$AQ,MATCH($A8,October!$A:$A,0)),0)+IFERROR(INDEX(November!$AP:$AP,MATCH($A8,November!$A:$A,0)),0)+IFERROR(INDEX(December!$AQ:$AQ,MATCH($A8,December!$A:$A,0)),0)</f>
        <v>218</v>
      </c>
      <c r="V8" s="52">
        <f>IFERROR(INDEX(January!$AJ:$AJ,MATCH($A8,January!$A:$A,0)),0)+IFERROR(INDEX(February!$AG:$AG,MATCH($A8,February!$A:$A,0)),0)+IFERROR(INDEX(March!$AJ:$AJ,MATCH($A8,March!$A:$A,0)),0)+IFERROR(INDEX(April!$AI:$AI,MATCH($A8,April!$A:$A,0)),0)+IFERROR(INDEX(May!$AJ:$AJ,MATCH($A8,May!$A:$A,0)),0)+IFERROR(INDEX(June!$AI:$AI,MATCH($A8,June!$A:$A,0)),0)+IFERROR(INDEX(July!$AJ:$AJ,MATCH($A8,July!$A:$A,0)),0)+IFERROR(INDEX(August!$AJ:$AJ,MATCH($A8,August!$A:$A,0)),0)+IFERROR(INDEX(September!$AI:$AI,MATCH($A8,September!$A:$A,0)),0)+IFERROR(INDEX(October!$AJ:$AJ,MATCH($A8,October!$A:$A,0)),0)+IFERROR(INDEX(November!$AI:$AI,MATCH($A8,November!$A:$A,0)),0)+IFERROR(INDEX(December!$AJ:$AJ,MATCH($A8,December!$A:$A,0)),0)</f>
        <v>74</v>
      </c>
      <c r="W8" s="53">
        <f>IFERROR(INDEX(January!$AO:$AO,MATCH($A8,January!$A:$A,0)),0)+IFERROR(INDEX(February!$AL:$AL,MATCH($A8,February!$A:$A,0)),0)+IFERROR(INDEX(March!$AO:$AO,MATCH($A8,March!$A:$A,0)),0)+IFERROR(INDEX(April!$AN:$AN,MATCH($A8,April!$A:$A,0)),0)+IFERROR(INDEX(May!$AO:$AO,MATCH($A8,May!$A:$A,0)),0)+IFERROR(INDEX(June!$AN:$AN,MATCH($A8,June!$A:$A,0)),0)+IFERROR(INDEX(July!$AO:$AO,MATCH($A8,July!$A:$A,0)),0)+IFERROR(INDEX(August!$AO:$AO,MATCH($A8,August!$A:$A,0)),0)+IFERROR(INDEX(September!$AN:$AN,MATCH($A8,September!$A:$A,0)),0)+IFERROR(INDEX(October!$AO:$AO,MATCH($A8,October!$A:$A,0)),0)+IFERROR(INDEX(November!$AN:$AN,MATCH($A8,November!$A:$A,0)),0)+IFERROR(INDEX(December!$AO:$AO,MATCH($A8,December!$A:$A,0)),0)</f>
        <v>10</v>
      </c>
      <c r="X8" s="53">
        <f t="shared" si="0"/>
        <v>5</v>
      </c>
      <c r="Y8" s="53">
        <f>(IFERROR(INDEX(January!$AL:$AL,MATCH($A8,January!$A:$A,0)),0)+IFERROR(INDEX(February!$AI:$AI,MATCH($A8,February!$A:$A,0)),0)+IFERROR(INDEX(March!$AL:$AL,MATCH($A8,March!$A:$A,0)),0)+IFERROR(INDEX(April!$AK:$AK,MATCH($A8,April!$A:$A,0)),0)+IFERROR(INDEX(May!$AL:$AL,MATCH($A8,May!$A:$A,0)),0)+IFERROR(INDEX(June!$AK:$AK,MATCH($A8,June!$A:$A,0)),0)+IFERROR(INDEX(July!$AL:$AL,MATCH($A8,July!$A:$A,0)),0)+IFERROR(INDEX(August!$AL:$AL,MATCH($A8,August!$A:$A,0)),0)+IFERROR(INDEX(September!$AK:$AK,MATCH($A8,September!$A:$A,0)),0)+IFERROR(INDEX(October!$AL:$AL,MATCH($A8,October!$A:$A,0)),0)+IFERROR(INDEX(November!$AK:$AK,MATCH($A8,November!$A:$A,0)),0)+IFERROR(INDEX(December!$AL:$AL,MATCH($A8,December!$A:$A,0)),0))*0.5</f>
        <v>12</v>
      </c>
      <c r="Z8" s="54">
        <f>IFERROR(INDEX(January!$AK:$AK,MATCH($A8,January!$A:$A,0)),0)+IFERROR(INDEX(February!$AH:$AH,MATCH($A8,February!$A:$A,0)),0)+IFERROR(INDEX(March!$AK:$AK,MATCH($A8,March!$A:$A,0)),0)+IFERROR(INDEX(April!$AJ:$AJ,MATCH($A8,April!$A:$A,0)),0)+IFERROR(INDEX(May!$AK:$AK,MATCH($A8,May!$A:$A,0)),0)+IFERROR(INDEX(June!$AJ:$AJ,MATCH($A8,June!$A:$A,0)),0)+IFERROR(INDEX(July!$AK:$AK,MATCH($A8,July!$A:$A,0)),0)+IFERROR(INDEX(August!$AK:$AK,MATCH($A8,August!$A:$A,0)),0)+IFERROR(INDEX(September!$AJ:$AJ,MATCH($A8,September!$A:$A,0)),0)+IFERROR(INDEX(October!$AK:$AK,MATCH($A8,October!$A:$A,0)),0)+IFERROR(INDEX(November!$AJ:$AJ,MATCH($A8,November!$A:$A,0)),0)+IFERROR(INDEX(December!$AK:$AK,MATCH($A8,December!$A:$A,0)),0)</f>
        <v>24</v>
      </c>
      <c r="AA8" s="51">
        <f t="shared" si="1"/>
        <v>36</v>
      </c>
      <c r="AB8" s="55">
        <v>17</v>
      </c>
      <c r="AC8" s="56">
        <f t="shared" si="2"/>
        <v>53</v>
      </c>
      <c r="AD8" s="57"/>
      <c r="AE8" s="58">
        <f t="shared" si="3"/>
        <v>53</v>
      </c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</row>
    <row r="9" spans="1:49" ht="22" customHeight="1" x14ac:dyDescent="0.35">
      <c r="A9" s="8" t="s">
        <v>48</v>
      </c>
      <c r="B9" s="8" t="s">
        <v>49</v>
      </c>
      <c r="C9" s="8" t="s">
        <v>45</v>
      </c>
      <c r="D9" s="11">
        <v>10</v>
      </c>
      <c r="E9" s="10">
        <v>20</v>
      </c>
      <c r="F9" s="10">
        <v>24</v>
      </c>
      <c r="G9" s="11">
        <v>3</v>
      </c>
      <c r="H9" s="11">
        <v>15</v>
      </c>
      <c r="I9" s="10">
        <v>22</v>
      </c>
      <c r="J9" s="10">
        <v>22</v>
      </c>
      <c r="K9" s="10">
        <v>22</v>
      </c>
      <c r="L9" s="10">
        <v>26</v>
      </c>
      <c r="M9" s="10">
        <v>20</v>
      </c>
      <c r="N9" s="11">
        <v>18</v>
      </c>
      <c r="O9" s="11">
        <v>18</v>
      </c>
      <c r="P9" s="8">
        <f>IFERROR(INDEX(January!$AI:$AI,MATCH($A9,January!$A:$A,0)),0)+IFERROR(INDEX(February!$AF:$AF,MATCH($A9,February!$A:$A,0)),0)+IFERROR(INDEX(March!$AI:$AI,MATCH($A9,March!$A:$A,0)),0)+IFERROR(INDEX(April!$AH:$AH,MATCH($A9,April!$A:$A,0)),0)+IFERROR(INDEX(May!$AI:$AI,MATCH($A9,May!$A:$A,0)),0)+IFERROR(INDEX(June!$AH:$AH,MATCH($A9,June!$A:$A,0)),0)+IFERROR(INDEX(July!$AI:$AI,MATCH($A9,July!$A:$A,0)),0)+IFERROR(INDEX(August!$AI:$AI,MATCH($A9,August!$A:$A,0)),0)+IFERROR(INDEX(September!$AH:$AH,MATCH($A9,September!$A:$A,0)),0)+IFERROR(INDEX(October!$AI:$AI,MATCH($A9,October!$A:$A,0)),0)+IFERROR(INDEX(November!$AH:$AH,MATCH($A9,November!$A:$A,0)),0)+IFERROR(INDEX(December!$AI:$AI,MATCH($A9,December!$A:$A,0)),0)</f>
        <v>188</v>
      </c>
      <c r="Q9" s="8">
        <f>IFERROR(INDEX(January!$AJ:$AJ,MATCH($A9,January!$A:$A,0)),0)+IFERROR(INDEX(February!$AG:$AG,MATCH($A9,February!$A:$A,0)),0)+IFERROR(INDEX(March!$AJ:$AJ,MATCH($A9,March!$A:$A,0)),0)+IFERROR(INDEX(April!$AI:$AI,MATCH($A9,April!$A:$A,0)),0)+IFERROR(INDEX(May!$AJ:$AJ,MATCH($A9,May!$A:$A,0)),0)+IFERROR(INDEX(June!$AI:$AI,MATCH($A9,June!$A:$A,0)),0)+IFERROR(INDEX(July!$AJ:$AJ,MATCH($A9,July!$A:$A,0)),0)+IFERROR(INDEX(August!$AJ:$AJ,MATCH($A9,August!$A:$A,0)),0)+IFERROR(INDEX(September!$AI:$AI,MATCH($A9,September!$A:$A,0)),0)+IFERROR(INDEX(October!$AJ:$AJ,MATCH($A9,October!$A:$A,0)),0)+IFERROR(INDEX(November!$AI:$AI,MATCH($A9,November!$A:$A,0)),0)+IFERROR(INDEX(December!$AJ:$AJ,MATCH($A9,December!$A:$A,0)),0)</f>
        <v>73</v>
      </c>
      <c r="R9" s="8">
        <f>IFERROR(INDEX(January!$AK:$AK,MATCH($A9,January!$A:$A,0)),0)+IFERROR(INDEX(February!$AH:$AH,MATCH($A9,February!$A:$A,0)),0)+IFERROR(INDEX(March!$AK:$AK,MATCH($A9,March!$A:$A,0)),0)+IFERROR(INDEX(April!$AJ:$AJ,MATCH($A9,April!$A:$A,0)),0)+IFERROR(INDEX(May!$AK:$AK,MATCH($A9,May!$A:$A,0)),0)+IFERROR(INDEX(June!$AJ:$AJ,MATCH($A9,June!$A:$A,0)),0)+IFERROR(INDEX(July!$AK:$AK,MATCH($A9,July!$A:$A,0)),0)+IFERROR(INDEX(August!$AK:$AK,MATCH($A9,August!$A:$A,0)),0)+IFERROR(INDEX(September!$AJ:$AJ,MATCH($A9,September!$A:$A,0)),0)+IFERROR(INDEX(October!$AK:$AK,MATCH($A9,October!$A:$A,0)),0)+IFERROR(INDEX(November!$AJ:$AJ,MATCH($A9,November!$A:$A,0)),0)+IFERROR(INDEX(December!$AK:$AK,MATCH($A9,December!$A:$A,0)),0)</f>
        <v>16</v>
      </c>
      <c r="S9" s="36">
        <f t="shared" si="4"/>
        <v>0.72030651340996166</v>
      </c>
      <c r="T9" s="38"/>
      <c r="U9" s="51">
        <f>IFERROR(INDEX(January!$AQ:$AQ,MATCH($A9,January!$A:$A,0)),0)+IFERROR(INDEX(February!$AN:$AN,MATCH($A9,February!$A:$A,0)),0)+IFERROR(INDEX(March!$AQ:$AQ,MATCH($A9,March!$A:$A,0)),0)+IFERROR(INDEX(April!$AP:$AP,MATCH($A9,April!$A:$A,0)),0)+IFERROR(INDEX(May!$AQ:$AQ,MATCH($A9,May!$A:$A,0)),0)+IFERROR(INDEX(June!$AP:$AP,MATCH($A9,June!$A:$A,0)),0)+IFERROR(INDEX(July!$AQ:$AQ,MATCH($A9,July!$A:$A,0)),0)+IFERROR(INDEX(August!$AQ:$AQ,MATCH($A9,August!$A:$A,0)),0)+IFERROR(INDEX(September!$AP:$AP,MATCH($A9,September!$A:$A,0)),0)+IFERROR(INDEX(October!$AQ:$AQ,MATCH($A9,October!$A:$A,0)),0)+IFERROR(INDEX(November!$AP:$AP,MATCH($A9,November!$A:$A,0)),0)+IFERROR(INDEX(December!$AQ:$AQ,MATCH($A9,December!$A:$A,0)),0)</f>
        <v>203.5</v>
      </c>
      <c r="V9" s="52">
        <f>IFERROR(INDEX(January!$AJ:$AJ,MATCH($A9,January!$A:$A,0)),0)+IFERROR(INDEX(February!$AG:$AG,MATCH($A9,February!$A:$A,0)),0)+IFERROR(INDEX(March!$AJ:$AJ,MATCH($A9,March!$A:$A,0)),0)+IFERROR(INDEX(April!$AI:$AI,MATCH($A9,April!$A:$A,0)),0)+IFERROR(INDEX(May!$AJ:$AJ,MATCH($A9,May!$A:$A,0)),0)+IFERROR(INDEX(June!$AI:$AI,MATCH($A9,June!$A:$A,0)),0)+IFERROR(INDEX(July!$AJ:$AJ,MATCH($A9,July!$A:$A,0)),0)+IFERROR(INDEX(August!$AJ:$AJ,MATCH($A9,August!$A:$A,0)),0)+IFERROR(INDEX(September!$AI:$AI,MATCH($A9,September!$A:$A,0)),0)+IFERROR(INDEX(October!$AJ:$AJ,MATCH($A9,October!$A:$A,0)),0)+IFERROR(INDEX(November!$AI:$AI,MATCH($A9,November!$A:$A,0)),0)+IFERROR(INDEX(December!$AJ:$AJ,MATCH($A9,December!$A:$A,0)),0)</f>
        <v>73</v>
      </c>
      <c r="W9" s="53">
        <f>IFERROR(INDEX(January!$AO:$AO,MATCH($A9,January!$A:$A,0)),0)+IFERROR(INDEX(February!$AL:$AL,MATCH($A9,February!$A:$A,0)),0)+IFERROR(INDEX(March!$AO:$AO,MATCH($A9,March!$A:$A,0)),0)+IFERROR(INDEX(April!$AN:$AN,MATCH($A9,April!$A:$A,0)),0)+IFERROR(INDEX(May!$AO:$AO,MATCH($A9,May!$A:$A,0)),0)+IFERROR(INDEX(June!$AN:$AN,MATCH($A9,June!$A:$A,0)),0)+IFERROR(INDEX(July!$AO:$AO,MATCH($A9,July!$A:$A,0)),0)+IFERROR(INDEX(August!$AO:$AO,MATCH($A9,August!$A:$A,0)),0)+IFERROR(INDEX(September!$AN:$AN,MATCH($A9,September!$A:$A,0)),0)+IFERROR(INDEX(October!$AO:$AO,MATCH($A9,October!$A:$A,0)),0)+IFERROR(INDEX(November!$AN:$AN,MATCH($A9,November!$A:$A,0)),0)+IFERROR(INDEX(December!$AO:$AO,MATCH($A9,December!$A:$A,0)),0)</f>
        <v>17</v>
      </c>
      <c r="X9" s="53">
        <f t="shared" si="0"/>
        <v>8.5</v>
      </c>
      <c r="Y9" s="53">
        <f>(IFERROR(INDEX(January!$AL:$AL,MATCH($A9,January!$A:$A,0)),0)+IFERROR(INDEX(February!$AI:$AI,MATCH($A9,February!$A:$A,0)),0)+IFERROR(INDEX(March!$AL:$AL,MATCH($A9,March!$A:$A,0)),0)+IFERROR(INDEX(April!$AK:$AK,MATCH($A9,April!$A:$A,0)),0)+IFERROR(INDEX(May!$AL:$AL,MATCH($A9,May!$A:$A,0)),0)+IFERROR(INDEX(June!$AK:$AK,MATCH($A9,June!$A:$A,0)),0)+IFERROR(INDEX(July!$AL:$AL,MATCH($A9,July!$A:$A,0)),0)+IFERROR(INDEX(August!$AL:$AL,MATCH($A9,August!$A:$A,0)),0)+IFERROR(INDEX(September!$AK:$AK,MATCH($A9,September!$A:$A,0)),0)+IFERROR(INDEX(October!$AL:$AL,MATCH($A9,October!$A:$A,0)),0)+IFERROR(INDEX(November!$AK:$AK,MATCH($A9,November!$A:$A,0)),0)+IFERROR(INDEX(December!$AL:$AL,MATCH($A9,December!$A:$A,0)),0))*0.5</f>
        <v>8</v>
      </c>
      <c r="Z9" s="54">
        <f>IFERROR(INDEX(January!$AK:$AK,MATCH($A9,January!$A:$A,0)),0)+IFERROR(INDEX(February!$AH:$AH,MATCH($A9,February!$A:$A,0)),0)+IFERROR(INDEX(March!$AK:$AK,MATCH($A9,March!$A:$A,0)),0)+IFERROR(INDEX(April!$AJ:$AJ,MATCH($A9,April!$A:$A,0)),0)+IFERROR(INDEX(May!$AK:$AK,MATCH($A9,May!$A:$A,0)),0)+IFERROR(INDEX(June!$AJ:$AJ,MATCH($A9,June!$A:$A,0)),0)+IFERROR(INDEX(July!$AK:$AK,MATCH($A9,July!$A:$A,0)),0)+IFERROR(INDEX(August!$AK:$AK,MATCH($A9,August!$A:$A,0)),0)+IFERROR(INDEX(September!$AJ:$AJ,MATCH($A9,September!$A:$A,0)),0)+IFERROR(INDEX(October!$AK:$AK,MATCH($A9,October!$A:$A,0)),0)+IFERROR(INDEX(November!$AJ:$AJ,MATCH($A9,November!$A:$A,0)),0)+IFERROR(INDEX(December!$AK:$AK,MATCH($A9,December!$A:$A,0)),0)</f>
        <v>16</v>
      </c>
      <c r="AA9" s="51">
        <f t="shared" si="1"/>
        <v>24</v>
      </c>
      <c r="AB9" s="55">
        <v>17</v>
      </c>
      <c r="AC9" s="56">
        <f t="shared" si="2"/>
        <v>41</v>
      </c>
      <c r="AD9" s="57"/>
      <c r="AE9" s="58">
        <f t="shared" si="3"/>
        <v>41</v>
      </c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</row>
    <row r="10" spans="1:49" ht="22" customHeight="1" x14ac:dyDescent="0.35">
      <c r="A10" s="8" t="s">
        <v>50</v>
      </c>
      <c r="B10" s="8" t="s">
        <v>51</v>
      </c>
      <c r="C10" s="8" t="s">
        <v>45</v>
      </c>
      <c r="D10" s="10">
        <v>22</v>
      </c>
      <c r="E10" s="10">
        <v>22</v>
      </c>
      <c r="F10" s="11">
        <v>14</v>
      </c>
      <c r="G10" s="11">
        <v>15</v>
      </c>
      <c r="H10" s="10">
        <v>22</v>
      </c>
      <c r="I10" s="10">
        <v>23</v>
      </c>
      <c r="J10" s="10">
        <v>25</v>
      </c>
      <c r="K10" s="11">
        <v>19</v>
      </c>
      <c r="L10" s="10">
        <v>25</v>
      </c>
      <c r="M10" s="10">
        <v>27</v>
      </c>
      <c r="N10" s="11">
        <v>10</v>
      </c>
      <c r="O10" s="11">
        <v>5</v>
      </c>
      <c r="P10" s="8">
        <f>IFERROR(INDEX(January!$AI:$AI,MATCH($A10,January!$A:$A,0)),0)+IFERROR(INDEX(February!$AF:$AF,MATCH($A10,February!$A:$A,0)),0)+IFERROR(INDEX(March!$AI:$AI,MATCH($A10,March!$A:$A,0)),0)+IFERROR(INDEX(April!$AH:$AH,MATCH($A10,April!$A:$A,0)),0)+IFERROR(INDEX(May!$AI:$AI,MATCH($A10,May!$A:$A,0)),0)+IFERROR(INDEX(June!$AH:$AH,MATCH($A10,June!$A:$A,0)),0)+IFERROR(INDEX(July!$AI:$AI,MATCH($A10,July!$A:$A,0)),0)+IFERROR(INDEX(August!$AI:$AI,MATCH($A10,August!$A:$A,0)),0)+IFERROR(INDEX(September!$AH:$AH,MATCH($A10,September!$A:$A,0)),0)+IFERROR(INDEX(October!$AI:$AI,MATCH($A10,October!$A:$A,0)),0)+IFERROR(INDEX(November!$AH:$AH,MATCH($A10,November!$A:$A,0)),0)+IFERROR(INDEX(December!$AI:$AI,MATCH($A10,December!$A:$A,0)),0)</f>
        <v>185</v>
      </c>
      <c r="Q10" s="8">
        <f>IFERROR(INDEX(January!$AJ:$AJ,MATCH($A10,January!$A:$A,0)),0)+IFERROR(INDEX(February!$AG:$AG,MATCH($A10,February!$A:$A,0)),0)+IFERROR(INDEX(March!$AJ:$AJ,MATCH($A10,March!$A:$A,0)),0)+IFERROR(INDEX(April!$AI:$AI,MATCH($A10,April!$A:$A,0)),0)+IFERROR(INDEX(May!$AJ:$AJ,MATCH($A10,May!$A:$A,0)),0)+IFERROR(INDEX(June!$AI:$AI,MATCH($A10,June!$A:$A,0)),0)+IFERROR(INDEX(July!$AJ:$AJ,MATCH($A10,July!$A:$A,0)),0)+IFERROR(INDEX(August!$AJ:$AJ,MATCH($A10,August!$A:$A,0)),0)+IFERROR(INDEX(September!$AI:$AI,MATCH($A10,September!$A:$A,0)),0)+IFERROR(INDEX(October!$AJ:$AJ,MATCH($A10,October!$A:$A,0)),0)+IFERROR(INDEX(November!$AI:$AI,MATCH($A10,November!$A:$A,0)),0)+IFERROR(INDEX(December!$AJ:$AJ,MATCH($A10,December!$A:$A,0)),0)</f>
        <v>76</v>
      </c>
      <c r="R10" s="8">
        <f>IFERROR(INDEX(January!$AK:$AK,MATCH($A10,January!$A:$A,0)),0)+IFERROR(INDEX(February!$AH:$AH,MATCH($A10,February!$A:$A,0)),0)+IFERROR(INDEX(March!$AK:$AK,MATCH($A10,March!$A:$A,0)),0)+IFERROR(INDEX(April!$AJ:$AJ,MATCH($A10,April!$A:$A,0)),0)+IFERROR(INDEX(May!$AK:$AK,MATCH($A10,May!$A:$A,0)),0)+IFERROR(INDEX(June!$AJ:$AJ,MATCH($A10,June!$A:$A,0)),0)+IFERROR(INDEX(July!$AK:$AK,MATCH($A10,July!$A:$A,0)),0)+IFERROR(INDEX(August!$AK:$AK,MATCH($A10,August!$A:$A,0)),0)+IFERROR(INDEX(September!$AJ:$AJ,MATCH($A10,September!$A:$A,0)),0)+IFERROR(INDEX(October!$AK:$AK,MATCH($A10,October!$A:$A,0)),0)+IFERROR(INDEX(November!$AJ:$AJ,MATCH($A10,November!$A:$A,0)),0)+IFERROR(INDEX(December!$AK:$AK,MATCH($A10,December!$A:$A,0)),0)</f>
        <v>21</v>
      </c>
      <c r="S10" s="36">
        <f t="shared" si="4"/>
        <v>0.70881226053639845</v>
      </c>
      <c r="T10" s="38"/>
      <c r="U10" s="51">
        <f>IFERROR(INDEX(January!$AQ:$AQ,MATCH($A10,January!$A:$A,0)),0)+IFERROR(INDEX(February!$AN:$AN,MATCH($A10,February!$A:$A,0)),0)+IFERROR(INDEX(March!$AQ:$AQ,MATCH($A10,March!$A:$A,0)),0)+IFERROR(INDEX(April!$AP:$AP,MATCH($A10,April!$A:$A,0)),0)+IFERROR(INDEX(May!$AQ:$AQ,MATCH($A10,May!$A:$A,0)),0)+IFERROR(INDEX(June!$AP:$AP,MATCH($A10,June!$A:$A,0)),0)+IFERROR(INDEX(July!$AQ:$AQ,MATCH($A10,July!$A:$A,0)),0)+IFERROR(INDEX(August!$AQ:$AQ,MATCH($A10,August!$A:$A,0)),0)+IFERROR(INDEX(September!$AP:$AP,MATCH($A10,September!$A:$A,0)),0)+IFERROR(INDEX(October!$AQ:$AQ,MATCH($A10,October!$A:$A,0)),0)+IFERROR(INDEX(November!$AP:$AP,MATCH($A10,November!$A:$A,0)),0)+IFERROR(INDEX(December!$AQ:$AQ,MATCH($A10,December!$A:$A,0)),0)</f>
        <v>210.5</v>
      </c>
      <c r="V10" s="52">
        <f>IFERROR(INDEX(January!$AJ:$AJ,MATCH($A10,January!$A:$A,0)),0)+IFERROR(INDEX(February!$AG:$AG,MATCH($A10,February!$A:$A,0)),0)+IFERROR(INDEX(March!$AJ:$AJ,MATCH($A10,March!$A:$A,0)),0)+IFERROR(INDEX(April!$AI:$AI,MATCH($A10,April!$A:$A,0)),0)+IFERROR(INDEX(May!$AJ:$AJ,MATCH($A10,May!$A:$A,0)),0)+IFERROR(INDEX(June!$AI:$AI,MATCH($A10,June!$A:$A,0)),0)+IFERROR(INDEX(July!$AJ:$AJ,MATCH($A10,July!$A:$A,0)),0)+IFERROR(INDEX(August!$AJ:$AJ,MATCH($A10,August!$A:$A,0)),0)+IFERROR(INDEX(September!$AI:$AI,MATCH($A10,September!$A:$A,0)),0)+IFERROR(INDEX(October!$AJ:$AJ,MATCH($A10,October!$A:$A,0)),0)+IFERROR(INDEX(November!$AI:$AI,MATCH($A10,November!$A:$A,0)),0)+IFERROR(INDEX(December!$AJ:$AJ,MATCH($A10,December!$A:$A,0)),0)</f>
        <v>76</v>
      </c>
      <c r="W10" s="53">
        <f>IFERROR(INDEX(January!$AO:$AO,MATCH($A10,January!$A:$A,0)),0)+IFERROR(INDEX(February!$AL:$AL,MATCH($A10,February!$A:$A,0)),0)+IFERROR(INDEX(March!$AO:$AO,MATCH($A10,March!$A:$A,0)),0)+IFERROR(INDEX(April!$AN:$AN,MATCH($A10,April!$A:$A,0)),0)+IFERROR(INDEX(May!$AO:$AO,MATCH($A10,May!$A:$A,0)),0)+IFERROR(INDEX(June!$AN:$AN,MATCH($A10,June!$A:$A,0)),0)+IFERROR(INDEX(July!$AO:$AO,MATCH($A10,July!$A:$A,0)),0)+IFERROR(INDEX(August!$AO:$AO,MATCH($A10,August!$A:$A,0)),0)+IFERROR(INDEX(September!$AN:$AN,MATCH($A10,September!$A:$A,0)),0)+IFERROR(INDEX(October!$AO:$AO,MATCH($A10,October!$A:$A,0)),0)+IFERROR(INDEX(November!$AN:$AN,MATCH($A10,November!$A:$A,0)),0)+IFERROR(INDEX(December!$AO:$AO,MATCH($A10,December!$A:$A,0)),0)</f>
        <v>14</v>
      </c>
      <c r="X10" s="53">
        <f t="shared" si="0"/>
        <v>7</v>
      </c>
      <c r="Y10" s="53">
        <f>(IFERROR(INDEX(January!$AL:$AL,MATCH($A10,January!$A:$A,0)),0)+IFERROR(INDEX(February!$AI:$AI,MATCH($A10,February!$A:$A,0)),0)+IFERROR(INDEX(March!$AL:$AL,MATCH($A10,March!$A:$A,0)),0)+IFERROR(INDEX(April!$AK:$AK,MATCH($A10,April!$A:$A,0)),0)+IFERROR(INDEX(May!$AL:$AL,MATCH($A10,May!$A:$A,0)),0)+IFERROR(INDEX(June!$AK:$AK,MATCH($A10,June!$A:$A,0)),0)+IFERROR(INDEX(July!$AL:$AL,MATCH($A10,July!$A:$A,0)),0)+IFERROR(INDEX(August!$AL:$AL,MATCH($A10,August!$A:$A,0)),0)+IFERROR(INDEX(September!$AK:$AK,MATCH($A10,September!$A:$A,0)),0)+IFERROR(INDEX(October!$AL:$AL,MATCH($A10,October!$A:$A,0)),0)+IFERROR(INDEX(November!$AK:$AK,MATCH($A10,November!$A:$A,0)),0)+IFERROR(INDEX(December!$AL:$AL,MATCH($A10,December!$A:$A,0)),0))*0.5</f>
        <v>11.5</v>
      </c>
      <c r="Z10" s="54">
        <f>IFERROR(INDEX(January!$AK:$AK,MATCH($A10,January!$A:$A,0)),0)+IFERROR(INDEX(February!$AH:$AH,MATCH($A10,February!$A:$A,0)),0)+IFERROR(INDEX(March!$AK:$AK,MATCH($A10,March!$A:$A,0)),0)+IFERROR(INDEX(April!$AJ:$AJ,MATCH($A10,April!$A:$A,0)),0)+IFERROR(INDEX(May!$AK:$AK,MATCH($A10,May!$A:$A,0)),0)+IFERROR(INDEX(June!$AJ:$AJ,MATCH($A10,June!$A:$A,0)),0)+IFERROR(INDEX(July!$AK:$AK,MATCH($A10,July!$A:$A,0)),0)+IFERROR(INDEX(August!$AK:$AK,MATCH($A10,August!$A:$A,0)),0)+IFERROR(INDEX(September!$AJ:$AJ,MATCH($A10,September!$A:$A,0)),0)+IFERROR(INDEX(October!$AK:$AK,MATCH($A10,October!$A:$A,0)),0)+IFERROR(INDEX(November!$AJ:$AJ,MATCH($A10,November!$A:$A,0)),0)+IFERROR(INDEX(December!$AK:$AK,MATCH($A10,December!$A:$A,0)),0)</f>
        <v>21</v>
      </c>
      <c r="AA10" s="51">
        <f t="shared" si="1"/>
        <v>32.5</v>
      </c>
      <c r="AB10" s="55">
        <v>17</v>
      </c>
      <c r="AC10" s="56">
        <f t="shared" si="2"/>
        <v>49.5</v>
      </c>
      <c r="AD10" s="57"/>
      <c r="AE10" s="58">
        <f t="shared" si="3"/>
        <v>49.5</v>
      </c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</row>
    <row r="11" spans="1:49" ht="22" customHeight="1" x14ac:dyDescent="0.35">
      <c r="A11" s="8" t="s">
        <v>52</v>
      </c>
      <c r="B11" s="8" t="s">
        <v>53</v>
      </c>
      <c r="C11" s="8" t="s">
        <v>45</v>
      </c>
      <c r="D11" s="10">
        <v>24</v>
      </c>
      <c r="E11" s="10">
        <v>21</v>
      </c>
      <c r="F11" s="10">
        <v>25</v>
      </c>
      <c r="G11" s="10">
        <v>26</v>
      </c>
      <c r="H11" s="11">
        <v>4</v>
      </c>
      <c r="I11" s="10">
        <v>22</v>
      </c>
      <c r="J11" s="10">
        <v>25</v>
      </c>
      <c r="K11" s="10">
        <v>27</v>
      </c>
      <c r="L11" s="10">
        <v>28</v>
      </c>
      <c r="M11" s="11">
        <v>12</v>
      </c>
      <c r="N11" s="10">
        <v>21</v>
      </c>
      <c r="O11" s="11">
        <v>5</v>
      </c>
      <c r="P11" s="8">
        <f>IFERROR(INDEX(January!$AI:$AI,MATCH($A11,January!$A:$A,0)),0)+IFERROR(INDEX(February!$AF:$AF,MATCH($A11,February!$A:$A,0)),0)+IFERROR(INDEX(March!$AI:$AI,MATCH($A11,March!$A:$A,0)),0)+IFERROR(INDEX(April!$AH:$AH,MATCH($A11,April!$A:$A,0)),0)+IFERROR(INDEX(May!$AI:$AI,MATCH($A11,May!$A:$A,0)),0)+IFERROR(INDEX(June!$AH:$AH,MATCH($A11,June!$A:$A,0)),0)+IFERROR(INDEX(July!$AI:$AI,MATCH($A11,July!$A:$A,0)),0)+IFERROR(INDEX(August!$AI:$AI,MATCH($A11,August!$A:$A,0)),0)+IFERROR(INDEX(September!$AH:$AH,MATCH($A11,September!$A:$A,0)),0)+IFERROR(INDEX(October!$AI:$AI,MATCH($A11,October!$A:$A,0)),0)+IFERROR(INDEX(November!$AH:$AH,MATCH($A11,November!$A:$A,0)),0)+IFERROR(INDEX(December!$AI:$AI,MATCH($A11,December!$A:$A,0)),0)</f>
        <v>189</v>
      </c>
      <c r="Q11" s="8">
        <f>IFERROR(INDEX(January!$AJ:$AJ,MATCH($A11,January!$A:$A,0)),0)+IFERROR(INDEX(February!$AG:$AG,MATCH($A11,February!$A:$A,0)),0)+IFERROR(INDEX(March!$AJ:$AJ,MATCH($A11,March!$A:$A,0)),0)+IFERROR(INDEX(April!$AI:$AI,MATCH($A11,April!$A:$A,0)),0)+IFERROR(INDEX(May!$AJ:$AJ,MATCH($A11,May!$A:$A,0)),0)+IFERROR(INDEX(June!$AI:$AI,MATCH($A11,June!$A:$A,0)),0)+IFERROR(INDEX(July!$AJ:$AJ,MATCH($A11,July!$A:$A,0)),0)+IFERROR(INDEX(August!$AJ:$AJ,MATCH($A11,August!$A:$A,0)),0)+IFERROR(INDEX(September!$AI:$AI,MATCH($A11,September!$A:$A,0)),0)+IFERROR(INDEX(October!$AJ:$AJ,MATCH($A11,October!$A:$A,0)),0)+IFERROR(INDEX(November!$AI:$AI,MATCH($A11,November!$A:$A,0)),0)+IFERROR(INDEX(December!$AJ:$AJ,MATCH($A11,December!$A:$A,0)),0)</f>
        <v>72</v>
      </c>
      <c r="R11" s="8">
        <f>IFERROR(INDEX(January!$AK:$AK,MATCH($A11,January!$A:$A,0)),0)+IFERROR(INDEX(February!$AH:$AH,MATCH($A11,February!$A:$A,0)),0)+IFERROR(INDEX(March!$AK:$AK,MATCH($A11,March!$A:$A,0)),0)+IFERROR(INDEX(April!$AJ:$AJ,MATCH($A11,April!$A:$A,0)),0)+IFERROR(INDEX(May!$AK:$AK,MATCH($A11,May!$A:$A,0)),0)+IFERROR(INDEX(June!$AJ:$AJ,MATCH($A11,June!$A:$A,0)),0)+IFERROR(INDEX(July!$AK:$AK,MATCH($A11,July!$A:$A,0)),0)+IFERROR(INDEX(August!$AK:$AK,MATCH($A11,August!$A:$A,0)),0)+IFERROR(INDEX(September!$AJ:$AJ,MATCH($A11,September!$A:$A,0)),0)+IFERROR(INDEX(October!$AK:$AK,MATCH($A11,October!$A:$A,0)),0)+IFERROR(INDEX(November!$AJ:$AJ,MATCH($A11,November!$A:$A,0)),0)+IFERROR(INDEX(December!$AK:$AK,MATCH($A11,December!$A:$A,0)),0)</f>
        <v>25</v>
      </c>
      <c r="S11" s="35">
        <f t="shared" si="4"/>
        <v>0.72413793103448276</v>
      </c>
      <c r="T11" s="38"/>
      <c r="U11" s="51">
        <f>IFERROR(INDEX(January!$AQ:$AQ,MATCH($A11,January!$A:$A,0)),0)+IFERROR(INDEX(February!$AN:$AN,MATCH($A11,February!$A:$A,0)),0)+IFERROR(INDEX(March!$AQ:$AQ,MATCH($A11,March!$A:$A,0)),0)+IFERROR(INDEX(April!$AP:$AP,MATCH($A11,April!$A:$A,0)),0)+IFERROR(INDEX(May!$AQ:$AQ,MATCH($A11,May!$A:$A,0)),0)+IFERROR(INDEX(June!$AP:$AP,MATCH($A11,June!$A:$A,0)),0)+IFERROR(INDEX(July!$AQ:$AQ,MATCH($A11,July!$A:$A,0)),0)+IFERROR(INDEX(August!$AQ:$AQ,MATCH($A11,August!$A:$A,0)),0)+IFERROR(INDEX(September!$AP:$AP,MATCH($A11,September!$A:$A,0)),0)+IFERROR(INDEX(October!$AQ:$AQ,MATCH($A11,October!$A:$A,0)),0)+IFERROR(INDEX(November!$AP:$AP,MATCH($A11,November!$A:$A,0)),0)+IFERROR(INDEX(December!$AQ:$AQ,MATCH($A11,December!$A:$A,0)),0)</f>
        <v>221</v>
      </c>
      <c r="V11" s="52">
        <f>IFERROR(INDEX(January!$AJ:$AJ,MATCH($A11,January!$A:$A,0)),0)+IFERROR(INDEX(February!$AG:$AG,MATCH($A11,February!$A:$A,0)),0)+IFERROR(INDEX(March!$AJ:$AJ,MATCH($A11,March!$A:$A,0)),0)+IFERROR(INDEX(April!$AI:$AI,MATCH($A11,April!$A:$A,0)),0)+IFERROR(INDEX(May!$AJ:$AJ,MATCH($A11,May!$A:$A,0)),0)+IFERROR(INDEX(June!$AI:$AI,MATCH($A11,June!$A:$A,0)),0)+IFERROR(INDEX(July!$AJ:$AJ,MATCH($A11,July!$A:$A,0)),0)+IFERROR(INDEX(August!$AJ:$AJ,MATCH($A11,August!$A:$A,0)),0)+IFERROR(INDEX(September!$AI:$AI,MATCH($A11,September!$A:$A,0)),0)+IFERROR(INDEX(October!$AJ:$AJ,MATCH($A11,October!$A:$A,0)),0)+IFERROR(INDEX(November!$AI:$AI,MATCH($A11,November!$A:$A,0)),0)+IFERROR(INDEX(December!$AJ:$AJ,MATCH($A11,December!$A:$A,0)),0)</f>
        <v>72</v>
      </c>
      <c r="W11" s="53">
        <f>IFERROR(INDEX(January!$AO:$AO,MATCH($A11,January!$A:$A,0)),0)+IFERROR(INDEX(February!$AL:$AL,MATCH($A11,February!$A:$A,0)),0)+IFERROR(INDEX(March!$AO:$AO,MATCH($A11,March!$A:$A,0)),0)+IFERROR(INDEX(April!$AN:$AN,MATCH($A11,April!$A:$A,0)),0)+IFERROR(INDEX(May!$AO:$AO,MATCH($A11,May!$A:$A,0)),0)+IFERROR(INDEX(June!$AN:$AN,MATCH($A11,June!$A:$A,0)),0)+IFERROR(INDEX(July!$AO:$AO,MATCH($A11,July!$A:$A,0)),0)+IFERROR(INDEX(August!$AO:$AO,MATCH($A11,August!$A:$A,0)),0)+IFERROR(INDEX(September!$AN:$AN,MATCH($A11,September!$A:$A,0)),0)+IFERROR(INDEX(October!$AO:$AO,MATCH($A11,October!$A:$A,0)),0)+IFERROR(INDEX(November!$AN:$AN,MATCH($A11,November!$A:$A,0)),0)+IFERROR(INDEX(December!$AO:$AO,MATCH($A11,December!$A:$A,0)),0)</f>
        <v>12</v>
      </c>
      <c r="X11" s="53">
        <f t="shared" si="0"/>
        <v>6</v>
      </c>
      <c r="Y11" s="53">
        <f>(IFERROR(INDEX(January!$AL:$AL,MATCH($A11,January!$A:$A,0)),0)+IFERROR(INDEX(February!$AI:$AI,MATCH($A11,February!$A:$A,0)),0)+IFERROR(INDEX(March!$AL:$AL,MATCH($A11,March!$A:$A,0)),0)+IFERROR(INDEX(April!$AK:$AK,MATCH($A11,April!$A:$A,0)),0)+IFERROR(INDEX(May!$AL:$AL,MATCH($A11,May!$A:$A,0)),0)+IFERROR(INDEX(June!$AK:$AK,MATCH($A11,June!$A:$A,0)),0)+IFERROR(INDEX(July!$AL:$AL,MATCH($A11,July!$A:$A,0)),0)+IFERROR(INDEX(August!$AL:$AL,MATCH($A11,August!$A:$A,0)),0)+IFERROR(INDEX(September!$AK:$AK,MATCH($A11,September!$A:$A,0)),0)+IFERROR(INDEX(October!$AL:$AL,MATCH($A11,October!$A:$A,0)),0)+IFERROR(INDEX(November!$AK:$AK,MATCH($A11,November!$A:$A,0)),0)+IFERROR(INDEX(December!$AL:$AL,MATCH($A11,December!$A:$A,0)),0))*0.5</f>
        <v>13</v>
      </c>
      <c r="Z11" s="54">
        <f>IFERROR(INDEX(January!$AK:$AK,MATCH($A11,January!$A:$A,0)),0)+IFERROR(INDEX(February!$AH:$AH,MATCH($A11,February!$A:$A,0)),0)+IFERROR(INDEX(March!$AK:$AK,MATCH($A11,March!$A:$A,0)),0)+IFERROR(INDEX(April!$AJ:$AJ,MATCH($A11,April!$A:$A,0)),0)+IFERROR(INDEX(May!$AK:$AK,MATCH($A11,May!$A:$A,0)),0)+IFERROR(INDEX(June!$AJ:$AJ,MATCH($A11,June!$A:$A,0)),0)+IFERROR(INDEX(July!$AK:$AK,MATCH($A11,July!$A:$A,0)),0)+IFERROR(INDEX(August!$AK:$AK,MATCH($A11,August!$A:$A,0)),0)+IFERROR(INDEX(September!$AJ:$AJ,MATCH($A11,September!$A:$A,0)),0)+IFERROR(INDEX(October!$AK:$AK,MATCH($A11,October!$A:$A,0)),0)+IFERROR(INDEX(November!$AJ:$AJ,MATCH($A11,November!$A:$A,0)),0)+IFERROR(INDEX(December!$AK:$AK,MATCH($A11,December!$A:$A,0)),0)</f>
        <v>25</v>
      </c>
      <c r="AA11" s="51">
        <f t="shared" si="1"/>
        <v>38</v>
      </c>
      <c r="AB11" s="55">
        <v>17</v>
      </c>
      <c r="AC11" s="56">
        <f t="shared" si="2"/>
        <v>55</v>
      </c>
      <c r="AD11" s="57"/>
      <c r="AE11" s="58">
        <f t="shared" si="3"/>
        <v>55</v>
      </c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</row>
    <row r="12" spans="1:49" ht="22" customHeight="1" x14ac:dyDescent="0.35">
      <c r="A12" s="8" t="s">
        <v>54</v>
      </c>
      <c r="B12" s="8" t="s">
        <v>55</v>
      </c>
      <c r="C12" s="8" t="s">
        <v>45</v>
      </c>
      <c r="D12" s="10">
        <v>21</v>
      </c>
      <c r="E12" s="10">
        <v>21</v>
      </c>
      <c r="F12" s="10">
        <v>23</v>
      </c>
      <c r="G12" s="11">
        <v>15</v>
      </c>
      <c r="H12" s="11">
        <v>13</v>
      </c>
      <c r="I12" s="10">
        <v>21</v>
      </c>
      <c r="J12" s="10">
        <v>21</v>
      </c>
      <c r="K12" s="10">
        <v>22</v>
      </c>
      <c r="L12" s="10">
        <v>24</v>
      </c>
      <c r="M12" s="10">
        <v>24</v>
      </c>
      <c r="N12" s="10">
        <v>23</v>
      </c>
      <c r="O12" s="11">
        <v>15</v>
      </c>
      <c r="P12" s="8">
        <f>IFERROR(INDEX(January!$AI:$AI,MATCH($A12,January!$A:$A,0)),0)+IFERROR(INDEX(February!$AF:$AF,MATCH($A12,February!$A:$A,0)),0)+IFERROR(INDEX(March!$AI:$AI,MATCH($A12,March!$A:$A,0)),0)+IFERROR(INDEX(April!$AH:$AH,MATCH($A12,April!$A:$A,0)),0)+IFERROR(INDEX(May!$AI:$AI,MATCH($A12,May!$A:$A,0)),0)+IFERROR(INDEX(June!$AH:$AH,MATCH($A12,June!$A:$A,0)),0)+IFERROR(INDEX(July!$AI:$AI,MATCH($A12,July!$A:$A,0)),0)+IFERROR(INDEX(August!$AI:$AI,MATCH($A12,August!$A:$A,0)),0)+IFERROR(INDEX(September!$AH:$AH,MATCH($A12,September!$A:$A,0)),0)+IFERROR(INDEX(October!$AI:$AI,MATCH($A12,October!$A:$A,0)),0)+IFERROR(INDEX(November!$AH:$AH,MATCH($A12,November!$A:$A,0)),0)+IFERROR(INDEX(December!$AI:$AI,MATCH($A12,December!$A:$A,0)),0)</f>
        <v>218</v>
      </c>
      <c r="Q12" s="8">
        <f>IFERROR(INDEX(January!$AJ:$AJ,MATCH($A12,January!$A:$A,0)),0)+IFERROR(INDEX(February!$AG:$AG,MATCH($A12,February!$A:$A,0)),0)+IFERROR(INDEX(March!$AJ:$AJ,MATCH($A12,March!$A:$A,0)),0)+IFERROR(INDEX(April!$AI:$AI,MATCH($A12,April!$A:$A,0)),0)+IFERROR(INDEX(May!$AJ:$AJ,MATCH($A12,May!$A:$A,0)),0)+IFERROR(INDEX(June!$AI:$AI,MATCH($A12,June!$A:$A,0)),0)+IFERROR(INDEX(July!$AJ:$AJ,MATCH($A12,July!$A:$A,0)),0)+IFERROR(INDEX(August!$AJ:$AJ,MATCH($A12,August!$A:$A,0)),0)+IFERROR(INDEX(September!$AI:$AI,MATCH($A12,September!$A:$A,0)),0)+IFERROR(INDEX(October!$AJ:$AJ,MATCH($A12,October!$A:$A,0)),0)+IFERROR(INDEX(November!$AI:$AI,MATCH($A12,November!$A:$A,0)),0)+IFERROR(INDEX(December!$AJ:$AJ,MATCH($A12,December!$A:$A,0)),0)</f>
        <v>43</v>
      </c>
      <c r="R12" s="8">
        <f>IFERROR(INDEX(January!$AK:$AK,MATCH($A12,January!$A:$A,0)),0)+IFERROR(INDEX(February!$AH:$AH,MATCH($A12,February!$A:$A,0)),0)+IFERROR(INDEX(March!$AK:$AK,MATCH($A12,March!$A:$A,0)),0)+IFERROR(INDEX(April!$AJ:$AJ,MATCH($A12,April!$A:$A,0)),0)+IFERROR(INDEX(May!$AK:$AK,MATCH($A12,May!$A:$A,0)),0)+IFERROR(INDEX(June!$AJ:$AJ,MATCH($A12,June!$A:$A,0)),0)+IFERROR(INDEX(July!$AK:$AK,MATCH($A12,July!$A:$A,0)),0)+IFERROR(INDEX(August!$AK:$AK,MATCH($A12,August!$A:$A,0)),0)+IFERROR(INDEX(September!$AJ:$AJ,MATCH($A12,September!$A:$A,0)),0)+IFERROR(INDEX(October!$AK:$AK,MATCH($A12,October!$A:$A,0)),0)+IFERROR(INDEX(November!$AJ:$AJ,MATCH($A12,November!$A:$A,0)),0)+IFERROR(INDEX(December!$AK:$AK,MATCH($A12,December!$A:$A,0)),0)</f>
        <v>3</v>
      </c>
      <c r="S12" s="35">
        <f t="shared" si="4"/>
        <v>0.83524904214559392</v>
      </c>
      <c r="T12" s="38"/>
      <c r="U12" s="51">
        <f>IFERROR(INDEX(January!$AQ:$AQ,MATCH($A12,January!$A:$A,0)),0)+IFERROR(INDEX(February!$AN:$AN,MATCH($A12,February!$A:$A,0)),0)+IFERROR(INDEX(March!$AQ:$AQ,MATCH($A12,March!$A:$A,0)),0)+IFERROR(INDEX(April!$AP:$AP,MATCH($A12,April!$A:$A,0)),0)+IFERROR(INDEX(May!$AQ:$AQ,MATCH($A12,May!$A:$A,0)),0)+IFERROR(INDEX(June!$AP:$AP,MATCH($A12,June!$A:$A,0)),0)+IFERROR(INDEX(July!$AQ:$AQ,MATCH($A12,July!$A:$A,0)),0)+IFERROR(INDEX(August!$AQ:$AQ,MATCH($A12,August!$A:$A,0)),0)+IFERROR(INDEX(September!$AP:$AP,MATCH($A12,September!$A:$A,0)),0)+IFERROR(INDEX(October!$AQ:$AQ,MATCH($A12,October!$A:$A,0)),0)+IFERROR(INDEX(November!$AP:$AP,MATCH($A12,November!$A:$A,0)),0)+IFERROR(INDEX(December!$AQ:$AQ,MATCH($A12,December!$A:$A,0)),0)</f>
        <v>223</v>
      </c>
      <c r="V12" s="52">
        <f>IFERROR(INDEX(January!$AJ:$AJ,MATCH($A12,January!$A:$A,0)),0)+IFERROR(INDEX(February!$AG:$AG,MATCH($A12,February!$A:$A,0)),0)+IFERROR(INDEX(March!$AJ:$AJ,MATCH($A12,March!$A:$A,0)),0)+IFERROR(INDEX(April!$AI:$AI,MATCH($A12,April!$A:$A,0)),0)+IFERROR(INDEX(May!$AJ:$AJ,MATCH($A12,May!$A:$A,0)),0)+IFERROR(INDEX(June!$AI:$AI,MATCH($A12,June!$A:$A,0)),0)+IFERROR(INDEX(July!$AJ:$AJ,MATCH($A12,July!$A:$A,0)),0)+IFERROR(INDEX(August!$AJ:$AJ,MATCH($A12,August!$A:$A,0)),0)+IFERROR(INDEX(September!$AI:$AI,MATCH($A12,September!$A:$A,0)),0)+IFERROR(INDEX(October!$AJ:$AJ,MATCH($A12,October!$A:$A,0)),0)+IFERROR(INDEX(November!$AI:$AI,MATCH($A12,November!$A:$A,0)),0)+IFERROR(INDEX(December!$AJ:$AJ,MATCH($A12,December!$A:$A,0)),0)</f>
        <v>43</v>
      </c>
      <c r="W12" s="53">
        <f>IFERROR(INDEX(January!$AO:$AO,MATCH($A12,January!$A:$A,0)),0)+IFERROR(INDEX(February!$AL:$AL,MATCH($A12,February!$A:$A,0)),0)+IFERROR(INDEX(March!$AO:$AO,MATCH($A12,March!$A:$A,0)),0)+IFERROR(INDEX(April!$AN:$AN,MATCH($A12,April!$A:$A,0)),0)+IFERROR(INDEX(May!$AO:$AO,MATCH($A12,May!$A:$A,0)),0)+IFERROR(INDEX(June!$AN:$AN,MATCH($A12,June!$A:$A,0)),0)+IFERROR(INDEX(July!$AO:$AO,MATCH($A12,July!$A:$A,0)),0)+IFERROR(INDEX(August!$AO:$AO,MATCH($A12,August!$A:$A,0)),0)+IFERROR(INDEX(September!$AN:$AN,MATCH($A12,September!$A:$A,0)),0)+IFERROR(INDEX(October!$AO:$AO,MATCH($A12,October!$A:$A,0)),0)+IFERROR(INDEX(November!$AN:$AN,MATCH($A12,November!$A:$A,0)),0)+IFERROR(INDEX(December!$AO:$AO,MATCH($A12,December!$A:$A,0)),0)</f>
        <v>18</v>
      </c>
      <c r="X12" s="53">
        <f t="shared" si="0"/>
        <v>9</v>
      </c>
      <c r="Y12" s="53">
        <f>(IFERROR(INDEX(January!$AL:$AL,MATCH($A12,January!$A:$A,0)),0)+IFERROR(INDEX(February!$AI:$AI,MATCH($A12,February!$A:$A,0)),0)+IFERROR(INDEX(March!$AL:$AL,MATCH($A12,March!$A:$A,0)),0)+IFERROR(INDEX(April!$AK:$AK,MATCH($A12,April!$A:$A,0)),0)+IFERROR(INDEX(May!$AL:$AL,MATCH($A12,May!$A:$A,0)),0)+IFERROR(INDEX(June!$AK:$AK,MATCH($A12,June!$A:$A,0)),0)+IFERROR(INDEX(July!$AL:$AL,MATCH($A12,July!$A:$A,0)),0)+IFERROR(INDEX(August!$AL:$AL,MATCH($A12,August!$A:$A,0)),0)+IFERROR(INDEX(September!$AK:$AK,MATCH($A12,September!$A:$A,0)),0)+IFERROR(INDEX(October!$AL:$AL,MATCH($A12,October!$A:$A,0)),0)+IFERROR(INDEX(November!$AK:$AK,MATCH($A12,November!$A:$A,0)),0)+IFERROR(INDEX(December!$AL:$AL,MATCH($A12,December!$A:$A,0)),0))*0.5</f>
        <v>11</v>
      </c>
      <c r="Z12" s="54">
        <f>IFERROR(INDEX(January!$AK:$AK,MATCH($A12,January!$A:$A,0)),0)+IFERROR(INDEX(February!$AH:$AH,MATCH($A12,February!$A:$A,0)),0)+IFERROR(INDEX(March!$AK:$AK,MATCH($A12,March!$A:$A,0)),0)+IFERROR(INDEX(April!$AJ:$AJ,MATCH($A12,April!$A:$A,0)),0)+IFERROR(INDEX(May!$AK:$AK,MATCH($A12,May!$A:$A,0)),0)+IFERROR(INDEX(June!$AJ:$AJ,MATCH($A12,June!$A:$A,0)),0)+IFERROR(INDEX(July!$AK:$AK,MATCH($A12,July!$A:$A,0)),0)+IFERROR(INDEX(August!$AK:$AK,MATCH($A12,August!$A:$A,0)),0)+IFERROR(INDEX(September!$AJ:$AJ,MATCH($A12,September!$A:$A,0)),0)+IFERROR(INDEX(October!$AK:$AK,MATCH($A12,October!$A:$A,0)),0)+IFERROR(INDEX(November!$AJ:$AJ,MATCH($A12,November!$A:$A,0)),0)+IFERROR(INDEX(December!$AK:$AK,MATCH($A12,December!$A:$A,0)),0)</f>
        <v>3</v>
      </c>
      <c r="AA12" s="51">
        <f t="shared" si="1"/>
        <v>14</v>
      </c>
      <c r="AB12" s="55">
        <v>17</v>
      </c>
      <c r="AC12" s="56">
        <f t="shared" si="2"/>
        <v>31</v>
      </c>
      <c r="AD12" s="57"/>
      <c r="AE12" s="58">
        <f t="shared" si="3"/>
        <v>31</v>
      </c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</row>
    <row r="13" spans="1:49" ht="22" customHeight="1" x14ac:dyDescent="0.35">
      <c r="A13" s="8" t="s">
        <v>56</v>
      </c>
      <c r="B13" s="8" t="s">
        <v>57</v>
      </c>
      <c r="C13" s="8" t="s">
        <v>45</v>
      </c>
      <c r="D13" s="10">
        <v>27</v>
      </c>
      <c r="E13" s="10">
        <v>21</v>
      </c>
      <c r="F13" s="10">
        <v>24</v>
      </c>
      <c r="G13" s="11">
        <v>6</v>
      </c>
      <c r="H13" s="11">
        <v>9</v>
      </c>
      <c r="I13" s="10">
        <v>21</v>
      </c>
      <c r="J13" s="10">
        <v>25</v>
      </c>
      <c r="K13" s="11">
        <v>19</v>
      </c>
      <c r="L13" s="10">
        <v>26</v>
      </c>
      <c r="M13" s="11">
        <v>11</v>
      </c>
      <c r="N13" s="11">
        <v>9</v>
      </c>
      <c r="O13" s="11">
        <v>11</v>
      </c>
      <c r="P13" s="8">
        <f>IFERROR(INDEX(January!$AI:$AI,MATCH($A13,January!$A:$A,0)),0)+IFERROR(INDEX(February!$AF:$AF,MATCH($A13,February!$A:$A,0)),0)+IFERROR(INDEX(March!$AI:$AI,MATCH($A13,March!$A:$A,0)),0)+IFERROR(INDEX(April!$AH:$AH,MATCH($A13,April!$A:$A,0)),0)+IFERROR(INDEX(May!$AI:$AI,MATCH($A13,May!$A:$A,0)),0)+IFERROR(INDEX(June!$AH:$AH,MATCH($A13,June!$A:$A,0)),0)+IFERROR(INDEX(July!$AI:$AI,MATCH($A13,July!$A:$A,0)),0)+IFERROR(INDEX(August!$AI:$AI,MATCH($A13,August!$A:$A,0)),0)+IFERROR(INDEX(September!$AH:$AH,MATCH($A13,September!$A:$A,0)),0)+IFERROR(INDEX(October!$AI:$AI,MATCH($A13,October!$A:$A,0)),0)+IFERROR(INDEX(November!$AH:$AH,MATCH($A13,November!$A:$A,0)),0)+IFERROR(INDEX(December!$AI:$AI,MATCH($A13,December!$A:$A,0)),0)</f>
        <v>171</v>
      </c>
      <c r="Q13" s="8">
        <f>IFERROR(INDEX(January!$AJ:$AJ,MATCH($A13,January!$A:$A,0)),0)+IFERROR(INDEX(February!$AG:$AG,MATCH($A13,February!$A:$A,0)),0)+IFERROR(INDEX(March!$AJ:$AJ,MATCH($A13,March!$A:$A,0)),0)+IFERROR(INDEX(April!$AI:$AI,MATCH($A13,April!$A:$A,0)),0)+IFERROR(INDEX(May!$AJ:$AJ,MATCH($A13,May!$A:$A,0)),0)+IFERROR(INDEX(June!$AI:$AI,MATCH($A13,June!$A:$A,0)),0)+IFERROR(INDEX(July!$AJ:$AJ,MATCH($A13,July!$A:$A,0)),0)+IFERROR(INDEX(August!$AJ:$AJ,MATCH($A13,August!$A:$A,0)),0)+IFERROR(INDEX(September!$AI:$AI,MATCH($A13,September!$A:$A,0)),0)+IFERROR(INDEX(October!$AJ:$AJ,MATCH($A13,October!$A:$A,0)),0)+IFERROR(INDEX(November!$AI:$AI,MATCH($A13,November!$A:$A,0)),0)+IFERROR(INDEX(December!$AJ:$AJ,MATCH($A13,December!$A:$A,0)),0)</f>
        <v>90</v>
      </c>
      <c r="R13" s="8">
        <f>IFERROR(INDEX(January!$AK:$AK,MATCH($A13,January!$A:$A,0)),0)+IFERROR(INDEX(February!$AH:$AH,MATCH($A13,February!$A:$A,0)),0)+IFERROR(INDEX(March!$AK:$AK,MATCH($A13,March!$A:$A,0)),0)+IFERROR(INDEX(April!$AJ:$AJ,MATCH($A13,April!$A:$A,0)),0)+IFERROR(INDEX(May!$AK:$AK,MATCH($A13,May!$A:$A,0)),0)+IFERROR(INDEX(June!$AJ:$AJ,MATCH($A13,June!$A:$A,0)),0)+IFERROR(INDEX(July!$AK:$AK,MATCH($A13,July!$A:$A,0)),0)+IFERROR(INDEX(August!$AK:$AK,MATCH($A13,August!$A:$A,0)),0)+IFERROR(INDEX(September!$AJ:$AJ,MATCH($A13,September!$A:$A,0)),0)+IFERROR(INDEX(October!$AK:$AK,MATCH($A13,October!$A:$A,0)),0)+IFERROR(INDEX(November!$AJ:$AJ,MATCH($A13,November!$A:$A,0)),0)+IFERROR(INDEX(December!$AK:$AK,MATCH($A13,December!$A:$A,0)),0)</f>
        <v>19</v>
      </c>
      <c r="S13" s="36">
        <f t="shared" si="4"/>
        <v>0.65517241379310343</v>
      </c>
      <c r="T13" s="38"/>
      <c r="U13" s="51">
        <f>IFERROR(INDEX(January!$AQ:$AQ,MATCH($A13,January!$A:$A,0)),0)+IFERROR(INDEX(February!$AN:$AN,MATCH($A13,February!$A:$A,0)),0)+IFERROR(INDEX(March!$AQ:$AQ,MATCH($A13,March!$A:$A,0)),0)+IFERROR(INDEX(April!$AP:$AP,MATCH($A13,April!$A:$A,0)),0)+IFERROR(INDEX(May!$AQ:$AQ,MATCH($A13,May!$A:$A,0)),0)+IFERROR(INDEX(June!$AP:$AP,MATCH($A13,June!$A:$A,0)),0)+IFERROR(INDEX(July!$AQ:$AQ,MATCH($A13,July!$A:$A,0)),0)+IFERROR(INDEX(August!$AQ:$AQ,MATCH($A13,August!$A:$A,0)),0)+IFERROR(INDEX(September!$AP:$AP,MATCH($A13,September!$A:$A,0)),0)+IFERROR(INDEX(October!$AQ:$AQ,MATCH($A13,October!$A:$A,0)),0)+IFERROR(INDEX(November!$AP:$AP,MATCH($A13,November!$A:$A,0)),0)+IFERROR(INDEX(December!$AQ:$AQ,MATCH($A13,December!$A:$A,0)),0)</f>
        <v>192</v>
      </c>
      <c r="V13" s="52">
        <f>IFERROR(INDEX(January!$AJ:$AJ,MATCH($A13,January!$A:$A,0)),0)+IFERROR(INDEX(February!$AG:$AG,MATCH($A13,February!$A:$A,0)),0)+IFERROR(INDEX(March!$AJ:$AJ,MATCH($A13,March!$A:$A,0)),0)+IFERROR(INDEX(April!$AI:$AI,MATCH($A13,April!$A:$A,0)),0)+IFERROR(INDEX(May!$AJ:$AJ,MATCH($A13,May!$A:$A,0)),0)+IFERROR(INDEX(June!$AI:$AI,MATCH($A13,June!$A:$A,0)),0)+IFERROR(INDEX(July!$AJ:$AJ,MATCH($A13,July!$A:$A,0)),0)+IFERROR(INDEX(August!$AJ:$AJ,MATCH($A13,August!$A:$A,0)),0)+IFERROR(INDEX(September!$AI:$AI,MATCH($A13,September!$A:$A,0)),0)+IFERROR(INDEX(October!$AJ:$AJ,MATCH($A13,October!$A:$A,0)),0)+IFERROR(INDEX(November!$AI:$AI,MATCH($A13,November!$A:$A,0)),0)+IFERROR(INDEX(December!$AJ:$AJ,MATCH($A13,December!$A:$A,0)),0)</f>
        <v>90</v>
      </c>
      <c r="W13" s="53">
        <f>IFERROR(INDEX(January!$AO:$AO,MATCH($A13,January!$A:$A,0)),0)+IFERROR(INDEX(February!$AL:$AL,MATCH($A13,February!$A:$A,0)),0)+IFERROR(INDEX(March!$AO:$AO,MATCH($A13,March!$A:$A,0)),0)+IFERROR(INDEX(April!$AN:$AN,MATCH($A13,April!$A:$A,0)),0)+IFERROR(INDEX(May!$AO:$AO,MATCH($A13,May!$A:$A,0)),0)+IFERROR(INDEX(June!$AN:$AN,MATCH($A13,June!$A:$A,0)),0)+IFERROR(INDEX(July!$AO:$AO,MATCH($A13,July!$A:$A,0)),0)+IFERROR(INDEX(August!$AO:$AO,MATCH($A13,August!$A:$A,0)),0)+IFERROR(INDEX(September!$AN:$AN,MATCH($A13,September!$A:$A,0)),0)+IFERROR(INDEX(October!$AO:$AO,MATCH($A13,October!$A:$A,0)),0)+IFERROR(INDEX(November!$AN:$AN,MATCH($A13,November!$A:$A,0)),0)+IFERROR(INDEX(December!$AO:$AO,MATCH($A13,December!$A:$A,0)),0)</f>
        <v>15</v>
      </c>
      <c r="X13" s="53">
        <f t="shared" si="0"/>
        <v>7.5</v>
      </c>
      <c r="Y13" s="53">
        <f>(IFERROR(INDEX(January!$AL:$AL,MATCH($A13,January!$A:$A,0)),0)+IFERROR(INDEX(February!$AI:$AI,MATCH($A13,February!$A:$A,0)),0)+IFERROR(INDEX(March!$AL:$AL,MATCH($A13,March!$A:$A,0)),0)+IFERROR(INDEX(April!$AK:$AK,MATCH($A13,April!$A:$A,0)),0)+IFERROR(INDEX(May!$AL:$AL,MATCH($A13,May!$A:$A,0)),0)+IFERROR(INDEX(June!$AK:$AK,MATCH($A13,June!$A:$A,0)),0)+IFERROR(INDEX(July!$AL:$AL,MATCH($A13,July!$A:$A,0)),0)+IFERROR(INDEX(August!$AL:$AL,MATCH($A13,August!$A:$A,0)),0)+IFERROR(INDEX(September!$AK:$AK,MATCH($A13,September!$A:$A,0)),0)+IFERROR(INDEX(October!$AL:$AL,MATCH($A13,October!$A:$A,0)),0)+IFERROR(INDEX(November!$AK:$AK,MATCH($A13,November!$A:$A,0)),0)+IFERROR(INDEX(December!$AL:$AL,MATCH($A13,December!$A:$A,0)),0))*0.5</f>
        <v>9.5</v>
      </c>
      <c r="Z13" s="54">
        <f>IFERROR(INDEX(January!$AK:$AK,MATCH($A13,January!$A:$A,0)),0)+IFERROR(INDEX(February!$AH:$AH,MATCH($A13,February!$A:$A,0)),0)+IFERROR(INDEX(March!$AK:$AK,MATCH($A13,March!$A:$A,0)),0)+IFERROR(INDEX(April!$AJ:$AJ,MATCH($A13,April!$A:$A,0)),0)+IFERROR(INDEX(May!$AK:$AK,MATCH($A13,May!$A:$A,0)),0)+IFERROR(INDEX(June!$AJ:$AJ,MATCH($A13,June!$A:$A,0)),0)+IFERROR(INDEX(July!$AK:$AK,MATCH($A13,July!$A:$A,0)),0)+IFERROR(INDEX(August!$AK:$AK,MATCH($A13,August!$A:$A,0)),0)+IFERROR(INDEX(September!$AJ:$AJ,MATCH($A13,September!$A:$A,0)),0)+IFERROR(INDEX(October!$AK:$AK,MATCH($A13,October!$A:$A,0)),0)+IFERROR(INDEX(November!$AJ:$AJ,MATCH($A13,November!$A:$A,0)),0)+IFERROR(INDEX(December!$AK:$AK,MATCH($A13,December!$A:$A,0)),0)</f>
        <v>19</v>
      </c>
      <c r="AA13" s="51">
        <f t="shared" si="1"/>
        <v>28.5</v>
      </c>
      <c r="AB13" s="55">
        <v>17</v>
      </c>
      <c r="AC13" s="56">
        <f t="shared" si="2"/>
        <v>45.5</v>
      </c>
      <c r="AD13" s="57"/>
      <c r="AE13" s="58">
        <f t="shared" si="3"/>
        <v>45.5</v>
      </c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</row>
    <row r="14" spans="1:49" ht="22" customHeight="1" x14ac:dyDescent="0.35">
      <c r="A14" s="8" t="s">
        <v>58</v>
      </c>
      <c r="B14" s="8" t="s">
        <v>59</v>
      </c>
      <c r="C14" s="8" t="s">
        <v>45</v>
      </c>
      <c r="D14" s="10">
        <v>29</v>
      </c>
      <c r="E14" s="10">
        <v>26</v>
      </c>
      <c r="F14" s="10">
        <v>24</v>
      </c>
      <c r="G14" s="10">
        <v>25</v>
      </c>
      <c r="H14" s="10">
        <v>25</v>
      </c>
      <c r="I14" s="11">
        <v>1</v>
      </c>
      <c r="J14" s="11">
        <v>18</v>
      </c>
      <c r="K14" s="10">
        <v>25</v>
      </c>
      <c r="L14" s="10">
        <v>26</v>
      </c>
      <c r="M14" s="10">
        <v>31</v>
      </c>
      <c r="N14" s="10">
        <v>24</v>
      </c>
      <c r="O14" s="9">
        <v>0</v>
      </c>
      <c r="P14" s="8">
        <f>IFERROR(INDEX(January!$AI:$AI,MATCH($A14,January!$A:$A,0)),0)+IFERROR(INDEX(February!$AF:$AF,MATCH($A14,February!$A:$A,0)),0)+IFERROR(INDEX(March!$AI:$AI,MATCH($A14,March!$A:$A,0)),0)+IFERROR(INDEX(April!$AH:$AH,MATCH($A14,April!$A:$A,0)),0)+IFERROR(INDEX(May!$AI:$AI,MATCH($A14,May!$A:$A,0)),0)+IFERROR(INDEX(June!$AH:$AH,MATCH($A14,June!$A:$A,0)),0)+IFERROR(INDEX(July!$AI:$AI,MATCH($A14,July!$A:$A,0)),0)+IFERROR(INDEX(August!$AI:$AI,MATCH($A14,August!$A:$A,0)),0)+IFERROR(INDEX(September!$AH:$AH,MATCH($A14,September!$A:$A,0)),0)+IFERROR(INDEX(October!$AI:$AI,MATCH($A14,October!$A:$A,0)),0)+IFERROR(INDEX(November!$AH:$AH,MATCH($A14,November!$A:$A,0)),0)+IFERROR(INDEX(December!$AI:$AI,MATCH($A14,December!$A:$A,0)),0)</f>
        <v>198</v>
      </c>
      <c r="Q14" s="8">
        <f>IFERROR(INDEX(January!$AJ:$AJ,MATCH($A14,January!$A:$A,0)),0)+IFERROR(INDEX(February!$AG:$AG,MATCH($A14,February!$A:$A,0)),0)+IFERROR(INDEX(March!$AJ:$AJ,MATCH($A14,March!$A:$A,0)),0)+IFERROR(INDEX(April!$AI:$AI,MATCH($A14,April!$A:$A,0)),0)+IFERROR(INDEX(May!$AJ:$AJ,MATCH($A14,May!$A:$A,0)),0)+IFERROR(INDEX(June!$AI:$AI,MATCH($A14,June!$A:$A,0)),0)+IFERROR(INDEX(July!$AJ:$AJ,MATCH($A14,July!$A:$A,0)),0)+IFERROR(INDEX(August!$AJ:$AJ,MATCH($A14,August!$A:$A,0)),0)+IFERROR(INDEX(September!$AI:$AI,MATCH($A14,September!$A:$A,0)),0)+IFERROR(INDEX(October!$AJ:$AJ,MATCH($A14,October!$A:$A,0)),0)+IFERROR(INDEX(November!$AI:$AI,MATCH($A14,November!$A:$A,0)),0)+IFERROR(INDEX(December!$AJ:$AJ,MATCH($A14,December!$A:$A,0)),0)</f>
        <v>63</v>
      </c>
      <c r="R14" s="8">
        <f>IFERROR(INDEX(January!$AK:$AK,MATCH($A14,January!$A:$A,0)),0)+IFERROR(INDEX(February!$AH:$AH,MATCH($A14,February!$A:$A,0)),0)+IFERROR(INDEX(March!$AK:$AK,MATCH($A14,March!$A:$A,0)),0)+IFERROR(INDEX(April!$AJ:$AJ,MATCH($A14,April!$A:$A,0)),0)+IFERROR(INDEX(May!$AK:$AK,MATCH($A14,May!$A:$A,0)),0)+IFERROR(INDEX(June!$AJ:$AJ,MATCH($A14,June!$A:$A,0)),0)+IFERROR(INDEX(July!$AK:$AK,MATCH($A14,July!$A:$A,0)),0)+IFERROR(INDEX(August!$AK:$AK,MATCH($A14,August!$A:$A,0)),0)+IFERROR(INDEX(September!$AJ:$AJ,MATCH($A14,September!$A:$A,0)),0)+IFERROR(INDEX(October!$AK:$AK,MATCH($A14,October!$A:$A,0)),0)+IFERROR(INDEX(November!$AJ:$AJ,MATCH($A14,November!$A:$A,0)),0)+IFERROR(INDEX(December!$AK:$AK,MATCH($A14,December!$A:$A,0)),0)</f>
        <v>28</v>
      </c>
      <c r="S14" s="35">
        <f t="shared" si="4"/>
        <v>0.75862068965517238</v>
      </c>
      <c r="T14" s="38"/>
      <c r="U14" s="51">
        <f>IFERROR(INDEX(January!$AQ:$AQ,MATCH($A14,January!$A:$A,0)),0)+IFERROR(INDEX(February!$AN:$AN,MATCH($A14,February!$A:$A,0)),0)+IFERROR(INDEX(March!$AQ:$AQ,MATCH($A14,March!$A:$A,0)),0)+IFERROR(INDEX(April!$AP:$AP,MATCH($A14,April!$A:$A,0)),0)+IFERROR(INDEX(May!$AQ:$AQ,MATCH($A14,May!$A:$A,0)),0)+IFERROR(INDEX(June!$AP:$AP,MATCH($A14,June!$A:$A,0)),0)+IFERROR(INDEX(July!$AQ:$AQ,MATCH($A14,July!$A:$A,0)),0)+IFERROR(INDEX(August!$AQ:$AQ,MATCH($A14,August!$A:$A,0)),0)+IFERROR(INDEX(September!$AP:$AP,MATCH($A14,September!$A:$A,0)),0)+IFERROR(INDEX(October!$AQ:$AQ,MATCH($A14,October!$A:$A,0)),0)+IFERROR(INDEX(November!$AP:$AP,MATCH($A14,November!$A:$A,0)),0)+IFERROR(INDEX(December!$AQ:$AQ,MATCH($A14,December!$A:$A,0)),0)</f>
        <v>235.5</v>
      </c>
      <c r="V14" s="52">
        <f>IFERROR(INDEX(January!$AJ:$AJ,MATCH($A14,January!$A:$A,0)),0)+IFERROR(INDEX(February!$AG:$AG,MATCH($A14,February!$A:$A,0)),0)+IFERROR(INDEX(March!$AJ:$AJ,MATCH($A14,March!$A:$A,0)),0)+IFERROR(INDEX(April!$AI:$AI,MATCH($A14,April!$A:$A,0)),0)+IFERROR(INDEX(May!$AJ:$AJ,MATCH($A14,May!$A:$A,0)),0)+IFERROR(INDEX(June!$AI:$AI,MATCH($A14,June!$A:$A,0)),0)+IFERROR(INDEX(July!$AJ:$AJ,MATCH($A14,July!$A:$A,0)),0)+IFERROR(INDEX(August!$AJ:$AJ,MATCH($A14,August!$A:$A,0)),0)+IFERROR(INDEX(September!$AI:$AI,MATCH($A14,September!$A:$A,0)),0)+IFERROR(INDEX(October!$AJ:$AJ,MATCH($A14,October!$A:$A,0)),0)+IFERROR(INDEX(November!$AI:$AI,MATCH($A14,November!$A:$A,0)),0)+IFERROR(INDEX(December!$AJ:$AJ,MATCH($A14,December!$A:$A,0)),0)</f>
        <v>63</v>
      </c>
      <c r="W14" s="53">
        <f>IFERROR(INDEX(January!$AO:$AO,MATCH($A14,January!$A:$A,0)),0)+IFERROR(INDEX(February!$AL:$AL,MATCH($A14,February!$A:$A,0)),0)+IFERROR(INDEX(March!$AO:$AO,MATCH($A14,March!$A:$A,0)),0)+IFERROR(INDEX(April!$AN:$AN,MATCH($A14,April!$A:$A,0)),0)+IFERROR(INDEX(May!$AO:$AO,MATCH($A14,May!$A:$A,0)),0)+IFERROR(INDEX(June!$AN:$AN,MATCH($A14,June!$A:$A,0)),0)+IFERROR(INDEX(July!$AO:$AO,MATCH($A14,July!$A:$A,0)),0)+IFERROR(INDEX(August!$AO:$AO,MATCH($A14,August!$A:$A,0)),0)+IFERROR(INDEX(September!$AN:$AN,MATCH($A14,September!$A:$A,0)),0)+IFERROR(INDEX(October!$AO:$AO,MATCH($A14,October!$A:$A,0)),0)+IFERROR(INDEX(November!$AN:$AN,MATCH($A14,November!$A:$A,0)),0)+IFERROR(INDEX(December!$AO:$AO,MATCH($A14,December!$A:$A,0)),0)</f>
        <v>9</v>
      </c>
      <c r="X14" s="53">
        <f t="shared" si="0"/>
        <v>4.5</v>
      </c>
      <c r="Y14" s="53">
        <f>(IFERROR(INDEX(January!$AL:$AL,MATCH($A14,January!$A:$A,0)),0)+IFERROR(INDEX(February!$AI:$AI,MATCH($A14,February!$A:$A,0)),0)+IFERROR(INDEX(March!$AL:$AL,MATCH($A14,March!$A:$A,0)),0)+IFERROR(INDEX(April!$AK:$AK,MATCH($A14,April!$A:$A,0)),0)+IFERROR(INDEX(May!$AL:$AL,MATCH($A14,May!$A:$A,0)),0)+IFERROR(INDEX(June!$AK:$AK,MATCH($A14,June!$A:$A,0)),0)+IFERROR(INDEX(July!$AL:$AL,MATCH($A14,July!$A:$A,0)),0)+IFERROR(INDEX(August!$AL:$AL,MATCH($A14,August!$A:$A,0)),0)+IFERROR(INDEX(September!$AK:$AK,MATCH($A14,September!$A:$A,0)),0)+IFERROR(INDEX(October!$AL:$AL,MATCH($A14,October!$A:$A,0)),0)+IFERROR(INDEX(November!$AK:$AK,MATCH($A14,November!$A:$A,0)),0)+IFERROR(INDEX(December!$AL:$AL,MATCH($A14,December!$A:$A,0)),0))*0.5</f>
        <v>14</v>
      </c>
      <c r="Z14" s="54">
        <f>IFERROR(INDEX(January!$AK:$AK,MATCH($A14,January!$A:$A,0)),0)+IFERROR(INDEX(February!$AH:$AH,MATCH($A14,February!$A:$A,0)),0)+IFERROR(INDEX(March!$AK:$AK,MATCH($A14,March!$A:$A,0)),0)+IFERROR(INDEX(April!$AJ:$AJ,MATCH($A14,April!$A:$A,0)),0)+IFERROR(INDEX(May!$AK:$AK,MATCH($A14,May!$A:$A,0)),0)+IFERROR(INDEX(June!$AJ:$AJ,MATCH($A14,June!$A:$A,0)),0)+IFERROR(INDEX(July!$AK:$AK,MATCH($A14,July!$A:$A,0)),0)+IFERROR(INDEX(August!$AK:$AK,MATCH($A14,August!$A:$A,0)),0)+IFERROR(INDEX(September!$AJ:$AJ,MATCH($A14,September!$A:$A,0)),0)+IFERROR(INDEX(October!$AK:$AK,MATCH($A14,October!$A:$A,0)),0)+IFERROR(INDEX(November!$AJ:$AJ,MATCH($A14,November!$A:$A,0)),0)+IFERROR(INDEX(December!$AK:$AK,MATCH($A14,December!$A:$A,0)),0)</f>
        <v>28</v>
      </c>
      <c r="AA14" s="51">
        <f t="shared" si="1"/>
        <v>42</v>
      </c>
      <c r="AB14" s="55">
        <v>17</v>
      </c>
      <c r="AC14" s="56">
        <f t="shared" si="2"/>
        <v>59</v>
      </c>
      <c r="AD14" s="57"/>
      <c r="AE14" s="58">
        <f t="shared" si="3"/>
        <v>59</v>
      </c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</row>
    <row r="15" spans="1:49" ht="22" customHeight="1" x14ac:dyDescent="0.35">
      <c r="A15" s="8" t="s">
        <v>60</v>
      </c>
      <c r="B15" s="8" t="s">
        <v>61</v>
      </c>
      <c r="C15" s="8" t="s">
        <v>45</v>
      </c>
      <c r="D15" s="11">
        <v>19</v>
      </c>
      <c r="E15" s="10">
        <v>23</v>
      </c>
      <c r="F15" s="10">
        <v>27</v>
      </c>
      <c r="G15" s="11">
        <v>4</v>
      </c>
      <c r="H15" s="10">
        <v>25</v>
      </c>
      <c r="I15" s="10">
        <v>24</v>
      </c>
      <c r="J15" s="11">
        <v>11</v>
      </c>
      <c r="K15" s="9">
        <v>0</v>
      </c>
      <c r="L15" s="10">
        <v>28</v>
      </c>
      <c r="M15" s="11">
        <v>3</v>
      </c>
      <c r="N15" s="10">
        <v>21</v>
      </c>
      <c r="O15" s="10">
        <v>23</v>
      </c>
      <c r="P15" s="8">
        <f>IFERROR(INDEX(January!$AI:$AI,MATCH($A15,January!$A:$A,0)),0)+IFERROR(INDEX(February!$AF:$AF,MATCH($A15,February!$A:$A,0)),0)+IFERROR(INDEX(March!$AI:$AI,MATCH($A15,March!$A:$A,0)),0)+IFERROR(INDEX(April!$AH:$AH,MATCH($A15,April!$A:$A,0)),0)+IFERROR(INDEX(May!$AI:$AI,MATCH($A15,May!$A:$A,0)),0)+IFERROR(INDEX(June!$AH:$AH,MATCH($A15,June!$A:$A,0)),0)+IFERROR(INDEX(July!$AI:$AI,MATCH($A15,July!$A:$A,0)),0)+IFERROR(INDEX(August!$AI:$AI,MATCH($A15,August!$A:$A,0)),0)+IFERROR(INDEX(September!$AH:$AH,MATCH($A15,September!$A:$A,0)),0)+IFERROR(INDEX(October!$AI:$AI,MATCH($A15,October!$A:$A,0)),0)+IFERROR(INDEX(November!$AH:$AH,MATCH($A15,November!$A:$A,0)),0)+IFERROR(INDEX(December!$AI:$AI,MATCH($A15,December!$A:$A,0)),0)</f>
        <v>166</v>
      </c>
      <c r="Q15" s="8">
        <f>IFERROR(INDEX(January!$AJ:$AJ,MATCH($A15,January!$A:$A,0)),0)+IFERROR(INDEX(February!$AG:$AG,MATCH($A15,February!$A:$A,0)),0)+IFERROR(INDEX(March!$AJ:$AJ,MATCH($A15,March!$A:$A,0)),0)+IFERROR(INDEX(April!$AI:$AI,MATCH($A15,April!$A:$A,0)),0)+IFERROR(INDEX(May!$AJ:$AJ,MATCH($A15,May!$A:$A,0)),0)+IFERROR(INDEX(June!$AI:$AI,MATCH($A15,June!$A:$A,0)),0)+IFERROR(INDEX(July!$AJ:$AJ,MATCH($A15,July!$A:$A,0)),0)+IFERROR(INDEX(August!$AJ:$AJ,MATCH($A15,August!$A:$A,0)),0)+IFERROR(INDEX(September!$AI:$AI,MATCH($A15,September!$A:$A,0)),0)+IFERROR(INDEX(October!$AJ:$AJ,MATCH($A15,October!$A:$A,0)),0)+IFERROR(INDEX(November!$AI:$AI,MATCH($A15,November!$A:$A,0)),0)+IFERROR(INDEX(December!$AJ:$AJ,MATCH($A15,December!$A:$A,0)),0)</f>
        <v>95</v>
      </c>
      <c r="R15" s="8">
        <f>IFERROR(INDEX(January!$AK:$AK,MATCH($A15,January!$A:$A,0)),0)+IFERROR(INDEX(February!$AH:$AH,MATCH($A15,February!$A:$A,0)),0)+IFERROR(INDEX(March!$AK:$AK,MATCH($A15,March!$A:$A,0)),0)+IFERROR(INDEX(April!$AJ:$AJ,MATCH($A15,April!$A:$A,0)),0)+IFERROR(INDEX(May!$AK:$AK,MATCH($A15,May!$A:$A,0)),0)+IFERROR(INDEX(June!$AJ:$AJ,MATCH($A15,June!$A:$A,0)),0)+IFERROR(INDEX(July!$AK:$AK,MATCH($A15,July!$A:$A,0)),0)+IFERROR(INDEX(August!$AK:$AK,MATCH($A15,August!$A:$A,0)),0)+IFERROR(INDEX(September!$AJ:$AJ,MATCH($A15,September!$A:$A,0)),0)+IFERROR(INDEX(October!$AK:$AK,MATCH($A15,October!$A:$A,0)),0)+IFERROR(INDEX(November!$AJ:$AJ,MATCH($A15,November!$A:$A,0)),0)+IFERROR(INDEX(December!$AK:$AK,MATCH($A15,December!$A:$A,0)),0)</f>
        <v>21</v>
      </c>
      <c r="S15" s="36">
        <f t="shared" si="4"/>
        <v>0.63601532567049812</v>
      </c>
      <c r="T15" s="38"/>
      <c r="U15" s="51">
        <f>IFERROR(INDEX(January!$AQ:$AQ,MATCH($A15,January!$A:$A,0)),0)+IFERROR(INDEX(February!$AN:$AN,MATCH($A15,February!$A:$A,0)),0)+IFERROR(INDEX(March!$AQ:$AQ,MATCH($A15,March!$A:$A,0)),0)+IFERROR(INDEX(April!$AP:$AP,MATCH($A15,April!$A:$A,0)),0)+IFERROR(INDEX(May!$AQ:$AQ,MATCH($A15,May!$A:$A,0)),0)+IFERROR(INDEX(June!$AP:$AP,MATCH($A15,June!$A:$A,0)),0)+IFERROR(INDEX(July!$AQ:$AQ,MATCH($A15,July!$A:$A,0)),0)+IFERROR(INDEX(August!$AQ:$AQ,MATCH($A15,August!$A:$A,0)),0)+IFERROR(INDEX(September!$AP:$AP,MATCH($A15,September!$A:$A,0)),0)+IFERROR(INDEX(October!$AQ:$AQ,MATCH($A15,October!$A:$A,0)),0)+IFERROR(INDEX(November!$AP:$AP,MATCH($A15,November!$A:$A,0)),0)+IFERROR(INDEX(December!$AQ:$AQ,MATCH($A15,December!$A:$A,0)),0)</f>
        <v>192.5</v>
      </c>
      <c r="V15" s="52">
        <f>IFERROR(INDEX(January!$AJ:$AJ,MATCH($A15,January!$A:$A,0)),0)+IFERROR(INDEX(February!$AG:$AG,MATCH($A15,February!$A:$A,0)),0)+IFERROR(INDEX(March!$AJ:$AJ,MATCH($A15,March!$A:$A,0)),0)+IFERROR(INDEX(April!$AI:$AI,MATCH($A15,April!$A:$A,0)),0)+IFERROR(INDEX(May!$AJ:$AJ,MATCH($A15,May!$A:$A,0)),0)+IFERROR(INDEX(June!$AI:$AI,MATCH($A15,June!$A:$A,0)),0)+IFERROR(INDEX(July!$AJ:$AJ,MATCH($A15,July!$A:$A,0)),0)+IFERROR(INDEX(August!$AJ:$AJ,MATCH($A15,August!$A:$A,0)),0)+IFERROR(INDEX(September!$AI:$AI,MATCH($A15,September!$A:$A,0)),0)+IFERROR(INDEX(October!$AJ:$AJ,MATCH($A15,October!$A:$A,0)),0)+IFERROR(INDEX(November!$AI:$AI,MATCH($A15,November!$A:$A,0)),0)+IFERROR(INDEX(December!$AJ:$AJ,MATCH($A15,December!$A:$A,0)),0)</f>
        <v>95</v>
      </c>
      <c r="W15" s="53">
        <f>IFERROR(INDEX(January!$AO:$AO,MATCH($A15,January!$A:$A,0)),0)+IFERROR(INDEX(February!$AL:$AL,MATCH($A15,February!$A:$A,0)),0)+IFERROR(INDEX(March!$AO:$AO,MATCH($A15,March!$A:$A,0)),0)+IFERROR(INDEX(April!$AN:$AN,MATCH($A15,April!$A:$A,0)),0)+IFERROR(INDEX(May!$AO:$AO,MATCH($A15,May!$A:$A,0)),0)+IFERROR(INDEX(June!$AN:$AN,MATCH($A15,June!$A:$A,0)),0)+IFERROR(INDEX(July!$AO:$AO,MATCH($A15,July!$A:$A,0)),0)+IFERROR(INDEX(August!$AO:$AO,MATCH($A15,August!$A:$A,0)),0)+IFERROR(INDEX(September!$AN:$AN,MATCH($A15,September!$A:$A,0)),0)+IFERROR(INDEX(October!$AO:$AO,MATCH($A15,October!$A:$A,0)),0)+IFERROR(INDEX(November!$AN:$AN,MATCH($A15,November!$A:$A,0)),0)+IFERROR(INDEX(December!$AO:$AO,MATCH($A15,December!$A:$A,0)),0)</f>
        <v>10</v>
      </c>
      <c r="X15" s="53">
        <f t="shared" si="0"/>
        <v>5</v>
      </c>
      <c r="Y15" s="53">
        <f>(IFERROR(INDEX(January!$AL:$AL,MATCH($A15,January!$A:$A,0)),0)+IFERROR(INDEX(February!$AI:$AI,MATCH($A15,February!$A:$A,0)),0)+IFERROR(INDEX(March!$AL:$AL,MATCH($A15,March!$A:$A,0)),0)+IFERROR(INDEX(April!$AK:$AK,MATCH($A15,April!$A:$A,0)),0)+IFERROR(INDEX(May!$AL:$AL,MATCH($A15,May!$A:$A,0)),0)+IFERROR(INDEX(June!$AK:$AK,MATCH($A15,June!$A:$A,0)),0)+IFERROR(INDEX(July!$AL:$AL,MATCH($A15,July!$A:$A,0)),0)+IFERROR(INDEX(August!$AL:$AL,MATCH($A15,August!$A:$A,0)),0)+IFERROR(INDEX(September!$AK:$AK,MATCH($A15,September!$A:$A,0)),0)+IFERROR(INDEX(October!$AL:$AL,MATCH($A15,October!$A:$A,0)),0)+IFERROR(INDEX(November!$AK:$AK,MATCH($A15,November!$A:$A,0)),0)+IFERROR(INDEX(December!$AL:$AL,MATCH($A15,December!$A:$A,0)),0))*0.5</f>
        <v>10.5</v>
      </c>
      <c r="Z15" s="54">
        <f>IFERROR(INDEX(January!$AK:$AK,MATCH($A15,January!$A:$A,0)),0)+IFERROR(INDEX(February!$AH:$AH,MATCH($A15,February!$A:$A,0)),0)+IFERROR(INDEX(March!$AK:$AK,MATCH($A15,March!$A:$A,0)),0)+IFERROR(INDEX(April!$AJ:$AJ,MATCH($A15,April!$A:$A,0)),0)+IFERROR(INDEX(May!$AK:$AK,MATCH($A15,May!$A:$A,0)),0)+IFERROR(INDEX(June!$AJ:$AJ,MATCH($A15,June!$A:$A,0)),0)+IFERROR(INDEX(July!$AK:$AK,MATCH($A15,July!$A:$A,0)),0)+IFERROR(INDEX(August!$AK:$AK,MATCH($A15,August!$A:$A,0)),0)+IFERROR(INDEX(September!$AJ:$AJ,MATCH($A15,September!$A:$A,0)),0)+IFERROR(INDEX(October!$AK:$AK,MATCH($A15,October!$A:$A,0)),0)+IFERROR(INDEX(November!$AJ:$AJ,MATCH($A15,November!$A:$A,0)),0)+IFERROR(INDEX(December!$AK:$AK,MATCH($A15,December!$A:$A,0)),0)</f>
        <v>21</v>
      </c>
      <c r="AA15" s="51">
        <f t="shared" si="1"/>
        <v>31.5</v>
      </c>
      <c r="AB15" s="55">
        <v>17</v>
      </c>
      <c r="AC15" s="56">
        <f t="shared" si="2"/>
        <v>48.5</v>
      </c>
      <c r="AD15" s="57"/>
      <c r="AE15" s="58">
        <f t="shared" si="3"/>
        <v>48.5</v>
      </c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</row>
    <row r="16" spans="1:49" ht="22" customHeight="1" x14ac:dyDescent="0.35">
      <c r="A16" s="8" t="s">
        <v>62</v>
      </c>
      <c r="B16" s="8" t="s">
        <v>63</v>
      </c>
      <c r="C16" s="8" t="s">
        <v>45</v>
      </c>
      <c r="D16" s="11">
        <v>3</v>
      </c>
      <c r="E16" s="11">
        <v>2</v>
      </c>
      <c r="F16" s="11">
        <v>3</v>
      </c>
      <c r="G16" s="11">
        <v>6</v>
      </c>
      <c r="H16" s="9">
        <v>0</v>
      </c>
      <c r="I16" s="11">
        <v>6</v>
      </c>
      <c r="J16" s="11">
        <v>12</v>
      </c>
      <c r="K16" s="11">
        <v>9</v>
      </c>
      <c r="L16" s="10">
        <v>20</v>
      </c>
      <c r="M16" s="11">
        <v>13</v>
      </c>
      <c r="N16" s="11">
        <v>5</v>
      </c>
      <c r="O16" s="10">
        <v>20</v>
      </c>
      <c r="P16" s="8">
        <f>IFERROR(INDEX(January!$AI:$AI,MATCH($A16,January!$A:$A,0)),0)+IFERROR(INDEX(February!$AF:$AF,MATCH($A16,February!$A:$A,0)),0)+IFERROR(INDEX(March!$AI:$AI,MATCH($A16,March!$A:$A,0)),0)+IFERROR(INDEX(April!$AH:$AH,MATCH($A16,April!$A:$A,0)),0)+IFERROR(INDEX(May!$AI:$AI,MATCH($A16,May!$A:$A,0)),0)+IFERROR(INDEX(June!$AH:$AH,MATCH($A16,June!$A:$A,0)),0)+IFERROR(INDEX(July!$AI:$AI,MATCH($A16,July!$A:$A,0)),0)+IFERROR(INDEX(August!$AI:$AI,MATCH($A16,August!$A:$A,0)),0)+IFERROR(INDEX(September!$AH:$AH,MATCH($A16,September!$A:$A,0)),0)+IFERROR(INDEX(October!$AI:$AI,MATCH($A16,October!$A:$A,0)),0)+IFERROR(INDEX(November!$AH:$AH,MATCH($A16,November!$A:$A,0)),0)+IFERROR(INDEX(December!$AI:$AI,MATCH($A16,December!$A:$A,0)),0)</f>
        <v>80</v>
      </c>
      <c r="Q16" s="8">
        <f>IFERROR(INDEX(January!$AJ:$AJ,MATCH($A16,January!$A:$A,0)),0)+IFERROR(INDEX(February!$AG:$AG,MATCH($A16,February!$A:$A,0)),0)+IFERROR(INDEX(March!$AJ:$AJ,MATCH($A16,March!$A:$A,0)),0)+IFERROR(INDEX(April!$AI:$AI,MATCH($A16,April!$A:$A,0)),0)+IFERROR(INDEX(May!$AJ:$AJ,MATCH($A16,May!$A:$A,0)),0)+IFERROR(INDEX(June!$AI:$AI,MATCH($A16,June!$A:$A,0)),0)+IFERROR(INDEX(July!$AJ:$AJ,MATCH($A16,July!$A:$A,0)),0)+IFERROR(INDEX(August!$AJ:$AJ,MATCH($A16,August!$A:$A,0)),0)+IFERROR(INDEX(September!$AI:$AI,MATCH($A16,September!$A:$A,0)),0)+IFERROR(INDEX(October!$AJ:$AJ,MATCH($A16,October!$A:$A,0)),0)+IFERROR(INDEX(November!$AI:$AI,MATCH($A16,November!$A:$A,0)),0)+IFERROR(INDEX(December!$AJ:$AJ,MATCH($A16,December!$A:$A,0)),0)</f>
        <v>181</v>
      </c>
      <c r="R16" s="8">
        <f>IFERROR(INDEX(January!$AK:$AK,MATCH($A16,January!$A:$A,0)),0)+IFERROR(INDEX(February!$AH:$AH,MATCH($A16,February!$A:$A,0)),0)+IFERROR(INDEX(March!$AK:$AK,MATCH($A16,March!$A:$A,0)),0)+IFERROR(INDEX(April!$AJ:$AJ,MATCH($A16,April!$A:$A,0)),0)+IFERROR(INDEX(May!$AK:$AK,MATCH($A16,May!$A:$A,0)),0)+IFERROR(INDEX(June!$AJ:$AJ,MATCH($A16,June!$A:$A,0)),0)+IFERROR(INDEX(July!$AK:$AK,MATCH($A16,July!$A:$A,0)),0)+IFERROR(INDEX(August!$AK:$AK,MATCH($A16,August!$A:$A,0)),0)+IFERROR(INDEX(September!$AJ:$AJ,MATCH($A16,September!$A:$A,0)),0)+IFERROR(INDEX(October!$AK:$AK,MATCH($A16,October!$A:$A,0)),0)+IFERROR(INDEX(November!$AJ:$AJ,MATCH($A16,November!$A:$A,0)),0)+IFERROR(INDEX(December!$AK:$AK,MATCH($A16,December!$A:$A,0)),0)</f>
        <v>8</v>
      </c>
      <c r="S16" s="37">
        <f t="shared" si="4"/>
        <v>0.3065134099616858</v>
      </c>
      <c r="T16" s="38"/>
      <c r="U16" s="51">
        <f>IFERROR(INDEX(January!$AQ:$AQ,MATCH($A16,January!$A:$A,0)),0)+IFERROR(INDEX(February!$AN:$AN,MATCH($A16,February!$A:$A,0)),0)+IFERROR(INDEX(March!$AQ:$AQ,MATCH($A16,March!$A:$A,0)),0)+IFERROR(INDEX(April!$AP:$AP,MATCH($A16,April!$A:$A,0)),0)+IFERROR(INDEX(May!$AQ:$AQ,MATCH($A16,May!$A:$A,0)),0)+IFERROR(INDEX(June!$AP:$AP,MATCH($A16,June!$A:$A,0)),0)+IFERROR(INDEX(July!$AQ:$AQ,MATCH($A16,July!$A:$A,0)),0)+IFERROR(INDEX(August!$AQ:$AQ,MATCH($A16,August!$A:$A,0)),0)+IFERROR(INDEX(September!$AP:$AP,MATCH($A16,September!$A:$A,0)),0)+IFERROR(INDEX(October!$AQ:$AQ,MATCH($A16,October!$A:$A,0)),0)+IFERROR(INDEX(November!$AP:$AP,MATCH($A16,November!$A:$A,0)),0)+IFERROR(INDEX(December!$AQ:$AQ,MATCH($A16,December!$A:$A,0)),0)</f>
        <v>90</v>
      </c>
      <c r="V16" s="52">
        <f>IFERROR(INDEX(January!$AJ:$AJ,MATCH($A16,January!$A:$A,0)),0)+IFERROR(INDEX(February!$AG:$AG,MATCH($A16,February!$A:$A,0)),0)+IFERROR(INDEX(March!$AJ:$AJ,MATCH($A16,March!$A:$A,0)),0)+IFERROR(INDEX(April!$AI:$AI,MATCH($A16,April!$A:$A,0)),0)+IFERROR(INDEX(May!$AJ:$AJ,MATCH($A16,May!$A:$A,0)),0)+IFERROR(INDEX(June!$AI:$AI,MATCH($A16,June!$A:$A,0)),0)+IFERROR(INDEX(July!$AJ:$AJ,MATCH($A16,July!$A:$A,0)),0)+IFERROR(INDEX(August!$AJ:$AJ,MATCH($A16,August!$A:$A,0)),0)+IFERROR(INDEX(September!$AI:$AI,MATCH($A16,September!$A:$A,0)),0)+IFERROR(INDEX(October!$AJ:$AJ,MATCH($A16,October!$A:$A,0)),0)+IFERROR(INDEX(November!$AI:$AI,MATCH($A16,November!$A:$A,0)),0)+IFERROR(INDEX(December!$AJ:$AJ,MATCH($A16,December!$A:$A,0)),0)</f>
        <v>181</v>
      </c>
      <c r="W16" s="53">
        <f>IFERROR(INDEX(January!$AO:$AO,MATCH($A16,January!$A:$A,0)),0)+IFERROR(INDEX(February!$AL:$AL,MATCH($A16,February!$A:$A,0)),0)+IFERROR(INDEX(March!$AO:$AO,MATCH($A16,March!$A:$A,0)),0)+IFERROR(INDEX(April!$AN:$AN,MATCH($A16,April!$A:$A,0)),0)+IFERROR(INDEX(May!$AO:$AO,MATCH($A16,May!$A:$A,0)),0)+IFERROR(INDEX(June!$AN:$AN,MATCH($A16,June!$A:$A,0)),0)+IFERROR(INDEX(July!$AO:$AO,MATCH($A16,July!$A:$A,0)),0)+IFERROR(INDEX(August!$AO:$AO,MATCH($A16,August!$A:$A,0)),0)+IFERROR(INDEX(September!$AN:$AN,MATCH($A16,September!$A:$A,0)),0)+IFERROR(INDEX(October!$AO:$AO,MATCH($A16,October!$A:$A,0)),0)+IFERROR(INDEX(November!$AN:$AN,MATCH($A16,November!$A:$A,0)),0)+IFERROR(INDEX(December!$AO:$AO,MATCH($A16,December!$A:$A,0)),0)</f>
        <v>7</v>
      </c>
      <c r="X16" s="53">
        <f t="shared" si="0"/>
        <v>3.5</v>
      </c>
      <c r="Y16" s="53">
        <f>(IFERROR(INDEX(January!$AL:$AL,MATCH($A16,January!$A:$A,0)),0)+IFERROR(INDEX(February!$AI:$AI,MATCH($A16,February!$A:$A,0)),0)+IFERROR(INDEX(March!$AL:$AL,MATCH($A16,March!$A:$A,0)),0)+IFERROR(INDEX(April!$AK:$AK,MATCH($A16,April!$A:$A,0)),0)+IFERROR(INDEX(May!$AL:$AL,MATCH($A16,May!$A:$A,0)),0)+IFERROR(INDEX(June!$AK:$AK,MATCH($A16,June!$A:$A,0)),0)+IFERROR(INDEX(July!$AL:$AL,MATCH($A16,July!$A:$A,0)),0)+IFERROR(INDEX(August!$AL:$AL,MATCH($A16,August!$A:$A,0)),0)+IFERROR(INDEX(September!$AK:$AK,MATCH($A16,September!$A:$A,0)),0)+IFERROR(INDEX(October!$AL:$AL,MATCH($A16,October!$A:$A,0)),0)+IFERROR(INDEX(November!$AK:$AK,MATCH($A16,November!$A:$A,0)),0)+IFERROR(INDEX(December!$AL:$AL,MATCH($A16,December!$A:$A,0)),0))*0.5</f>
        <v>5.5</v>
      </c>
      <c r="Z16" s="54">
        <f>IFERROR(INDEX(January!$AK:$AK,MATCH($A16,January!$A:$A,0)),0)+IFERROR(INDEX(February!$AH:$AH,MATCH($A16,February!$A:$A,0)),0)+IFERROR(INDEX(March!$AK:$AK,MATCH($A16,March!$A:$A,0)),0)+IFERROR(INDEX(April!$AJ:$AJ,MATCH($A16,April!$A:$A,0)),0)+IFERROR(INDEX(May!$AK:$AK,MATCH($A16,May!$A:$A,0)),0)+IFERROR(INDEX(June!$AJ:$AJ,MATCH($A16,June!$A:$A,0)),0)+IFERROR(INDEX(July!$AK:$AK,MATCH($A16,July!$A:$A,0)),0)+IFERROR(INDEX(August!$AK:$AK,MATCH($A16,August!$A:$A,0)),0)+IFERROR(INDEX(September!$AJ:$AJ,MATCH($A16,September!$A:$A,0)),0)+IFERROR(INDEX(October!$AK:$AK,MATCH($A16,October!$A:$A,0)),0)+IFERROR(INDEX(November!$AJ:$AJ,MATCH($A16,November!$A:$A,0)),0)+IFERROR(INDEX(December!$AK:$AK,MATCH($A16,December!$A:$A,0)),0)</f>
        <v>8</v>
      </c>
      <c r="AA16" s="51">
        <f t="shared" si="1"/>
        <v>13.5</v>
      </c>
      <c r="AB16" s="55">
        <v>17</v>
      </c>
      <c r="AC16" s="56">
        <f t="shared" si="2"/>
        <v>30.5</v>
      </c>
      <c r="AD16" s="57"/>
      <c r="AE16" s="58">
        <f t="shared" si="3"/>
        <v>30.5</v>
      </c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</row>
    <row r="17" spans="1:49" ht="22" customHeight="1" x14ac:dyDescent="0.35">
      <c r="A17" s="8" t="s">
        <v>64</v>
      </c>
      <c r="B17" s="8" t="s">
        <v>63</v>
      </c>
      <c r="C17" s="8" t="s">
        <v>45</v>
      </c>
      <c r="D17" s="10">
        <v>28</v>
      </c>
      <c r="E17" s="11">
        <v>17</v>
      </c>
      <c r="F17" s="10">
        <v>22</v>
      </c>
      <c r="G17" s="10">
        <v>24</v>
      </c>
      <c r="H17" s="11">
        <v>1</v>
      </c>
      <c r="I17" s="10">
        <v>23</v>
      </c>
      <c r="J17" s="10">
        <v>24</v>
      </c>
      <c r="K17" s="10">
        <v>20</v>
      </c>
      <c r="L17" s="10">
        <v>22</v>
      </c>
      <c r="M17" s="11">
        <v>6</v>
      </c>
      <c r="N17" s="9">
        <v>0</v>
      </c>
      <c r="O17" s="11">
        <v>9</v>
      </c>
      <c r="P17" s="8">
        <f>IFERROR(INDEX(January!$AI:$AI,MATCH($A17,January!$A:$A,0)),0)+IFERROR(INDEX(February!$AF:$AF,MATCH($A17,February!$A:$A,0)),0)+IFERROR(INDEX(March!$AI:$AI,MATCH($A17,March!$A:$A,0)),0)+IFERROR(INDEX(April!$AH:$AH,MATCH($A17,April!$A:$A,0)),0)+IFERROR(INDEX(May!$AI:$AI,MATCH($A17,May!$A:$A,0)),0)+IFERROR(INDEX(June!$AH:$AH,MATCH($A17,June!$A:$A,0)),0)+IFERROR(INDEX(July!$AI:$AI,MATCH($A17,July!$A:$A,0)),0)+IFERROR(INDEX(August!$AI:$AI,MATCH($A17,August!$A:$A,0)),0)+IFERROR(INDEX(September!$AH:$AH,MATCH($A17,September!$A:$A,0)),0)+IFERROR(INDEX(October!$AI:$AI,MATCH($A17,October!$A:$A,0)),0)+IFERROR(INDEX(November!$AH:$AH,MATCH($A17,November!$A:$A,0)),0)+IFERROR(INDEX(December!$AI:$AI,MATCH($A17,December!$A:$A,0)),0)</f>
        <v>148</v>
      </c>
      <c r="Q17" s="8">
        <f>IFERROR(INDEX(January!$AJ:$AJ,MATCH($A17,January!$A:$A,0)),0)+IFERROR(INDEX(February!$AG:$AG,MATCH($A17,February!$A:$A,0)),0)+IFERROR(INDEX(March!$AJ:$AJ,MATCH($A17,March!$A:$A,0)),0)+IFERROR(INDEX(April!$AI:$AI,MATCH($A17,April!$A:$A,0)),0)+IFERROR(INDEX(May!$AJ:$AJ,MATCH($A17,May!$A:$A,0)),0)+IFERROR(INDEX(June!$AI:$AI,MATCH($A17,June!$A:$A,0)),0)+IFERROR(INDEX(July!$AJ:$AJ,MATCH($A17,July!$A:$A,0)),0)+IFERROR(INDEX(August!$AJ:$AJ,MATCH($A17,August!$A:$A,0)),0)+IFERROR(INDEX(September!$AI:$AI,MATCH($A17,September!$A:$A,0)),0)+IFERROR(INDEX(October!$AJ:$AJ,MATCH($A17,October!$A:$A,0)),0)+IFERROR(INDEX(November!$AI:$AI,MATCH($A17,November!$A:$A,0)),0)+IFERROR(INDEX(December!$AJ:$AJ,MATCH($A17,December!$A:$A,0)),0)</f>
        <v>113</v>
      </c>
      <c r="R17" s="8">
        <f>IFERROR(INDEX(January!$AK:$AK,MATCH($A17,January!$A:$A,0)),0)+IFERROR(INDEX(February!$AH:$AH,MATCH($A17,February!$A:$A,0)),0)+IFERROR(INDEX(March!$AK:$AK,MATCH($A17,March!$A:$A,0)),0)+IFERROR(INDEX(April!$AJ:$AJ,MATCH($A17,April!$A:$A,0)),0)+IFERROR(INDEX(May!$AK:$AK,MATCH($A17,May!$A:$A,0)),0)+IFERROR(INDEX(June!$AJ:$AJ,MATCH($A17,June!$A:$A,0)),0)+IFERROR(INDEX(July!$AK:$AK,MATCH($A17,July!$A:$A,0)),0)+IFERROR(INDEX(August!$AK:$AK,MATCH($A17,August!$A:$A,0)),0)+IFERROR(INDEX(September!$AJ:$AJ,MATCH($A17,September!$A:$A,0)),0)+IFERROR(INDEX(October!$AK:$AK,MATCH($A17,October!$A:$A,0)),0)+IFERROR(INDEX(November!$AJ:$AJ,MATCH($A17,November!$A:$A,0)),0)+IFERROR(INDEX(December!$AK:$AK,MATCH($A17,December!$A:$A,0)),0)</f>
        <v>25</v>
      </c>
      <c r="S17" s="36">
        <f t="shared" si="4"/>
        <v>0.56704980842911878</v>
      </c>
      <c r="T17" s="38"/>
      <c r="U17" s="51">
        <f>IFERROR(INDEX(January!$AQ:$AQ,MATCH($A17,January!$A:$A,0)),0)+IFERROR(INDEX(February!$AN:$AN,MATCH($A17,February!$A:$A,0)),0)+IFERROR(INDEX(March!$AQ:$AQ,MATCH($A17,March!$A:$A,0)),0)+IFERROR(INDEX(April!$AP:$AP,MATCH($A17,April!$A:$A,0)),0)+IFERROR(INDEX(May!$AQ:$AQ,MATCH($A17,May!$A:$A,0)),0)+IFERROR(INDEX(June!$AP:$AP,MATCH($A17,June!$A:$A,0)),0)+IFERROR(INDEX(July!$AQ:$AQ,MATCH($A17,July!$A:$A,0)),0)+IFERROR(INDEX(August!$AQ:$AQ,MATCH($A17,August!$A:$A,0)),0)+IFERROR(INDEX(September!$AP:$AP,MATCH($A17,September!$A:$A,0)),0)+IFERROR(INDEX(October!$AQ:$AQ,MATCH($A17,October!$A:$A,0)),0)+IFERROR(INDEX(November!$AP:$AP,MATCH($A17,November!$A:$A,0)),0)+IFERROR(INDEX(December!$AQ:$AQ,MATCH($A17,December!$A:$A,0)),0)</f>
        <v>183.5</v>
      </c>
      <c r="V17" s="52">
        <f>IFERROR(INDEX(January!$AJ:$AJ,MATCH($A17,January!$A:$A,0)),0)+IFERROR(INDEX(February!$AG:$AG,MATCH($A17,February!$A:$A,0)),0)+IFERROR(INDEX(March!$AJ:$AJ,MATCH($A17,March!$A:$A,0)),0)+IFERROR(INDEX(April!$AI:$AI,MATCH($A17,April!$A:$A,0)),0)+IFERROR(INDEX(May!$AJ:$AJ,MATCH($A17,May!$A:$A,0)),0)+IFERROR(INDEX(June!$AI:$AI,MATCH($A17,June!$A:$A,0)),0)+IFERROR(INDEX(July!$AJ:$AJ,MATCH($A17,July!$A:$A,0)),0)+IFERROR(INDEX(August!$AJ:$AJ,MATCH($A17,August!$A:$A,0)),0)+IFERROR(INDEX(September!$AI:$AI,MATCH($A17,September!$A:$A,0)),0)+IFERROR(INDEX(October!$AJ:$AJ,MATCH($A17,October!$A:$A,0)),0)+IFERROR(INDEX(November!$AI:$AI,MATCH($A17,November!$A:$A,0)),0)+IFERROR(INDEX(December!$AJ:$AJ,MATCH($A17,December!$A:$A,0)),0)</f>
        <v>113</v>
      </c>
      <c r="W17" s="53">
        <f>IFERROR(INDEX(January!$AO:$AO,MATCH($A17,January!$A:$A,0)),0)+IFERROR(INDEX(February!$AL:$AL,MATCH($A17,February!$A:$A,0)),0)+IFERROR(INDEX(March!$AO:$AO,MATCH($A17,March!$A:$A,0)),0)+IFERROR(INDEX(April!$AN:$AN,MATCH($A17,April!$A:$A,0)),0)+IFERROR(INDEX(May!$AO:$AO,MATCH($A17,May!$A:$A,0)),0)+IFERROR(INDEX(June!$AN:$AN,MATCH($A17,June!$A:$A,0)),0)+IFERROR(INDEX(July!$AO:$AO,MATCH($A17,July!$A:$A,0)),0)+IFERROR(INDEX(August!$AO:$AO,MATCH($A17,August!$A:$A,0)),0)+IFERROR(INDEX(September!$AN:$AN,MATCH($A17,September!$A:$A,0)),0)+IFERROR(INDEX(October!$AO:$AO,MATCH($A17,October!$A:$A,0)),0)+IFERROR(INDEX(November!$AN:$AN,MATCH($A17,November!$A:$A,0)),0)+IFERROR(INDEX(December!$AO:$AO,MATCH($A17,December!$A:$A,0)),0)</f>
        <v>2</v>
      </c>
      <c r="X17" s="53">
        <f t="shared" si="0"/>
        <v>1</v>
      </c>
      <c r="Y17" s="53">
        <f>(IFERROR(INDEX(January!$AL:$AL,MATCH($A17,January!$A:$A,0)),0)+IFERROR(INDEX(February!$AI:$AI,MATCH($A17,February!$A:$A,0)),0)+IFERROR(INDEX(March!$AL:$AL,MATCH($A17,March!$A:$A,0)),0)+IFERROR(INDEX(April!$AK:$AK,MATCH($A17,April!$A:$A,0)),0)+IFERROR(INDEX(May!$AL:$AL,MATCH($A17,May!$A:$A,0)),0)+IFERROR(INDEX(June!$AK:$AK,MATCH($A17,June!$A:$A,0)),0)+IFERROR(INDEX(July!$AL:$AL,MATCH($A17,July!$A:$A,0)),0)+IFERROR(INDEX(August!$AL:$AL,MATCH($A17,August!$A:$A,0)),0)+IFERROR(INDEX(September!$AK:$AK,MATCH($A17,September!$A:$A,0)),0)+IFERROR(INDEX(October!$AL:$AL,MATCH($A17,October!$A:$A,0)),0)+IFERROR(INDEX(November!$AK:$AK,MATCH($A17,November!$A:$A,0)),0)+IFERROR(INDEX(December!$AL:$AL,MATCH($A17,December!$A:$A,0)),0))*0.5</f>
        <v>11.5</v>
      </c>
      <c r="Z17" s="54">
        <f>IFERROR(INDEX(January!$AK:$AK,MATCH($A17,January!$A:$A,0)),0)+IFERROR(INDEX(February!$AH:$AH,MATCH($A17,February!$A:$A,0)),0)+IFERROR(INDEX(March!$AK:$AK,MATCH($A17,March!$A:$A,0)),0)+IFERROR(INDEX(April!$AJ:$AJ,MATCH($A17,April!$A:$A,0)),0)+IFERROR(INDEX(May!$AK:$AK,MATCH($A17,May!$A:$A,0)),0)+IFERROR(INDEX(June!$AJ:$AJ,MATCH($A17,June!$A:$A,0)),0)+IFERROR(INDEX(July!$AK:$AK,MATCH($A17,July!$A:$A,0)),0)+IFERROR(INDEX(August!$AK:$AK,MATCH($A17,August!$A:$A,0)),0)+IFERROR(INDEX(September!$AJ:$AJ,MATCH($A17,September!$A:$A,0)),0)+IFERROR(INDEX(October!$AK:$AK,MATCH($A17,October!$A:$A,0)),0)+IFERROR(INDEX(November!$AJ:$AJ,MATCH($A17,November!$A:$A,0)),0)+IFERROR(INDEX(December!$AK:$AK,MATCH($A17,December!$A:$A,0)),0)</f>
        <v>25</v>
      </c>
      <c r="AA17" s="51">
        <f t="shared" si="1"/>
        <v>36.5</v>
      </c>
      <c r="AB17" s="55">
        <v>17</v>
      </c>
      <c r="AC17" s="56">
        <f t="shared" si="2"/>
        <v>53.5</v>
      </c>
      <c r="AD17" s="57"/>
      <c r="AE17" s="58">
        <f t="shared" si="3"/>
        <v>53.5</v>
      </c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</row>
    <row r="18" spans="1:49" ht="22" customHeight="1" x14ac:dyDescent="0.35">
      <c r="A18" s="8" t="s">
        <v>65</v>
      </c>
      <c r="B18" s="8" t="s">
        <v>66</v>
      </c>
      <c r="C18" s="8" t="s">
        <v>45</v>
      </c>
      <c r="D18" s="11">
        <v>5</v>
      </c>
      <c r="E18" s="10">
        <v>26</v>
      </c>
      <c r="F18" s="10">
        <v>28</v>
      </c>
      <c r="G18" s="11">
        <v>4</v>
      </c>
      <c r="H18" s="11">
        <v>11</v>
      </c>
      <c r="I18" s="10">
        <v>28</v>
      </c>
      <c r="J18" s="10">
        <v>25</v>
      </c>
      <c r="K18" s="10">
        <v>22</v>
      </c>
      <c r="L18" s="10">
        <v>20</v>
      </c>
      <c r="M18" s="11">
        <v>15</v>
      </c>
      <c r="N18" s="10">
        <v>21</v>
      </c>
      <c r="O18" s="10">
        <v>23</v>
      </c>
      <c r="P18" s="8">
        <f>IFERROR(INDEX(January!$AI:$AI,MATCH($A18,January!$A:$A,0)),0)+IFERROR(INDEX(February!$AF:$AF,MATCH($A18,February!$A:$A,0)),0)+IFERROR(INDEX(March!$AI:$AI,MATCH($A18,March!$A:$A,0)),0)+IFERROR(INDEX(April!$AH:$AH,MATCH($A18,April!$A:$A,0)),0)+IFERROR(INDEX(May!$AI:$AI,MATCH($A18,May!$A:$A,0)),0)+IFERROR(INDEX(June!$AH:$AH,MATCH($A18,June!$A:$A,0)),0)+IFERROR(INDEX(July!$AI:$AI,MATCH($A18,July!$A:$A,0)),0)+IFERROR(INDEX(August!$AI:$AI,MATCH($A18,August!$A:$A,0)),0)+IFERROR(INDEX(September!$AH:$AH,MATCH($A18,September!$A:$A,0)),0)+IFERROR(INDEX(October!$AI:$AI,MATCH($A18,October!$A:$A,0)),0)+IFERROR(INDEX(November!$AH:$AH,MATCH($A18,November!$A:$A,0)),0)+IFERROR(INDEX(December!$AI:$AI,MATCH($A18,December!$A:$A,0)),0)</f>
        <v>177</v>
      </c>
      <c r="Q18" s="8">
        <f>IFERROR(INDEX(January!$AJ:$AJ,MATCH($A18,January!$A:$A,0)),0)+IFERROR(INDEX(February!$AG:$AG,MATCH($A18,February!$A:$A,0)),0)+IFERROR(INDEX(March!$AJ:$AJ,MATCH($A18,March!$A:$A,0)),0)+IFERROR(INDEX(April!$AI:$AI,MATCH($A18,April!$A:$A,0)),0)+IFERROR(INDEX(May!$AJ:$AJ,MATCH($A18,May!$A:$A,0)),0)+IFERROR(INDEX(June!$AI:$AI,MATCH($A18,June!$A:$A,0)),0)+IFERROR(INDEX(July!$AJ:$AJ,MATCH($A18,July!$A:$A,0)),0)+IFERROR(INDEX(August!$AJ:$AJ,MATCH($A18,August!$A:$A,0)),0)+IFERROR(INDEX(September!$AI:$AI,MATCH($A18,September!$A:$A,0)),0)+IFERROR(INDEX(October!$AJ:$AJ,MATCH($A18,October!$A:$A,0)),0)+IFERROR(INDEX(November!$AI:$AI,MATCH($A18,November!$A:$A,0)),0)+IFERROR(INDEX(December!$AJ:$AJ,MATCH($A18,December!$A:$A,0)),0)</f>
        <v>84</v>
      </c>
      <c r="R18" s="8">
        <f>IFERROR(INDEX(January!$AK:$AK,MATCH($A18,January!$A:$A,0)),0)+IFERROR(INDEX(February!$AH:$AH,MATCH($A18,February!$A:$A,0)),0)+IFERROR(INDEX(March!$AK:$AK,MATCH($A18,March!$A:$A,0)),0)+IFERROR(INDEX(April!$AJ:$AJ,MATCH($A18,April!$A:$A,0)),0)+IFERROR(INDEX(May!$AK:$AK,MATCH($A18,May!$A:$A,0)),0)+IFERROR(INDEX(June!$AJ:$AJ,MATCH($A18,June!$A:$A,0)),0)+IFERROR(INDEX(July!$AK:$AK,MATCH($A18,July!$A:$A,0)),0)+IFERROR(INDEX(August!$AK:$AK,MATCH($A18,August!$A:$A,0)),0)+IFERROR(INDEX(September!$AJ:$AJ,MATCH($A18,September!$A:$A,0)),0)+IFERROR(INDEX(October!$AK:$AK,MATCH($A18,October!$A:$A,0)),0)+IFERROR(INDEX(November!$AJ:$AJ,MATCH($A18,November!$A:$A,0)),0)+IFERROR(INDEX(December!$AK:$AK,MATCH($A18,December!$A:$A,0)),0)</f>
        <v>26</v>
      </c>
      <c r="S18" s="36">
        <f t="shared" si="4"/>
        <v>0.67816091954022983</v>
      </c>
      <c r="T18" s="38"/>
      <c r="U18" s="51">
        <f>IFERROR(INDEX(January!$AQ:$AQ,MATCH($A18,January!$A:$A,0)),0)+IFERROR(INDEX(February!$AN:$AN,MATCH($A18,February!$A:$A,0)),0)+IFERROR(INDEX(March!$AQ:$AQ,MATCH($A18,March!$A:$A,0)),0)+IFERROR(INDEX(April!$AP:$AP,MATCH($A18,April!$A:$A,0)),0)+IFERROR(INDEX(May!$AQ:$AQ,MATCH($A18,May!$A:$A,0)),0)+IFERROR(INDEX(June!$AP:$AP,MATCH($A18,June!$A:$A,0)),0)+IFERROR(INDEX(July!$AQ:$AQ,MATCH($A18,July!$A:$A,0)),0)+IFERROR(INDEX(August!$AQ:$AQ,MATCH($A18,August!$A:$A,0)),0)+IFERROR(INDEX(September!$AP:$AP,MATCH($A18,September!$A:$A,0)),0)+IFERROR(INDEX(October!$AQ:$AQ,MATCH($A18,October!$A:$A,0)),0)+IFERROR(INDEX(November!$AP:$AP,MATCH($A18,November!$A:$A,0)),0)+IFERROR(INDEX(December!$AQ:$AQ,MATCH($A18,December!$A:$A,0)),0)</f>
        <v>211</v>
      </c>
      <c r="V18" s="52">
        <f>IFERROR(INDEX(January!$AJ:$AJ,MATCH($A18,January!$A:$A,0)),0)+IFERROR(INDEX(February!$AG:$AG,MATCH($A18,February!$A:$A,0)),0)+IFERROR(INDEX(March!$AJ:$AJ,MATCH($A18,March!$A:$A,0)),0)+IFERROR(INDEX(April!$AI:$AI,MATCH($A18,April!$A:$A,0)),0)+IFERROR(INDEX(May!$AJ:$AJ,MATCH($A18,May!$A:$A,0)),0)+IFERROR(INDEX(June!$AI:$AI,MATCH($A18,June!$A:$A,0)),0)+IFERROR(INDEX(July!$AJ:$AJ,MATCH($A18,July!$A:$A,0)),0)+IFERROR(INDEX(August!$AJ:$AJ,MATCH($A18,August!$A:$A,0)),0)+IFERROR(INDEX(September!$AI:$AI,MATCH($A18,September!$A:$A,0)),0)+IFERROR(INDEX(October!$AJ:$AJ,MATCH($A18,October!$A:$A,0)),0)+IFERROR(INDEX(November!$AI:$AI,MATCH($A18,November!$A:$A,0)),0)+IFERROR(INDEX(December!$AJ:$AJ,MATCH($A18,December!$A:$A,0)),0)</f>
        <v>84</v>
      </c>
      <c r="W18" s="53">
        <f>IFERROR(INDEX(January!$AO:$AO,MATCH($A18,January!$A:$A,0)),0)+IFERROR(INDEX(February!$AL:$AL,MATCH($A18,February!$A:$A,0)),0)+IFERROR(INDEX(March!$AO:$AO,MATCH($A18,March!$A:$A,0)),0)+IFERROR(INDEX(April!$AN:$AN,MATCH($A18,April!$A:$A,0)),0)+IFERROR(INDEX(May!$AO:$AO,MATCH($A18,May!$A:$A,0)),0)+IFERROR(INDEX(June!$AN:$AN,MATCH($A18,June!$A:$A,0)),0)+IFERROR(INDEX(July!$AO:$AO,MATCH($A18,July!$A:$A,0)),0)+IFERROR(INDEX(August!$AO:$AO,MATCH($A18,August!$A:$A,0)),0)+IFERROR(INDEX(September!$AN:$AN,MATCH($A18,September!$A:$A,0)),0)+IFERROR(INDEX(October!$AO:$AO,MATCH($A18,October!$A:$A,0)),0)+IFERROR(INDEX(November!$AN:$AN,MATCH($A18,November!$A:$A,0)),0)+IFERROR(INDEX(December!$AO:$AO,MATCH($A18,December!$A:$A,0)),0)</f>
        <v>9</v>
      </c>
      <c r="X18" s="53">
        <f t="shared" si="0"/>
        <v>4.5</v>
      </c>
      <c r="Y18" s="53">
        <f>(IFERROR(INDEX(January!$AL:$AL,MATCH($A18,January!$A:$A,0)),0)+IFERROR(INDEX(February!$AI:$AI,MATCH($A18,February!$A:$A,0)),0)+IFERROR(INDEX(March!$AL:$AL,MATCH($A18,March!$A:$A,0)),0)+IFERROR(INDEX(April!$AK:$AK,MATCH($A18,April!$A:$A,0)),0)+IFERROR(INDEX(May!$AL:$AL,MATCH($A18,May!$A:$A,0)),0)+IFERROR(INDEX(June!$AK:$AK,MATCH($A18,June!$A:$A,0)),0)+IFERROR(INDEX(July!$AL:$AL,MATCH($A18,July!$A:$A,0)),0)+IFERROR(INDEX(August!$AL:$AL,MATCH($A18,August!$A:$A,0)),0)+IFERROR(INDEX(September!$AK:$AK,MATCH($A18,September!$A:$A,0)),0)+IFERROR(INDEX(October!$AL:$AL,MATCH($A18,October!$A:$A,0)),0)+IFERROR(INDEX(November!$AK:$AK,MATCH($A18,November!$A:$A,0)),0)+IFERROR(INDEX(December!$AL:$AL,MATCH($A18,December!$A:$A,0)),0))*0.5</f>
        <v>12.5</v>
      </c>
      <c r="Z18" s="54">
        <f>IFERROR(INDEX(January!$AK:$AK,MATCH($A18,January!$A:$A,0)),0)+IFERROR(INDEX(February!$AH:$AH,MATCH($A18,February!$A:$A,0)),0)+IFERROR(INDEX(March!$AK:$AK,MATCH($A18,March!$A:$A,0)),0)+IFERROR(INDEX(April!$AJ:$AJ,MATCH($A18,April!$A:$A,0)),0)+IFERROR(INDEX(May!$AK:$AK,MATCH($A18,May!$A:$A,0)),0)+IFERROR(INDEX(June!$AJ:$AJ,MATCH($A18,June!$A:$A,0)),0)+IFERROR(INDEX(July!$AK:$AK,MATCH($A18,July!$A:$A,0)),0)+IFERROR(INDEX(August!$AK:$AK,MATCH($A18,August!$A:$A,0)),0)+IFERROR(INDEX(September!$AJ:$AJ,MATCH($A18,September!$A:$A,0)),0)+IFERROR(INDEX(October!$AK:$AK,MATCH($A18,October!$A:$A,0)),0)+IFERROR(INDEX(November!$AJ:$AJ,MATCH($A18,November!$A:$A,0)),0)+IFERROR(INDEX(December!$AK:$AK,MATCH($A18,December!$A:$A,0)),0)</f>
        <v>26</v>
      </c>
      <c r="AA18" s="51">
        <f t="shared" si="1"/>
        <v>38.5</v>
      </c>
      <c r="AB18" s="55">
        <v>17</v>
      </c>
      <c r="AC18" s="56">
        <f t="shared" si="2"/>
        <v>55.5</v>
      </c>
      <c r="AD18" s="57">
        <v>71</v>
      </c>
      <c r="AE18" s="58">
        <f>AC18-IF(AD18="",0,AD18)</f>
        <v>-15.5</v>
      </c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</row>
    <row r="19" spans="1:49" ht="22" customHeight="1" x14ac:dyDescent="0.35">
      <c r="A19" s="8" t="s">
        <v>67</v>
      </c>
      <c r="B19" s="8" t="s">
        <v>68</v>
      </c>
      <c r="C19" s="8" t="s">
        <v>45</v>
      </c>
      <c r="D19" s="10">
        <v>27</v>
      </c>
      <c r="E19" s="10">
        <v>22</v>
      </c>
      <c r="F19" s="10">
        <v>24</v>
      </c>
      <c r="G19" s="11">
        <v>9</v>
      </c>
      <c r="H19" s="11">
        <v>12</v>
      </c>
      <c r="I19" s="11">
        <v>18</v>
      </c>
      <c r="J19" s="11">
        <v>16</v>
      </c>
      <c r="K19" s="11">
        <v>18</v>
      </c>
      <c r="L19" s="10">
        <v>23</v>
      </c>
      <c r="M19" s="10">
        <v>25</v>
      </c>
      <c r="N19" s="10">
        <v>21</v>
      </c>
      <c r="O19" s="11">
        <v>4</v>
      </c>
      <c r="P19" s="8">
        <f>IFERROR(INDEX(January!$AI:$AI,MATCH($A19,January!$A:$A,0)),0)+IFERROR(INDEX(February!$AF:$AF,MATCH($A19,February!$A:$A,0)),0)+IFERROR(INDEX(March!$AI:$AI,MATCH($A19,March!$A:$A,0)),0)+IFERROR(INDEX(April!$AH:$AH,MATCH($A19,April!$A:$A,0)),0)+IFERROR(INDEX(May!$AI:$AI,MATCH($A19,May!$A:$A,0)),0)+IFERROR(INDEX(June!$AH:$AH,MATCH($A19,June!$A:$A,0)),0)+IFERROR(INDEX(July!$AI:$AI,MATCH($A19,July!$A:$A,0)),0)+IFERROR(INDEX(August!$AI:$AI,MATCH($A19,August!$A:$A,0)),0)+IFERROR(INDEX(September!$AH:$AH,MATCH($A19,September!$A:$A,0)),0)+IFERROR(INDEX(October!$AI:$AI,MATCH($A19,October!$A:$A,0)),0)+IFERROR(INDEX(November!$AH:$AH,MATCH($A19,November!$A:$A,0)),0)+IFERROR(INDEX(December!$AI:$AI,MATCH($A19,December!$A:$A,0)),0)</f>
        <v>180</v>
      </c>
      <c r="Q19" s="8">
        <f>IFERROR(INDEX(January!$AJ:$AJ,MATCH($A19,January!$A:$A,0)),0)+IFERROR(INDEX(February!$AG:$AG,MATCH($A19,February!$A:$A,0)),0)+IFERROR(INDEX(March!$AJ:$AJ,MATCH($A19,March!$A:$A,0)),0)+IFERROR(INDEX(April!$AI:$AI,MATCH($A19,April!$A:$A,0)),0)+IFERROR(INDEX(May!$AJ:$AJ,MATCH($A19,May!$A:$A,0)),0)+IFERROR(INDEX(June!$AI:$AI,MATCH($A19,June!$A:$A,0)),0)+IFERROR(INDEX(July!$AJ:$AJ,MATCH($A19,July!$A:$A,0)),0)+IFERROR(INDEX(August!$AJ:$AJ,MATCH($A19,August!$A:$A,0)),0)+IFERROR(INDEX(September!$AI:$AI,MATCH($A19,September!$A:$A,0)),0)+IFERROR(INDEX(October!$AJ:$AJ,MATCH($A19,October!$A:$A,0)),0)+IFERROR(INDEX(November!$AI:$AI,MATCH($A19,November!$A:$A,0)),0)+IFERROR(INDEX(December!$AJ:$AJ,MATCH($A19,December!$A:$A,0)),0)</f>
        <v>81</v>
      </c>
      <c r="R19" s="8">
        <f>IFERROR(INDEX(January!$AK:$AK,MATCH($A19,January!$A:$A,0)),0)+IFERROR(INDEX(February!$AH:$AH,MATCH($A19,February!$A:$A,0)),0)+IFERROR(INDEX(March!$AK:$AK,MATCH($A19,March!$A:$A,0)),0)+IFERROR(INDEX(April!$AJ:$AJ,MATCH($A19,April!$A:$A,0)),0)+IFERROR(INDEX(May!$AK:$AK,MATCH($A19,May!$A:$A,0)),0)+IFERROR(INDEX(June!$AJ:$AJ,MATCH($A19,June!$A:$A,0)),0)+IFERROR(INDEX(July!$AK:$AK,MATCH($A19,July!$A:$A,0)),0)+IFERROR(INDEX(August!$AK:$AK,MATCH($A19,August!$A:$A,0)),0)+IFERROR(INDEX(September!$AJ:$AJ,MATCH($A19,September!$A:$A,0)),0)+IFERROR(INDEX(October!$AK:$AK,MATCH($A19,October!$A:$A,0)),0)+IFERROR(INDEX(November!$AJ:$AJ,MATCH($A19,November!$A:$A,0)),0)+IFERROR(INDEX(December!$AK:$AK,MATCH($A19,December!$A:$A,0)),0)</f>
        <v>17</v>
      </c>
      <c r="S19" s="36">
        <f t="shared" si="4"/>
        <v>0.68965517241379315</v>
      </c>
      <c r="T19" s="38"/>
      <c r="U19" s="51">
        <f>IFERROR(INDEX(January!$AQ:$AQ,MATCH($A19,January!$A:$A,0)),0)+IFERROR(INDEX(February!$AN:$AN,MATCH($A19,February!$A:$A,0)),0)+IFERROR(INDEX(March!$AQ:$AQ,MATCH($A19,March!$A:$A,0)),0)+IFERROR(INDEX(April!$AP:$AP,MATCH($A19,April!$A:$A,0)),0)+IFERROR(INDEX(May!$AQ:$AQ,MATCH($A19,May!$A:$A,0)),0)+IFERROR(INDEX(June!$AP:$AP,MATCH($A19,June!$A:$A,0)),0)+IFERROR(INDEX(July!$AQ:$AQ,MATCH($A19,July!$A:$A,0)),0)+IFERROR(INDEX(August!$AQ:$AQ,MATCH($A19,August!$A:$A,0)),0)+IFERROR(INDEX(September!$AP:$AP,MATCH($A19,September!$A:$A,0)),0)+IFERROR(INDEX(October!$AQ:$AQ,MATCH($A19,October!$A:$A,0)),0)+IFERROR(INDEX(November!$AP:$AP,MATCH($A19,November!$A:$A,0)),0)+IFERROR(INDEX(December!$AQ:$AQ,MATCH($A19,December!$A:$A,0)),0)</f>
        <v>199</v>
      </c>
      <c r="V19" s="52">
        <f>IFERROR(INDEX(January!$AJ:$AJ,MATCH($A19,January!$A:$A,0)),0)+IFERROR(INDEX(February!$AG:$AG,MATCH($A19,February!$A:$A,0)),0)+IFERROR(INDEX(March!$AJ:$AJ,MATCH($A19,March!$A:$A,0)),0)+IFERROR(INDEX(April!$AI:$AI,MATCH($A19,April!$A:$A,0)),0)+IFERROR(INDEX(May!$AJ:$AJ,MATCH($A19,May!$A:$A,0)),0)+IFERROR(INDEX(June!$AI:$AI,MATCH($A19,June!$A:$A,0)),0)+IFERROR(INDEX(July!$AJ:$AJ,MATCH($A19,July!$A:$A,0)),0)+IFERROR(INDEX(August!$AJ:$AJ,MATCH($A19,August!$A:$A,0)),0)+IFERROR(INDEX(September!$AI:$AI,MATCH($A19,September!$A:$A,0)),0)+IFERROR(INDEX(October!$AJ:$AJ,MATCH($A19,October!$A:$A,0)),0)+IFERROR(INDEX(November!$AI:$AI,MATCH($A19,November!$A:$A,0)),0)+IFERROR(INDEX(December!$AJ:$AJ,MATCH($A19,December!$A:$A,0)),0)</f>
        <v>81</v>
      </c>
      <c r="W19" s="53">
        <f>IFERROR(INDEX(January!$AO:$AO,MATCH($A19,January!$A:$A,0)),0)+IFERROR(INDEX(February!$AL:$AL,MATCH($A19,February!$A:$A,0)),0)+IFERROR(INDEX(March!$AO:$AO,MATCH($A19,March!$A:$A,0)),0)+IFERROR(INDEX(April!$AN:$AN,MATCH($A19,April!$A:$A,0)),0)+IFERROR(INDEX(May!$AO:$AO,MATCH($A19,May!$A:$A,0)),0)+IFERROR(INDEX(June!$AN:$AN,MATCH($A19,June!$A:$A,0)),0)+IFERROR(INDEX(July!$AO:$AO,MATCH($A19,July!$A:$A,0)),0)+IFERROR(INDEX(August!$AO:$AO,MATCH($A19,August!$A:$A,0)),0)+IFERROR(INDEX(September!$AN:$AN,MATCH($A19,September!$A:$A,0)),0)+IFERROR(INDEX(October!$AO:$AO,MATCH($A19,October!$A:$A,0)),0)+IFERROR(INDEX(November!$AN:$AN,MATCH($A19,November!$A:$A,0)),0)+IFERROR(INDEX(December!$AO:$AO,MATCH($A19,December!$A:$A,0)),0)</f>
        <v>18</v>
      </c>
      <c r="X19" s="53">
        <f t="shared" si="0"/>
        <v>9</v>
      </c>
      <c r="Y19" s="53">
        <f>(IFERROR(INDEX(January!$AL:$AL,MATCH($A19,January!$A:$A,0)),0)+IFERROR(INDEX(February!$AI:$AI,MATCH($A19,February!$A:$A,0)),0)+IFERROR(INDEX(March!$AL:$AL,MATCH($A19,March!$A:$A,0)),0)+IFERROR(INDEX(April!$AK:$AK,MATCH($A19,April!$A:$A,0)),0)+IFERROR(INDEX(May!$AL:$AL,MATCH($A19,May!$A:$A,0)),0)+IFERROR(INDEX(June!$AK:$AK,MATCH($A19,June!$A:$A,0)),0)+IFERROR(INDEX(July!$AL:$AL,MATCH($A19,July!$A:$A,0)),0)+IFERROR(INDEX(August!$AL:$AL,MATCH($A19,August!$A:$A,0)),0)+IFERROR(INDEX(September!$AK:$AK,MATCH($A19,September!$A:$A,0)),0)+IFERROR(INDEX(October!$AL:$AL,MATCH($A19,October!$A:$A,0)),0)+IFERROR(INDEX(November!$AK:$AK,MATCH($A19,November!$A:$A,0)),0)+IFERROR(INDEX(December!$AL:$AL,MATCH($A19,December!$A:$A,0)),0))*0.5</f>
        <v>11</v>
      </c>
      <c r="Z19" s="54">
        <f>IFERROR(INDEX(January!$AK:$AK,MATCH($A19,January!$A:$A,0)),0)+IFERROR(INDEX(February!$AH:$AH,MATCH($A19,February!$A:$A,0)),0)+IFERROR(INDEX(March!$AK:$AK,MATCH($A19,March!$A:$A,0)),0)+IFERROR(INDEX(April!$AJ:$AJ,MATCH($A19,April!$A:$A,0)),0)+IFERROR(INDEX(May!$AK:$AK,MATCH($A19,May!$A:$A,0)),0)+IFERROR(INDEX(June!$AJ:$AJ,MATCH($A19,June!$A:$A,0)),0)+IFERROR(INDEX(July!$AK:$AK,MATCH($A19,July!$A:$A,0)),0)+IFERROR(INDEX(August!$AK:$AK,MATCH($A19,August!$A:$A,0)),0)+IFERROR(INDEX(September!$AJ:$AJ,MATCH($A19,September!$A:$A,0)),0)+IFERROR(INDEX(October!$AK:$AK,MATCH($A19,October!$A:$A,0)),0)+IFERROR(INDEX(November!$AJ:$AJ,MATCH($A19,November!$A:$A,0)),0)+IFERROR(INDEX(December!$AK:$AK,MATCH($A19,December!$A:$A,0)),0)</f>
        <v>17</v>
      </c>
      <c r="AA19" s="51">
        <f t="shared" si="1"/>
        <v>28</v>
      </c>
      <c r="AB19" s="55">
        <v>17</v>
      </c>
      <c r="AC19" s="56">
        <f t="shared" si="2"/>
        <v>45</v>
      </c>
      <c r="AD19" s="57"/>
      <c r="AE19" s="58">
        <f t="shared" si="3"/>
        <v>45</v>
      </c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</row>
    <row r="20" spans="1:49" ht="22" customHeight="1" x14ac:dyDescent="0.35">
      <c r="A20" s="8" t="s">
        <v>69</v>
      </c>
      <c r="B20" s="8" t="s">
        <v>70</v>
      </c>
      <c r="C20" s="8" t="s">
        <v>45</v>
      </c>
      <c r="D20" s="10">
        <v>27</v>
      </c>
      <c r="E20" s="11">
        <v>15</v>
      </c>
      <c r="F20" s="11">
        <v>16</v>
      </c>
      <c r="G20" s="10">
        <v>24</v>
      </c>
      <c r="H20" s="11">
        <v>18</v>
      </c>
      <c r="I20" s="11">
        <v>9</v>
      </c>
      <c r="J20" s="10">
        <v>21</v>
      </c>
      <c r="K20" s="10">
        <v>23</v>
      </c>
      <c r="L20" s="10">
        <v>25</v>
      </c>
      <c r="M20" s="10">
        <v>27</v>
      </c>
      <c r="N20" s="11">
        <v>14</v>
      </c>
      <c r="O20" s="10">
        <v>21</v>
      </c>
      <c r="P20" s="8">
        <f>IFERROR(INDEX(January!$AI:$AI,MATCH($A20,January!$A:$A,0)),0)+IFERROR(INDEX(February!$AF:$AF,MATCH($A20,February!$A:$A,0)),0)+IFERROR(INDEX(March!$AI:$AI,MATCH($A20,March!$A:$A,0)),0)+IFERROR(INDEX(April!$AH:$AH,MATCH($A20,April!$A:$A,0)),0)+IFERROR(INDEX(May!$AI:$AI,MATCH($A20,May!$A:$A,0)),0)+IFERROR(INDEX(June!$AH:$AH,MATCH($A20,June!$A:$A,0)),0)+IFERROR(INDEX(July!$AI:$AI,MATCH($A20,July!$A:$A,0)),0)+IFERROR(INDEX(August!$AI:$AI,MATCH($A20,August!$A:$A,0)),0)+IFERROR(INDEX(September!$AH:$AH,MATCH($A20,September!$A:$A,0)),0)+IFERROR(INDEX(October!$AI:$AI,MATCH($A20,October!$A:$A,0)),0)+IFERROR(INDEX(November!$AH:$AH,MATCH($A20,November!$A:$A,0)),0)+IFERROR(INDEX(December!$AI:$AI,MATCH($A20,December!$A:$A,0)),0)</f>
        <v>203</v>
      </c>
      <c r="Q20" s="8">
        <f>IFERROR(INDEX(January!$AJ:$AJ,MATCH($A20,January!$A:$A,0)),0)+IFERROR(INDEX(February!$AG:$AG,MATCH($A20,February!$A:$A,0)),0)+IFERROR(INDEX(March!$AJ:$AJ,MATCH($A20,March!$A:$A,0)),0)+IFERROR(INDEX(April!$AI:$AI,MATCH($A20,April!$A:$A,0)),0)+IFERROR(INDEX(May!$AJ:$AJ,MATCH($A20,May!$A:$A,0)),0)+IFERROR(INDEX(June!$AI:$AI,MATCH($A20,June!$A:$A,0)),0)+IFERROR(INDEX(July!$AJ:$AJ,MATCH($A20,July!$A:$A,0)),0)+IFERROR(INDEX(August!$AJ:$AJ,MATCH($A20,August!$A:$A,0)),0)+IFERROR(INDEX(September!$AI:$AI,MATCH($A20,September!$A:$A,0)),0)+IFERROR(INDEX(October!$AJ:$AJ,MATCH($A20,October!$A:$A,0)),0)+IFERROR(INDEX(November!$AI:$AI,MATCH($A20,November!$A:$A,0)),0)+IFERROR(INDEX(December!$AJ:$AJ,MATCH($A20,December!$A:$A,0)),0)</f>
        <v>58</v>
      </c>
      <c r="R20" s="8">
        <f>IFERROR(INDEX(January!$AK:$AK,MATCH($A20,January!$A:$A,0)),0)+IFERROR(INDEX(February!$AH:$AH,MATCH($A20,February!$A:$A,0)),0)+IFERROR(INDEX(March!$AK:$AK,MATCH($A20,March!$A:$A,0)),0)+IFERROR(INDEX(April!$AJ:$AJ,MATCH($A20,April!$A:$A,0)),0)+IFERROR(INDEX(May!$AK:$AK,MATCH($A20,May!$A:$A,0)),0)+IFERROR(INDEX(June!$AJ:$AJ,MATCH($A20,June!$A:$A,0)),0)+IFERROR(INDEX(July!$AK:$AK,MATCH($A20,July!$A:$A,0)),0)+IFERROR(INDEX(August!$AK:$AK,MATCH($A20,August!$A:$A,0)),0)+IFERROR(INDEX(September!$AJ:$AJ,MATCH($A20,September!$A:$A,0)),0)+IFERROR(INDEX(October!$AK:$AK,MATCH($A20,October!$A:$A,0)),0)+IFERROR(INDEX(November!$AJ:$AJ,MATCH($A20,November!$A:$A,0)),0)+IFERROR(INDEX(December!$AK:$AK,MATCH($A20,December!$A:$A,0)),0)</f>
        <v>10</v>
      </c>
      <c r="S20" s="35">
        <f t="shared" si="4"/>
        <v>0.77777777777777779</v>
      </c>
      <c r="T20" s="38"/>
      <c r="U20" s="51">
        <f>IFERROR(INDEX(January!$AQ:$AQ,MATCH($A20,January!$A:$A,0)),0)+IFERROR(INDEX(February!$AN:$AN,MATCH($A20,February!$A:$A,0)),0)+IFERROR(INDEX(March!$AQ:$AQ,MATCH($A20,March!$A:$A,0)),0)+IFERROR(INDEX(April!$AP:$AP,MATCH($A20,April!$A:$A,0)),0)+IFERROR(INDEX(May!$AQ:$AQ,MATCH($A20,May!$A:$A,0)),0)+IFERROR(INDEX(June!$AP:$AP,MATCH($A20,June!$A:$A,0)),0)+IFERROR(INDEX(July!$AQ:$AQ,MATCH($A20,July!$A:$A,0)),0)+IFERROR(INDEX(August!$AQ:$AQ,MATCH($A20,August!$A:$A,0)),0)+IFERROR(INDEX(September!$AP:$AP,MATCH($A20,September!$A:$A,0)),0)+IFERROR(INDEX(October!$AQ:$AQ,MATCH($A20,October!$A:$A,0)),0)+IFERROR(INDEX(November!$AP:$AP,MATCH($A20,November!$A:$A,0)),0)+IFERROR(INDEX(December!$AQ:$AQ,MATCH($A20,December!$A:$A,0)),0)</f>
        <v>220.5</v>
      </c>
      <c r="V20" s="52">
        <f>IFERROR(INDEX(January!$AJ:$AJ,MATCH($A20,January!$A:$A,0)),0)+IFERROR(INDEX(February!$AG:$AG,MATCH($A20,February!$A:$A,0)),0)+IFERROR(INDEX(March!$AJ:$AJ,MATCH($A20,March!$A:$A,0)),0)+IFERROR(INDEX(April!$AI:$AI,MATCH($A20,April!$A:$A,0)),0)+IFERROR(INDEX(May!$AJ:$AJ,MATCH($A20,May!$A:$A,0)),0)+IFERROR(INDEX(June!$AI:$AI,MATCH($A20,June!$A:$A,0)),0)+IFERROR(INDEX(July!$AJ:$AJ,MATCH($A20,July!$A:$A,0)),0)+IFERROR(INDEX(August!$AJ:$AJ,MATCH($A20,August!$A:$A,0)),0)+IFERROR(INDEX(September!$AI:$AI,MATCH($A20,September!$A:$A,0)),0)+IFERROR(INDEX(October!$AJ:$AJ,MATCH($A20,October!$A:$A,0)),0)+IFERROR(INDEX(November!$AI:$AI,MATCH($A20,November!$A:$A,0)),0)+IFERROR(INDEX(December!$AJ:$AJ,MATCH($A20,December!$A:$A,0)),0)</f>
        <v>58</v>
      </c>
      <c r="W20" s="53">
        <f>IFERROR(INDEX(January!$AO:$AO,MATCH($A20,January!$A:$A,0)),0)+IFERROR(INDEX(February!$AL:$AL,MATCH($A20,February!$A:$A,0)),0)+IFERROR(INDEX(March!$AO:$AO,MATCH($A20,March!$A:$A,0)),0)+IFERROR(INDEX(April!$AN:$AN,MATCH($A20,April!$A:$A,0)),0)+IFERROR(INDEX(May!$AO:$AO,MATCH($A20,May!$A:$A,0)),0)+IFERROR(INDEX(June!$AN:$AN,MATCH($A20,June!$A:$A,0)),0)+IFERROR(INDEX(July!$AO:$AO,MATCH($A20,July!$A:$A,0)),0)+IFERROR(INDEX(August!$AO:$AO,MATCH($A20,August!$A:$A,0)),0)+IFERROR(INDEX(September!$AN:$AN,MATCH($A20,September!$A:$A,0)),0)+IFERROR(INDEX(October!$AO:$AO,MATCH($A20,October!$A:$A,0)),0)+IFERROR(INDEX(November!$AN:$AN,MATCH($A20,November!$A:$A,0)),0)+IFERROR(INDEX(December!$AO:$AO,MATCH($A20,December!$A:$A,0)),0)</f>
        <v>12</v>
      </c>
      <c r="X20" s="53">
        <f t="shared" si="0"/>
        <v>6</v>
      </c>
      <c r="Y20" s="53">
        <f>(IFERROR(INDEX(January!$AL:$AL,MATCH($A20,January!$A:$A,0)),0)+IFERROR(INDEX(February!$AI:$AI,MATCH($A20,February!$A:$A,0)),0)+IFERROR(INDEX(March!$AL:$AL,MATCH($A20,March!$A:$A,0)),0)+IFERROR(INDEX(April!$AK:$AK,MATCH($A20,April!$A:$A,0)),0)+IFERROR(INDEX(May!$AL:$AL,MATCH($A20,May!$A:$A,0)),0)+IFERROR(INDEX(June!$AK:$AK,MATCH($A20,June!$A:$A,0)),0)+IFERROR(INDEX(July!$AL:$AL,MATCH($A20,July!$A:$A,0)),0)+IFERROR(INDEX(August!$AL:$AL,MATCH($A20,August!$A:$A,0)),0)+IFERROR(INDEX(September!$AK:$AK,MATCH($A20,September!$A:$A,0)),0)+IFERROR(INDEX(October!$AL:$AL,MATCH($A20,October!$A:$A,0)),0)+IFERROR(INDEX(November!$AK:$AK,MATCH($A20,November!$A:$A,0)),0)+IFERROR(INDEX(December!$AL:$AL,MATCH($A20,December!$A:$A,0)),0))*0.5</f>
        <v>13.5</v>
      </c>
      <c r="Z20" s="54">
        <f>IFERROR(INDEX(January!$AK:$AK,MATCH($A20,January!$A:$A,0)),0)+IFERROR(INDEX(February!$AH:$AH,MATCH($A20,February!$A:$A,0)),0)+IFERROR(INDEX(March!$AK:$AK,MATCH($A20,March!$A:$A,0)),0)+IFERROR(INDEX(April!$AJ:$AJ,MATCH($A20,April!$A:$A,0)),0)+IFERROR(INDEX(May!$AK:$AK,MATCH($A20,May!$A:$A,0)),0)+IFERROR(INDEX(June!$AJ:$AJ,MATCH($A20,June!$A:$A,0)),0)+IFERROR(INDEX(July!$AK:$AK,MATCH($A20,July!$A:$A,0)),0)+IFERROR(INDEX(August!$AK:$AK,MATCH($A20,August!$A:$A,0)),0)+IFERROR(INDEX(September!$AJ:$AJ,MATCH($A20,September!$A:$A,0)),0)+IFERROR(INDEX(October!$AK:$AK,MATCH($A20,October!$A:$A,0)),0)+IFERROR(INDEX(November!$AJ:$AJ,MATCH($A20,November!$A:$A,0)),0)+IFERROR(INDEX(December!$AK:$AK,MATCH($A20,December!$A:$A,0)),0)</f>
        <v>10</v>
      </c>
      <c r="AA20" s="51">
        <f t="shared" si="1"/>
        <v>23.5</v>
      </c>
      <c r="AB20" s="55">
        <v>17</v>
      </c>
      <c r="AC20" s="56">
        <f t="shared" si="2"/>
        <v>40.5</v>
      </c>
      <c r="AD20" s="57"/>
      <c r="AE20" s="58">
        <f t="shared" si="3"/>
        <v>40.5</v>
      </c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</row>
    <row r="22" spans="1:49" ht="25" customHeight="1" x14ac:dyDescent="0.35">
      <c r="A22" s="66" t="s">
        <v>71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</row>
    <row r="23" spans="1:49" ht="22" customHeight="1" x14ac:dyDescent="0.35">
      <c r="A23" s="8" t="s">
        <v>72</v>
      </c>
      <c r="B23" s="8" t="s">
        <v>73</v>
      </c>
      <c r="C23" s="8" t="s">
        <v>74</v>
      </c>
      <c r="D23" s="11">
        <v>16</v>
      </c>
      <c r="E23" s="10">
        <v>23</v>
      </c>
      <c r="F23" s="10">
        <v>28</v>
      </c>
      <c r="G23" s="10">
        <v>22</v>
      </c>
      <c r="H23" s="9">
        <v>0</v>
      </c>
      <c r="I23" s="10">
        <v>23</v>
      </c>
      <c r="J23" s="10">
        <v>25</v>
      </c>
      <c r="K23" s="10">
        <v>20</v>
      </c>
      <c r="L23" s="10">
        <v>26</v>
      </c>
      <c r="M23" s="11">
        <v>11</v>
      </c>
      <c r="N23" s="10">
        <v>21</v>
      </c>
      <c r="O23" s="10">
        <v>23</v>
      </c>
      <c r="P23" s="8">
        <f>IFERROR(INDEX(January!$AI:$AI,MATCH($A23,January!$A:$A,0)),0)+IFERROR(INDEX(February!$AF:$AF,MATCH($A23,February!$A:$A,0)),0)+IFERROR(INDEX(March!$AI:$AI,MATCH($A23,March!$A:$A,0)),0)+IFERROR(INDEX(April!$AH:$AH,MATCH($A23,April!$A:$A,0)),0)+IFERROR(INDEX(May!$AI:$AI,MATCH($A23,May!$A:$A,0)),0)+IFERROR(INDEX(June!$AH:$AH,MATCH($A23,June!$A:$A,0)),0)+IFERROR(INDEX(July!$AI:$AI,MATCH($A23,July!$A:$A,0)),0)+IFERROR(INDEX(August!$AI:$AI,MATCH($A23,August!$A:$A,0)),0)+IFERROR(INDEX(September!$AH:$AH,MATCH($A23,September!$A:$A,0)),0)+IFERROR(INDEX(October!$AI:$AI,MATCH($A23,October!$A:$A,0)),0)+IFERROR(INDEX(November!$AH:$AH,MATCH($A23,November!$A:$A,0)),0)+IFERROR(INDEX(December!$AI:$AI,MATCH($A23,December!$A:$A,0)),0)</f>
        <v>193</v>
      </c>
      <c r="Q23" s="8">
        <f>IFERROR(INDEX(January!$AJ:$AJ,MATCH($A23,January!$A:$A,0)),0)+IFERROR(INDEX(February!$AG:$AG,MATCH($A23,February!$A:$A,0)),0)+IFERROR(INDEX(March!$AJ:$AJ,MATCH($A23,March!$A:$A,0)),0)+IFERROR(INDEX(April!$AI:$AI,MATCH($A23,April!$A:$A,0)),0)+IFERROR(INDEX(May!$AJ:$AJ,MATCH($A23,May!$A:$A,0)),0)+IFERROR(INDEX(June!$AI:$AI,MATCH($A23,June!$A:$A,0)),0)+IFERROR(INDEX(July!$AJ:$AJ,MATCH($A23,July!$A:$A,0)),0)+IFERROR(INDEX(August!$AJ:$AJ,MATCH($A23,August!$A:$A,0)),0)+IFERROR(INDEX(September!$AI:$AI,MATCH($A23,September!$A:$A,0)),0)+IFERROR(INDEX(October!$AJ:$AJ,MATCH($A23,October!$A:$A,0)),0)+IFERROR(INDEX(November!$AI:$AI,MATCH($A23,November!$A:$A,0)),0)+IFERROR(INDEX(December!$AJ:$AJ,MATCH($A23,December!$A:$A,0)),0)</f>
        <v>68</v>
      </c>
      <c r="R23" s="8">
        <f>IFERROR(INDEX(January!$AK:$AK,MATCH($A23,January!$A:$A,0)),0)+IFERROR(INDEX(February!$AH:$AH,MATCH($A23,February!$A:$A,0)),0)+IFERROR(INDEX(March!$AK:$AK,MATCH($A23,March!$A:$A,0)),0)+IFERROR(INDEX(April!$AJ:$AJ,MATCH($A23,April!$A:$A,0)),0)+IFERROR(INDEX(May!$AK:$AK,MATCH($A23,May!$A:$A,0)),0)+IFERROR(INDEX(June!$AJ:$AJ,MATCH($A23,June!$A:$A,0)),0)+IFERROR(INDEX(July!$AK:$AK,MATCH($A23,July!$A:$A,0)),0)+IFERROR(INDEX(August!$AK:$AK,MATCH($A23,August!$A:$A,0)),0)+IFERROR(INDEX(September!$AJ:$AJ,MATCH($A23,September!$A:$A,0)),0)+IFERROR(INDEX(October!$AK:$AK,MATCH($A23,October!$A:$A,0)),0)+IFERROR(INDEX(November!$AJ:$AJ,MATCH($A23,November!$A:$A,0)),0)+IFERROR(INDEX(December!$AK:$AK,MATCH($A23,December!$A:$A,0)),0)</f>
        <v>21</v>
      </c>
      <c r="S23" s="35">
        <f t="shared" ref="S23:S36" si="5">IF((P23+Q23)=0,"",P23/(P23+Q23))</f>
        <v>0.73946360153256707</v>
      </c>
      <c r="T23" s="38"/>
      <c r="U23" s="51">
        <f>IFERROR(INDEX(January!$AQ:$AQ,MATCH($A23,January!$A:$A,0)),0)+IFERROR(INDEX(February!$AN:$AN,MATCH($A23,February!$A:$A,0)),0)+IFERROR(INDEX(March!$AQ:$AQ,MATCH($A23,March!$A:$A,0)),0)+IFERROR(INDEX(April!$AP:$AP,MATCH($A23,April!$A:$A,0)),0)+IFERROR(INDEX(May!$AQ:$AQ,MATCH($A23,May!$A:$A,0)),0)+IFERROR(INDEX(June!$AP:$AP,MATCH($A23,June!$A:$A,0)),0)+IFERROR(INDEX(July!$AQ:$AQ,MATCH($A23,July!$A:$A,0)),0)+IFERROR(INDEX(August!$AQ:$AQ,MATCH($A23,August!$A:$A,0)),0)+IFERROR(INDEX(September!$AP:$AP,MATCH($A23,September!$A:$A,0)),0)+IFERROR(INDEX(October!$AQ:$AQ,MATCH($A23,October!$A:$A,0)),0)+IFERROR(INDEX(November!$AP:$AP,MATCH($A23,November!$A:$A,0)),0)+IFERROR(INDEX(December!$AQ:$AQ,MATCH($A23,December!$A:$A,0)),0)</f>
        <v>219.5</v>
      </c>
      <c r="V23" s="52">
        <f>IFERROR(INDEX(January!$AJ:$AJ,MATCH($A23,January!$A:$A,0)),0)+IFERROR(INDEX(February!$AG:$AG,MATCH($A23,February!$A:$A,0)),0)+IFERROR(INDEX(March!$AJ:$AJ,MATCH($A23,March!$A:$A,0)),0)+IFERROR(INDEX(April!$AI:$AI,MATCH($A23,April!$A:$A,0)),0)+IFERROR(INDEX(May!$AJ:$AJ,MATCH($A23,May!$A:$A,0)),0)+IFERROR(INDEX(June!$AI:$AI,MATCH($A23,June!$A:$A,0)),0)+IFERROR(INDEX(July!$AJ:$AJ,MATCH($A23,July!$A:$A,0)),0)+IFERROR(INDEX(August!$AJ:$AJ,MATCH($A23,August!$A:$A,0)),0)+IFERROR(INDEX(September!$AI:$AI,MATCH($A23,September!$A:$A,0)),0)+IFERROR(INDEX(October!$AJ:$AJ,MATCH($A23,October!$A:$A,0)),0)+IFERROR(INDEX(November!$AI:$AI,MATCH($A23,November!$A:$A,0)),0)+IFERROR(INDEX(December!$AJ:$AJ,MATCH($A23,December!$A:$A,0)),0)</f>
        <v>68</v>
      </c>
      <c r="W23" s="53">
        <f>IFERROR(INDEX(January!$AO:$AO,MATCH($A23,January!$A:$A,0)),0)+IFERROR(INDEX(February!$AL:$AL,MATCH($A23,February!$A:$A,0)),0)+IFERROR(INDEX(March!$AO:$AO,MATCH($A23,March!$A:$A,0)),0)+IFERROR(INDEX(April!$AN:$AN,MATCH($A23,April!$A:$A,0)),0)+IFERROR(INDEX(May!$AO:$AO,MATCH($A23,May!$A:$A,0)),0)+IFERROR(INDEX(June!$AN:$AN,MATCH($A23,June!$A:$A,0)),0)+IFERROR(INDEX(July!$AO:$AO,MATCH($A23,July!$A:$A,0)),0)+IFERROR(INDEX(August!$AO:$AO,MATCH($A23,August!$A:$A,0)),0)+IFERROR(INDEX(September!$AN:$AN,MATCH($A23,September!$A:$A,0)),0)+IFERROR(INDEX(October!$AO:$AO,MATCH($A23,October!$A:$A,0)),0)+IFERROR(INDEX(November!$AN:$AN,MATCH($A23,November!$A:$A,0)),0)+IFERROR(INDEX(December!$AO:$AO,MATCH($A23,December!$A:$A,0)),0)</f>
        <v>13</v>
      </c>
      <c r="X23" s="53">
        <f t="shared" ref="X23:X36" si="6">W23/2</f>
        <v>6.5</v>
      </c>
      <c r="Y23" s="53">
        <f>(IFERROR(INDEX(January!$AL:$AL,MATCH($A23,January!$A:$A,0)),0)+IFERROR(INDEX(February!$AI:$AI,MATCH($A23,February!$A:$A,0)),0)+IFERROR(INDEX(March!$AL:$AL,MATCH($A23,March!$A:$A,0)),0)+IFERROR(INDEX(April!$AK:$AK,MATCH($A23,April!$A:$A,0)),0)+IFERROR(INDEX(May!$AL:$AL,MATCH($A23,May!$A:$A,0)),0)+IFERROR(INDEX(June!$AK:$AK,MATCH($A23,June!$A:$A,0)),0)+IFERROR(INDEX(July!$AL:$AL,MATCH($A23,July!$A:$A,0)),0)+IFERROR(INDEX(August!$AL:$AL,MATCH($A23,August!$A:$A,0)),0)+IFERROR(INDEX(September!$AK:$AK,MATCH($A23,September!$A:$A,0)),0)+IFERROR(INDEX(October!$AL:$AL,MATCH($A23,October!$A:$A,0)),0)+IFERROR(INDEX(November!$AK:$AK,MATCH($A23,November!$A:$A,0)),0)+IFERROR(INDEX(December!$AL:$AL,MATCH($A23,December!$A:$A,0)),0))*0.5</f>
        <v>12</v>
      </c>
      <c r="Z23" s="54">
        <f>IFERROR(INDEX(January!$AK:$AK,MATCH($A23,January!$A:$A,0)),0)+IFERROR(INDEX(February!$AH:$AH,MATCH($A23,February!$A:$A,0)),0)+IFERROR(INDEX(March!$AK:$AK,MATCH($A23,March!$A:$A,0)),0)+IFERROR(INDEX(April!$AJ:$AJ,MATCH($A23,April!$A:$A,0)),0)+IFERROR(INDEX(May!$AK:$AK,MATCH($A23,May!$A:$A,0)),0)+IFERROR(INDEX(June!$AJ:$AJ,MATCH($A23,June!$A:$A,0)),0)+IFERROR(INDEX(July!$AK:$AK,MATCH($A23,July!$A:$A,0)),0)+IFERROR(INDEX(August!$AK:$AK,MATCH($A23,August!$A:$A,0)),0)+IFERROR(INDEX(September!$AJ:$AJ,MATCH($A23,September!$A:$A,0)),0)+IFERROR(INDEX(October!$AK:$AK,MATCH($A23,October!$A:$A,0)),0)+IFERROR(INDEX(November!$AJ:$AJ,MATCH($A23,November!$A:$A,0)),0)+IFERROR(INDEX(December!$AK:$AK,MATCH($A23,December!$A:$A,0)),0)</f>
        <v>21</v>
      </c>
      <c r="AA23" s="51">
        <f t="shared" ref="AA23:AA36" si="7">Y23+Z23</f>
        <v>33</v>
      </c>
      <c r="AB23" s="55">
        <v>17</v>
      </c>
      <c r="AC23" s="56">
        <f t="shared" ref="AC23:AC36" si="8">AA23+IF(AB23="",0,AB23)</f>
        <v>50</v>
      </c>
      <c r="AD23" s="57"/>
      <c r="AE23" s="58">
        <f t="shared" ref="AE23:AE36" si="9">AC23-IF(AD23="",0,AD23)</f>
        <v>50</v>
      </c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</row>
    <row r="24" spans="1:49" ht="22" customHeight="1" x14ac:dyDescent="0.35">
      <c r="A24" s="8" t="s">
        <v>75</v>
      </c>
      <c r="B24" s="8" t="s">
        <v>76</v>
      </c>
      <c r="C24" s="8" t="s">
        <v>74</v>
      </c>
      <c r="D24" s="10">
        <v>27</v>
      </c>
      <c r="E24" s="10">
        <v>23</v>
      </c>
      <c r="F24" s="10">
        <v>27</v>
      </c>
      <c r="G24" s="10">
        <v>22</v>
      </c>
      <c r="H24" s="9">
        <v>0</v>
      </c>
      <c r="I24" s="11">
        <v>8</v>
      </c>
      <c r="J24" s="10">
        <v>23</v>
      </c>
      <c r="K24" s="10">
        <v>23</v>
      </c>
      <c r="L24" s="10">
        <v>28</v>
      </c>
      <c r="M24" s="10">
        <v>27</v>
      </c>
      <c r="N24" s="11">
        <v>2</v>
      </c>
      <c r="O24" s="11">
        <v>16</v>
      </c>
      <c r="P24" s="8">
        <f>IFERROR(INDEX(January!$AI:$AI,MATCH($A24,January!$A:$A,0)),0)+IFERROR(INDEX(February!$AF:$AF,MATCH($A24,February!$A:$A,0)),0)+IFERROR(INDEX(March!$AI:$AI,MATCH($A24,March!$A:$A,0)),0)+IFERROR(INDEX(April!$AH:$AH,MATCH($A24,April!$A:$A,0)),0)+IFERROR(INDEX(May!$AI:$AI,MATCH($A24,May!$A:$A,0)),0)+IFERROR(INDEX(June!$AH:$AH,MATCH($A24,June!$A:$A,0)),0)+IFERROR(INDEX(July!$AI:$AI,MATCH($A24,July!$A:$A,0)),0)+IFERROR(INDEX(August!$AI:$AI,MATCH($A24,August!$A:$A,0)),0)+IFERROR(INDEX(September!$AH:$AH,MATCH($A24,September!$A:$A,0)),0)+IFERROR(INDEX(October!$AI:$AI,MATCH($A24,October!$A:$A,0)),0)+IFERROR(INDEX(November!$AH:$AH,MATCH($A24,November!$A:$A,0)),0)+IFERROR(INDEX(December!$AI:$AI,MATCH($A24,December!$A:$A,0)),0)</f>
        <v>184</v>
      </c>
      <c r="Q24" s="8">
        <f>IFERROR(INDEX(January!$AJ:$AJ,MATCH($A24,January!$A:$A,0)),0)+IFERROR(INDEX(February!$AG:$AG,MATCH($A24,February!$A:$A,0)),0)+IFERROR(INDEX(March!$AJ:$AJ,MATCH($A24,March!$A:$A,0)),0)+IFERROR(INDEX(April!$AI:$AI,MATCH($A24,April!$A:$A,0)),0)+IFERROR(INDEX(May!$AJ:$AJ,MATCH($A24,May!$A:$A,0)),0)+IFERROR(INDEX(June!$AI:$AI,MATCH($A24,June!$A:$A,0)),0)+IFERROR(INDEX(July!$AJ:$AJ,MATCH($A24,July!$A:$A,0)),0)+IFERROR(INDEX(August!$AJ:$AJ,MATCH($A24,August!$A:$A,0)),0)+IFERROR(INDEX(September!$AI:$AI,MATCH($A24,September!$A:$A,0)),0)+IFERROR(INDEX(October!$AJ:$AJ,MATCH($A24,October!$A:$A,0)),0)+IFERROR(INDEX(November!$AI:$AI,MATCH($A24,November!$A:$A,0)),0)+IFERROR(INDEX(December!$AJ:$AJ,MATCH($A24,December!$A:$A,0)),0)</f>
        <v>77</v>
      </c>
      <c r="R24" s="8">
        <f>IFERROR(INDEX(January!$AK:$AK,MATCH($A24,January!$A:$A,0)),0)+IFERROR(INDEX(February!$AH:$AH,MATCH($A24,February!$A:$A,0)),0)+IFERROR(INDEX(March!$AK:$AK,MATCH($A24,March!$A:$A,0)),0)+IFERROR(INDEX(April!$AJ:$AJ,MATCH($A24,April!$A:$A,0)),0)+IFERROR(INDEX(May!$AK:$AK,MATCH($A24,May!$A:$A,0)),0)+IFERROR(INDEX(June!$AJ:$AJ,MATCH($A24,June!$A:$A,0)),0)+IFERROR(INDEX(July!$AK:$AK,MATCH($A24,July!$A:$A,0)),0)+IFERROR(INDEX(August!$AK:$AK,MATCH($A24,August!$A:$A,0)),0)+IFERROR(INDEX(September!$AJ:$AJ,MATCH($A24,September!$A:$A,0)),0)+IFERROR(INDEX(October!$AK:$AK,MATCH($A24,October!$A:$A,0)),0)+IFERROR(INDEX(November!$AJ:$AJ,MATCH($A24,November!$A:$A,0)),0)+IFERROR(INDEX(December!$AK:$AK,MATCH($A24,December!$A:$A,0)),0)</f>
        <v>19</v>
      </c>
      <c r="S24" s="36">
        <f t="shared" si="5"/>
        <v>0.70498084291187735</v>
      </c>
      <c r="T24" s="38"/>
      <c r="U24" s="51">
        <f>IFERROR(INDEX(January!$AQ:$AQ,MATCH($A24,January!$A:$A,0)),0)+IFERROR(INDEX(February!$AN:$AN,MATCH($A24,February!$A:$A,0)),0)+IFERROR(INDEX(March!$AQ:$AQ,MATCH($A24,March!$A:$A,0)),0)+IFERROR(INDEX(April!$AP:$AP,MATCH($A24,April!$A:$A,0)),0)+IFERROR(INDEX(May!$AQ:$AQ,MATCH($A24,May!$A:$A,0)),0)+IFERROR(INDEX(June!$AP:$AP,MATCH($A24,June!$A:$A,0)),0)+IFERROR(INDEX(July!$AQ:$AQ,MATCH($A24,July!$A:$A,0)),0)+IFERROR(INDEX(August!$AQ:$AQ,MATCH($A24,August!$A:$A,0)),0)+IFERROR(INDEX(September!$AP:$AP,MATCH($A24,September!$A:$A,0)),0)+IFERROR(INDEX(October!$AQ:$AQ,MATCH($A24,October!$A:$A,0)),0)+IFERROR(INDEX(November!$AP:$AP,MATCH($A24,November!$A:$A,0)),0)+IFERROR(INDEX(December!$AQ:$AQ,MATCH($A24,December!$A:$A,0)),0)</f>
        <v>209</v>
      </c>
      <c r="V24" s="52">
        <f>IFERROR(INDEX(January!$AJ:$AJ,MATCH($A24,January!$A:$A,0)),0)+IFERROR(INDEX(February!$AG:$AG,MATCH($A24,February!$A:$A,0)),0)+IFERROR(INDEX(March!$AJ:$AJ,MATCH($A24,March!$A:$A,0)),0)+IFERROR(INDEX(April!$AI:$AI,MATCH($A24,April!$A:$A,0)),0)+IFERROR(INDEX(May!$AJ:$AJ,MATCH($A24,May!$A:$A,0)),0)+IFERROR(INDEX(June!$AI:$AI,MATCH($A24,June!$A:$A,0)),0)+IFERROR(INDEX(July!$AJ:$AJ,MATCH($A24,July!$A:$A,0)),0)+IFERROR(INDEX(August!$AJ:$AJ,MATCH($A24,August!$A:$A,0)),0)+IFERROR(INDEX(September!$AI:$AI,MATCH($A24,September!$A:$A,0)),0)+IFERROR(INDEX(October!$AJ:$AJ,MATCH($A24,October!$A:$A,0)),0)+IFERROR(INDEX(November!$AI:$AI,MATCH($A24,November!$A:$A,0)),0)+IFERROR(INDEX(December!$AJ:$AJ,MATCH($A24,December!$A:$A,0)),0)</f>
        <v>77</v>
      </c>
      <c r="W24" s="53">
        <f>IFERROR(INDEX(January!$AO:$AO,MATCH($A24,January!$A:$A,0)),0)+IFERROR(INDEX(February!$AL:$AL,MATCH($A24,February!$A:$A,0)),0)+IFERROR(INDEX(March!$AO:$AO,MATCH($A24,March!$A:$A,0)),0)+IFERROR(INDEX(April!$AN:$AN,MATCH($A24,April!$A:$A,0)),0)+IFERROR(INDEX(May!$AO:$AO,MATCH($A24,May!$A:$A,0)),0)+IFERROR(INDEX(June!$AN:$AN,MATCH($A24,June!$A:$A,0)),0)+IFERROR(INDEX(July!$AO:$AO,MATCH($A24,July!$A:$A,0)),0)+IFERROR(INDEX(August!$AO:$AO,MATCH($A24,August!$A:$A,0)),0)+IFERROR(INDEX(September!$AN:$AN,MATCH($A24,September!$A:$A,0)),0)+IFERROR(INDEX(October!$AO:$AO,MATCH($A24,October!$A:$A,0)),0)+IFERROR(INDEX(November!$AN:$AN,MATCH($A24,November!$A:$A,0)),0)+IFERROR(INDEX(December!$AO:$AO,MATCH($A24,December!$A:$A,0)),0)</f>
        <v>11</v>
      </c>
      <c r="X24" s="53">
        <f t="shared" si="6"/>
        <v>5.5</v>
      </c>
      <c r="Y24" s="53">
        <f>(IFERROR(INDEX(January!$AL:$AL,MATCH($A24,January!$A:$A,0)),0)+IFERROR(INDEX(February!$AI:$AI,MATCH($A24,February!$A:$A,0)),0)+IFERROR(INDEX(March!$AL:$AL,MATCH($A24,March!$A:$A,0)),0)+IFERROR(INDEX(April!$AK:$AK,MATCH($A24,April!$A:$A,0)),0)+IFERROR(INDEX(May!$AL:$AL,MATCH($A24,May!$A:$A,0)),0)+IFERROR(INDEX(June!$AK:$AK,MATCH($A24,June!$A:$A,0)),0)+IFERROR(INDEX(July!$AL:$AL,MATCH($A24,July!$A:$A,0)),0)+IFERROR(INDEX(August!$AL:$AL,MATCH($A24,August!$A:$A,0)),0)+IFERROR(INDEX(September!$AK:$AK,MATCH($A24,September!$A:$A,0)),0)+IFERROR(INDEX(October!$AL:$AL,MATCH($A24,October!$A:$A,0)),0)+IFERROR(INDEX(November!$AK:$AK,MATCH($A24,November!$A:$A,0)),0)+IFERROR(INDEX(December!$AL:$AL,MATCH($A24,December!$A:$A,0)),0))*0.5</f>
        <v>11.5</v>
      </c>
      <c r="Z24" s="54">
        <f>IFERROR(INDEX(January!$AK:$AK,MATCH($A24,January!$A:$A,0)),0)+IFERROR(INDEX(February!$AH:$AH,MATCH($A24,February!$A:$A,0)),0)+IFERROR(INDEX(March!$AK:$AK,MATCH($A24,March!$A:$A,0)),0)+IFERROR(INDEX(April!$AJ:$AJ,MATCH($A24,April!$A:$A,0)),0)+IFERROR(INDEX(May!$AK:$AK,MATCH($A24,May!$A:$A,0)),0)+IFERROR(INDEX(June!$AJ:$AJ,MATCH($A24,June!$A:$A,0)),0)+IFERROR(INDEX(July!$AK:$AK,MATCH($A24,July!$A:$A,0)),0)+IFERROR(INDEX(August!$AK:$AK,MATCH($A24,August!$A:$A,0)),0)+IFERROR(INDEX(September!$AJ:$AJ,MATCH($A24,September!$A:$A,0)),0)+IFERROR(INDEX(October!$AK:$AK,MATCH($A24,October!$A:$A,0)),0)+IFERROR(INDEX(November!$AJ:$AJ,MATCH($A24,November!$A:$A,0)),0)+IFERROR(INDEX(December!$AK:$AK,MATCH($A24,December!$A:$A,0)),0)</f>
        <v>19</v>
      </c>
      <c r="AA24" s="51">
        <f t="shared" si="7"/>
        <v>30.5</v>
      </c>
      <c r="AB24" s="55">
        <v>17</v>
      </c>
      <c r="AC24" s="56">
        <f t="shared" si="8"/>
        <v>47.5</v>
      </c>
      <c r="AD24" s="57"/>
      <c r="AE24" s="58">
        <f t="shared" si="9"/>
        <v>47.5</v>
      </c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</row>
    <row r="25" spans="1:49" ht="22" customHeight="1" x14ac:dyDescent="0.35">
      <c r="A25" s="8" t="s">
        <v>77</v>
      </c>
      <c r="B25" s="8" t="s">
        <v>78</v>
      </c>
      <c r="C25" s="8" t="s">
        <v>74</v>
      </c>
      <c r="D25" s="10">
        <v>26</v>
      </c>
      <c r="E25" s="11">
        <v>19</v>
      </c>
      <c r="F25" s="10">
        <v>24</v>
      </c>
      <c r="G25" s="10">
        <v>22</v>
      </c>
      <c r="H25" s="9">
        <v>0</v>
      </c>
      <c r="I25" s="10">
        <v>26</v>
      </c>
      <c r="J25" s="10">
        <v>20</v>
      </c>
      <c r="K25" s="10">
        <v>25</v>
      </c>
      <c r="L25" s="10">
        <v>25</v>
      </c>
      <c r="M25" s="10">
        <v>28</v>
      </c>
      <c r="N25" s="11">
        <v>7</v>
      </c>
      <c r="O25" s="10">
        <v>29</v>
      </c>
      <c r="P25" s="8">
        <f>IFERROR(INDEX(January!$AI:$AI,MATCH($A25,January!$A:$A,0)),0)+IFERROR(INDEX(February!$AF:$AF,MATCH($A25,February!$A:$A,0)),0)+IFERROR(INDEX(March!$AI:$AI,MATCH($A25,March!$A:$A,0)),0)+IFERROR(INDEX(April!$AH:$AH,MATCH($A25,April!$A:$A,0)),0)+IFERROR(INDEX(May!$AI:$AI,MATCH($A25,May!$A:$A,0)),0)+IFERROR(INDEX(June!$AH:$AH,MATCH($A25,June!$A:$A,0)),0)+IFERROR(INDEX(July!$AI:$AI,MATCH($A25,July!$A:$A,0)),0)+IFERROR(INDEX(August!$AI:$AI,MATCH($A25,August!$A:$A,0)),0)+IFERROR(INDEX(September!$AH:$AH,MATCH($A25,September!$A:$A,0)),0)+IFERROR(INDEX(October!$AI:$AI,MATCH($A25,October!$A:$A,0)),0)+IFERROR(INDEX(November!$AH:$AH,MATCH($A25,November!$A:$A,0)),0)+IFERROR(INDEX(December!$AI:$AI,MATCH($A25,December!$A:$A,0)),0)</f>
        <v>202</v>
      </c>
      <c r="Q25" s="8">
        <f>IFERROR(INDEX(January!$AJ:$AJ,MATCH($A25,January!$A:$A,0)),0)+IFERROR(INDEX(February!$AG:$AG,MATCH($A25,February!$A:$A,0)),0)+IFERROR(INDEX(March!$AJ:$AJ,MATCH($A25,March!$A:$A,0)),0)+IFERROR(INDEX(April!$AI:$AI,MATCH($A25,April!$A:$A,0)),0)+IFERROR(INDEX(May!$AJ:$AJ,MATCH($A25,May!$A:$A,0)),0)+IFERROR(INDEX(June!$AI:$AI,MATCH($A25,June!$A:$A,0)),0)+IFERROR(INDEX(July!$AJ:$AJ,MATCH($A25,July!$A:$A,0)),0)+IFERROR(INDEX(August!$AJ:$AJ,MATCH($A25,August!$A:$A,0)),0)+IFERROR(INDEX(September!$AI:$AI,MATCH($A25,September!$A:$A,0)),0)+IFERROR(INDEX(October!$AJ:$AJ,MATCH($A25,October!$A:$A,0)),0)+IFERROR(INDEX(November!$AI:$AI,MATCH($A25,November!$A:$A,0)),0)+IFERROR(INDEX(December!$AJ:$AJ,MATCH($A25,December!$A:$A,0)),0)</f>
        <v>59</v>
      </c>
      <c r="R25" s="8">
        <f>IFERROR(INDEX(January!$AK:$AK,MATCH($A25,January!$A:$A,0)),0)+IFERROR(INDEX(February!$AH:$AH,MATCH($A25,February!$A:$A,0)),0)+IFERROR(INDEX(March!$AK:$AK,MATCH($A25,March!$A:$A,0)),0)+IFERROR(INDEX(April!$AJ:$AJ,MATCH($A25,April!$A:$A,0)),0)+IFERROR(INDEX(May!$AK:$AK,MATCH($A25,May!$A:$A,0)),0)+IFERROR(INDEX(June!$AJ:$AJ,MATCH($A25,June!$A:$A,0)),0)+IFERROR(INDEX(July!$AK:$AK,MATCH($A25,July!$A:$A,0)),0)+IFERROR(INDEX(August!$AK:$AK,MATCH($A25,August!$A:$A,0)),0)+IFERROR(INDEX(September!$AJ:$AJ,MATCH($A25,September!$A:$A,0)),0)+IFERROR(INDEX(October!$AK:$AK,MATCH($A25,October!$A:$A,0)),0)+IFERROR(INDEX(November!$AJ:$AJ,MATCH($A25,November!$A:$A,0)),0)+IFERROR(INDEX(December!$AK:$AK,MATCH($A25,December!$A:$A,0)),0)</f>
        <v>21</v>
      </c>
      <c r="S25" s="35">
        <f t="shared" si="5"/>
        <v>0.77394636015325668</v>
      </c>
      <c r="T25" s="38"/>
      <c r="U25" s="51">
        <f>IFERROR(INDEX(January!$AQ:$AQ,MATCH($A25,January!$A:$A,0)),0)+IFERROR(INDEX(February!$AN:$AN,MATCH($A25,February!$A:$A,0)),0)+IFERROR(INDEX(March!$AQ:$AQ,MATCH($A25,March!$A:$A,0)),0)+IFERROR(INDEX(April!$AP:$AP,MATCH($A25,April!$A:$A,0)),0)+IFERROR(INDEX(May!$AQ:$AQ,MATCH($A25,May!$A:$A,0)),0)+IFERROR(INDEX(June!$AP:$AP,MATCH($A25,June!$A:$A,0)),0)+IFERROR(INDEX(July!$AQ:$AQ,MATCH($A25,July!$A:$A,0)),0)+IFERROR(INDEX(August!$AQ:$AQ,MATCH($A25,August!$A:$A,0)),0)+IFERROR(INDEX(September!$AP:$AP,MATCH($A25,September!$A:$A,0)),0)+IFERROR(INDEX(October!$AQ:$AQ,MATCH($A25,October!$A:$A,0)),0)+IFERROR(INDEX(November!$AP:$AP,MATCH($A25,November!$A:$A,0)),0)+IFERROR(INDEX(December!$AQ:$AQ,MATCH($A25,December!$A:$A,0)),0)</f>
        <v>231</v>
      </c>
      <c r="V25" s="52">
        <f>IFERROR(INDEX(January!$AJ:$AJ,MATCH($A25,January!$A:$A,0)),0)+IFERROR(INDEX(February!$AG:$AG,MATCH($A25,February!$A:$A,0)),0)+IFERROR(INDEX(March!$AJ:$AJ,MATCH($A25,March!$A:$A,0)),0)+IFERROR(INDEX(April!$AI:$AI,MATCH($A25,April!$A:$A,0)),0)+IFERROR(INDEX(May!$AJ:$AJ,MATCH($A25,May!$A:$A,0)),0)+IFERROR(INDEX(June!$AI:$AI,MATCH($A25,June!$A:$A,0)),0)+IFERROR(INDEX(July!$AJ:$AJ,MATCH($A25,July!$A:$A,0)),0)+IFERROR(INDEX(August!$AJ:$AJ,MATCH($A25,August!$A:$A,0)),0)+IFERROR(INDEX(September!$AI:$AI,MATCH($A25,September!$A:$A,0)),0)+IFERROR(INDEX(October!$AJ:$AJ,MATCH($A25,October!$A:$A,0)),0)+IFERROR(INDEX(November!$AI:$AI,MATCH($A25,November!$A:$A,0)),0)+IFERROR(INDEX(December!$AJ:$AJ,MATCH($A25,December!$A:$A,0)),0)</f>
        <v>59</v>
      </c>
      <c r="W25" s="53">
        <f>IFERROR(INDEX(January!$AO:$AO,MATCH($A25,January!$A:$A,0)),0)+IFERROR(INDEX(February!$AL:$AL,MATCH($A25,February!$A:$A,0)),0)+IFERROR(INDEX(March!$AO:$AO,MATCH($A25,March!$A:$A,0)),0)+IFERROR(INDEX(April!$AN:$AN,MATCH($A25,April!$A:$A,0)),0)+IFERROR(INDEX(May!$AO:$AO,MATCH($A25,May!$A:$A,0)),0)+IFERROR(INDEX(June!$AN:$AN,MATCH($A25,June!$A:$A,0)),0)+IFERROR(INDEX(July!$AO:$AO,MATCH($A25,July!$A:$A,0)),0)+IFERROR(INDEX(August!$AO:$AO,MATCH($A25,August!$A:$A,0)),0)+IFERROR(INDEX(September!$AN:$AN,MATCH($A25,September!$A:$A,0)),0)+IFERROR(INDEX(October!$AO:$AO,MATCH($A25,October!$A:$A,0)),0)+IFERROR(INDEX(November!$AN:$AN,MATCH($A25,November!$A:$A,0)),0)+IFERROR(INDEX(December!$AO:$AO,MATCH($A25,December!$A:$A,0)),0)</f>
        <v>12</v>
      </c>
      <c r="X25" s="53">
        <f t="shared" si="6"/>
        <v>6</v>
      </c>
      <c r="Y25" s="53">
        <f>(IFERROR(INDEX(January!$AL:$AL,MATCH($A25,January!$A:$A,0)),0)+IFERROR(INDEX(February!$AI:$AI,MATCH($A25,February!$A:$A,0)),0)+IFERROR(INDEX(March!$AL:$AL,MATCH($A25,March!$A:$A,0)),0)+IFERROR(INDEX(April!$AK:$AK,MATCH($A25,April!$A:$A,0)),0)+IFERROR(INDEX(May!$AL:$AL,MATCH($A25,May!$A:$A,0)),0)+IFERROR(INDEX(June!$AK:$AK,MATCH($A25,June!$A:$A,0)),0)+IFERROR(INDEX(July!$AL:$AL,MATCH($A25,July!$A:$A,0)),0)+IFERROR(INDEX(August!$AL:$AL,MATCH($A25,August!$A:$A,0)),0)+IFERROR(INDEX(September!$AK:$AK,MATCH($A25,September!$A:$A,0)),0)+IFERROR(INDEX(October!$AL:$AL,MATCH($A25,October!$A:$A,0)),0)+IFERROR(INDEX(November!$AK:$AK,MATCH($A25,November!$A:$A,0)),0)+IFERROR(INDEX(December!$AL:$AL,MATCH($A25,December!$A:$A,0)),0))*0.5</f>
        <v>14</v>
      </c>
      <c r="Z25" s="54">
        <f>IFERROR(INDEX(January!$AK:$AK,MATCH($A25,January!$A:$A,0)),0)+IFERROR(INDEX(February!$AH:$AH,MATCH($A25,February!$A:$A,0)),0)+IFERROR(INDEX(March!$AK:$AK,MATCH($A25,March!$A:$A,0)),0)+IFERROR(INDEX(April!$AJ:$AJ,MATCH($A25,April!$A:$A,0)),0)+IFERROR(INDEX(May!$AK:$AK,MATCH($A25,May!$A:$A,0)),0)+IFERROR(INDEX(June!$AJ:$AJ,MATCH($A25,June!$A:$A,0)),0)+IFERROR(INDEX(July!$AK:$AK,MATCH($A25,July!$A:$A,0)),0)+IFERROR(INDEX(August!$AK:$AK,MATCH($A25,August!$A:$A,0)),0)+IFERROR(INDEX(September!$AJ:$AJ,MATCH($A25,September!$A:$A,0)),0)+IFERROR(INDEX(October!$AK:$AK,MATCH($A25,October!$A:$A,0)),0)+IFERROR(INDEX(November!$AJ:$AJ,MATCH($A25,November!$A:$A,0)),0)+IFERROR(INDEX(December!$AK:$AK,MATCH($A25,December!$A:$A,0)),0)</f>
        <v>21</v>
      </c>
      <c r="AA25" s="51">
        <f t="shared" si="7"/>
        <v>35</v>
      </c>
      <c r="AB25" s="55">
        <v>17</v>
      </c>
      <c r="AC25" s="56">
        <f t="shared" si="8"/>
        <v>52</v>
      </c>
      <c r="AD25" s="57"/>
      <c r="AE25" s="58">
        <f t="shared" si="9"/>
        <v>52</v>
      </c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</row>
    <row r="26" spans="1:49" ht="22" customHeight="1" x14ac:dyDescent="0.35">
      <c r="A26" s="8" t="s">
        <v>79</v>
      </c>
      <c r="B26" s="8" t="s">
        <v>80</v>
      </c>
      <c r="C26" s="8" t="s">
        <v>74</v>
      </c>
      <c r="D26" s="10">
        <v>27</v>
      </c>
      <c r="E26" s="10">
        <v>24</v>
      </c>
      <c r="F26" s="10">
        <v>29</v>
      </c>
      <c r="G26" s="10">
        <v>23</v>
      </c>
      <c r="H26" s="10">
        <v>30</v>
      </c>
      <c r="I26" s="11">
        <v>19</v>
      </c>
      <c r="J26" s="10">
        <v>28</v>
      </c>
      <c r="K26" s="10">
        <v>26</v>
      </c>
      <c r="L26" s="10">
        <v>28</v>
      </c>
      <c r="M26" s="10">
        <v>27</v>
      </c>
      <c r="N26" s="10">
        <v>28</v>
      </c>
      <c r="O26" s="11">
        <v>5</v>
      </c>
      <c r="P26" s="8">
        <f>IFERROR(INDEX(January!$AI:$AI,MATCH($A26,January!$A:$A,0)),0)+IFERROR(INDEX(February!$AF:$AF,MATCH($A26,February!$A:$A,0)),0)+IFERROR(INDEX(March!$AI:$AI,MATCH($A26,March!$A:$A,0)),0)+IFERROR(INDEX(April!$AH:$AH,MATCH($A26,April!$A:$A,0)),0)+IFERROR(INDEX(May!$AI:$AI,MATCH($A26,May!$A:$A,0)),0)+IFERROR(INDEX(June!$AH:$AH,MATCH($A26,June!$A:$A,0)),0)+IFERROR(INDEX(July!$AI:$AI,MATCH($A26,July!$A:$A,0)),0)+IFERROR(INDEX(August!$AI:$AI,MATCH($A26,August!$A:$A,0)),0)+IFERROR(INDEX(September!$AH:$AH,MATCH($A26,September!$A:$A,0)),0)+IFERROR(INDEX(October!$AI:$AI,MATCH($A26,October!$A:$A,0)),0)+IFERROR(INDEX(November!$AH:$AH,MATCH($A26,November!$A:$A,0)),0)+IFERROR(INDEX(December!$AI:$AI,MATCH($A26,December!$A:$A,0)),0)</f>
        <v>234</v>
      </c>
      <c r="Q26" s="8">
        <f>IFERROR(INDEX(January!$AJ:$AJ,MATCH($A26,January!$A:$A,0)),0)+IFERROR(INDEX(February!$AG:$AG,MATCH($A26,February!$A:$A,0)),0)+IFERROR(INDEX(March!$AJ:$AJ,MATCH($A26,March!$A:$A,0)),0)+IFERROR(INDEX(April!$AI:$AI,MATCH($A26,April!$A:$A,0)),0)+IFERROR(INDEX(May!$AJ:$AJ,MATCH($A26,May!$A:$A,0)),0)+IFERROR(INDEX(June!$AI:$AI,MATCH($A26,June!$A:$A,0)),0)+IFERROR(INDEX(July!$AJ:$AJ,MATCH($A26,July!$A:$A,0)),0)+IFERROR(INDEX(August!$AJ:$AJ,MATCH($A26,August!$A:$A,0)),0)+IFERROR(INDEX(September!$AI:$AI,MATCH($A26,September!$A:$A,0)),0)+IFERROR(INDEX(October!$AJ:$AJ,MATCH($A26,October!$A:$A,0)),0)+IFERROR(INDEX(November!$AI:$AI,MATCH($A26,November!$A:$A,0)),0)+IFERROR(INDEX(December!$AJ:$AJ,MATCH($A26,December!$A:$A,0)),0)</f>
        <v>27</v>
      </c>
      <c r="R26" s="8">
        <f>IFERROR(INDEX(January!$AK:$AK,MATCH($A26,January!$A:$A,0)),0)+IFERROR(INDEX(February!$AH:$AH,MATCH($A26,February!$A:$A,0)),0)+IFERROR(INDEX(March!$AK:$AK,MATCH($A26,March!$A:$A,0)),0)+IFERROR(INDEX(April!$AJ:$AJ,MATCH($A26,April!$A:$A,0)),0)+IFERROR(INDEX(May!$AK:$AK,MATCH($A26,May!$A:$A,0)),0)+IFERROR(INDEX(June!$AJ:$AJ,MATCH($A26,June!$A:$A,0)),0)+IFERROR(INDEX(July!$AK:$AK,MATCH($A26,July!$A:$A,0)),0)+IFERROR(INDEX(August!$AK:$AK,MATCH($A26,August!$A:$A,0)),0)+IFERROR(INDEX(September!$AJ:$AJ,MATCH($A26,September!$A:$A,0)),0)+IFERROR(INDEX(October!$AK:$AK,MATCH($A26,October!$A:$A,0)),0)+IFERROR(INDEX(November!$AJ:$AJ,MATCH($A26,November!$A:$A,0)),0)+IFERROR(INDEX(December!$AK:$AK,MATCH($A26,December!$A:$A,0)),0)</f>
        <v>25</v>
      </c>
      <c r="S26" s="35">
        <f t="shared" si="5"/>
        <v>0.89655172413793105</v>
      </c>
      <c r="T26" s="38"/>
      <c r="U26" s="51">
        <f>IFERROR(INDEX(January!$AQ:$AQ,MATCH($A26,January!$A:$A,0)),0)+IFERROR(INDEX(February!$AN:$AN,MATCH($A26,February!$A:$A,0)),0)+IFERROR(INDEX(March!$AQ:$AQ,MATCH($A26,March!$A:$A,0)),0)+IFERROR(INDEX(April!$AP:$AP,MATCH($A26,April!$A:$A,0)),0)+IFERROR(INDEX(May!$AQ:$AQ,MATCH($A26,May!$A:$A,0)),0)+IFERROR(INDEX(June!$AP:$AP,MATCH($A26,June!$A:$A,0)),0)+IFERROR(INDEX(July!$AQ:$AQ,MATCH($A26,July!$A:$A,0)),0)+IFERROR(INDEX(August!$AQ:$AQ,MATCH($A26,August!$A:$A,0)),0)+IFERROR(INDEX(September!$AP:$AP,MATCH($A26,September!$A:$A,0)),0)+IFERROR(INDEX(October!$AQ:$AQ,MATCH($A26,October!$A:$A,0)),0)+IFERROR(INDEX(November!$AP:$AP,MATCH($A26,November!$A:$A,0)),0)+IFERROR(INDEX(December!$AQ:$AQ,MATCH($A26,December!$A:$A,0)),0)</f>
        <v>271</v>
      </c>
      <c r="V26" s="52">
        <f>IFERROR(INDEX(January!$AJ:$AJ,MATCH($A26,January!$A:$A,0)),0)+IFERROR(INDEX(February!$AG:$AG,MATCH($A26,February!$A:$A,0)),0)+IFERROR(INDEX(March!$AJ:$AJ,MATCH($A26,March!$A:$A,0)),0)+IFERROR(INDEX(April!$AI:$AI,MATCH($A26,April!$A:$A,0)),0)+IFERROR(INDEX(May!$AJ:$AJ,MATCH($A26,May!$A:$A,0)),0)+IFERROR(INDEX(June!$AI:$AI,MATCH($A26,June!$A:$A,0)),0)+IFERROR(INDEX(July!$AJ:$AJ,MATCH($A26,July!$A:$A,0)),0)+IFERROR(INDEX(August!$AJ:$AJ,MATCH($A26,August!$A:$A,0)),0)+IFERROR(INDEX(September!$AI:$AI,MATCH($A26,September!$A:$A,0)),0)+IFERROR(INDEX(October!$AJ:$AJ,MATCH($A26,October!$A:$A,0)),0)+IFERROR(INDEX(November!$AI:$AI,MATCH($A26,November!$A:$A,0)),0)+IFERROR(INDEX(December!$AJ:$AJ,MATCH($A26,December!$A:$A,0)),0)</f>
        <v>27</v>
      </c>
      <c r="W26" s="53">
        <f>IFERROR(INDEX(January!$AO:$AO,MATCH($A26,January!$A:$A,0)),0)+IFERROR(INDEX(February!$AL:$AL,MATCH($A26,February!$A:$A,0)),0)+IFERROR(INDEX(March!$AO:$AO,MATCH($A26,March!$A:$A,0)),0)+IFERROR(INDEX(April!$AN:$AN,MATCH($A26,April!$A:$A,0)),0)+IFERROR(INDEX(May!$AO:$AO,MATCH($A26,May!$A:$A,0)),0)+IFERROR(INDEX(June!$AN:$AN,MATCH($A26,June!$A:$A,0)),0)+IFERROR(INDEX(July!$AO:$AO,MATCH($A26,July!$A:$A,0)),0)+IFERROR(INDEX(August!$AO:$AO,MATCH($A26,August!$A:$A,0)),0)+IFERROR(INDEX(September!$AN:$AN,MATCH($A26,September!$A:$A,0)),0)+IFERROR(INDEX(October!$AO:$AO,MATCH($A26,October!$A:$A,0)),0)+IFERROR(INDEX(November!$AN:$AN,MATCH($A26,November!$A:$A,0)),0)+IFERROR(INDEX(December!$AO:$AO,MATCH($A26,December!$A:$A,0)),0)</f>
        <v>11</v>
      </c>
      <c r="X26" s="53">
        <f t="shared" si="6"/>
        <v>5.5</v>
      </c>
      <c r="Y26" s="53">
        <f>(IFERROR(INDEX(January!$AL:$AL,MATCH($A26,January!$A:$A,0)),0)+IFERROR(INDEX(February!$AI:$AI,MATCH($A26,February!$A:$A,0)),0)+IFERROR(INDEX(March!$AL:$AL,MATCH($A26,March!$A:$A,0)),0)+IFERROR(INDEX(April!$AK:$AK,MATCH($A26,April!$A:$A,0)),0)+IFERROR(INDEX(May!$AL:$AL,MATCH($A26,May!$A:$A,0)),0)+IFERROR(INDEX(June!$AK:$AK,MATCH($A26,June!$A:$A,0)),0)+IFERROR(INDEX(July!$AL:$AL,MATCH($A26,July!$A:$A,0)),0)+IFERROR(INDEX(August!$AL:$AL,MATCH($A26,August!$A:$A,0)),0)+IFERROR(INDEX(September!$AK:$AK,MATCH($A26,September!$A:$A,0)),0)+IFERROR(INDEX(October!$AL:$AL,MATCH($A26,October!$A:$A,0)),0)+IFERROR(INDEX(November!$AK:$AK,MATCH($A26,November!$A:$A,0)),0)+IFERROR(INDEX(December!$AL:$AL,MATCH($A26,December!$A:$A,0)),0))*0.5</f>
        <v>17.5</v>
      </c>
      <c r="Z26" s="54">
        <f>IFERROR(INDEX(January!$AK:$AK,MATCH($A26,January!$A:$A,0)),0)+IFERROR(INDEX(February!$AH:$AH,MATCH($A26,February!$A:$A,0)),0)+IFERROR(INDEX(March!$AK:$AK,MATCH($A26,March!$A:$A,0)),0)+IFERROR(INDEX(April!$AJ:$AJ,MATCH($A26,April!$A:$A,0)),0)+IFERROR(INDEX(May!$AK:$AK,MATCH($A26,May!$A:$A,0)),0)+IFERROR(INDEX(June!$AJ:$AJ,MATCH($A26,June!$A:$A,0)),0)+IFERROR(INDEX(July!$AK:$AK,MATCH($A26,July!$A:$A,0)),0)+IFERROR(INDEX(August!$AK:$AK,MATCH($A26,August!$A:$A,0)),0)+IFERROR(INDEX(September!$AJ:$AJ,MATCH($A26,September!$A:$A,0)),0)+IFERROR(INDEX(October!$AK:$AK,MATCH($A26,October!$A:$A,0)),0)+IFERROR(INDEX(November!$AJ:$AJ,MATCH($A26,November!$A:$A,0)),0)+IFERROR(INDEX(December!$AK:$AK,MATCH($A26,December!$A:$A,0)),0)</f>
        <v>25</v>
      </c>
      <c r="AA26" s="51">
        <f t="shared" si="7"/>
        <v>42.5</v>
      </c>
      <c r="AB26" s="55">
        <v>17</v>
      </c>
      <c r="AC26" s="56">
        <f t="shared" si="8"/>
        <v>59.5</v>
      </c>
      <c r="AD26" s="57"/>
      <c r="AE26" s="58">
        <f t="shared" si="9"/>
        <v>59.5</v>
      </c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</row>
    <row r="27" spans="1:49" ht="22" customHeight="1" x14ac:dyDescent="0.35">
      <c r="A27" s="8" t="s">
        <v>81</v>
      </c>
      <c r="B27" s="8" t="s">
        <v>82</v>
      </c>
      <c r="C27" s="8" t="s">
        <v>74</v>
      </c>
      <c r="D27" s="11">
        <v>15</v>
      </c>
      <c r="E27" s="10">
        <v>24</v>
      </c>
      <c r="F27" s="10">
        <v>27</v>
      </c>
      <c r="G27" s="10">
        <v>20</v>
      </c>
      <c r="H27" s="10">
        <v>26</v>
      </c>
      <c r="I27" s="10">
        <v>25</v>
      </c>
      <c r="J27" s="10">
        <v>25</v>
      </c>
      <c r="K27" s="10">
        <v>23</v>
      </c>
      <c r="L27" s="10">
        <v>28</v>
      </c>
      <c r="M27" s="10">
        <v>26</v>
      </c>
      <c r="N27" s="10">
        <v>23</v>
      </c>
      <c r="O27" s="10">
        <v>21</v>
      </c>
      <c r="P27" s="8">
        <f>IFERROR(INDEX(January!$AI:$AI,MATCH($A27,January!$A:$A,0)),0)+IFERROR(INDEX(February!$AF:$AF,MATCH($A27,February!$A:$A,0)),0)+IFERROR(INDEX(March!$AI:$AI,MATCH($A27,March!$A:$A,0)),0)+IFERROR(INDEX(April!$AH:$AH,MATCH($A27,April!$A:$A,0)),0)+IFERROR(INDEX(May!$AI:$AI,MATCH($A27,May!$A:$A,0)),0)+IFERROR(INDEX(June!$AH:$AH,MATCH($A27,June!$A:$A,0)),0)+IFERROR(INDEX(July!$AI:$AI,MATCH($A27,July!$A:$A,0)),0)+IFERROR(INDEX(August!$AI:$AI,MATCH($A27,August!$A:$A,0)),0)+IFERROR(INDEX(September!$AH:$AH,MATCH($A27,September!$A:$A,0)),0)+IFERROR(INDEX(October!$AI:$AI,MATCH($A27,October!$A:$A,0)),0)+IFERROR(INDEX(November!$AH:$AH,MATCH($A27,November!$A:$A,0)),0)+IFERROR(INDEX(December!$AI:$AI,MATCH($A27,December!$A:$A,0)),0)</f>
        <v>235</v>
      </c>
      <c r="Q27" s="8">
        <f>IFERROR(INDEX(January!$AJ:$AJ,MATCH($A27,January!$A:$A,0)),0)+IFERROR(INDEX(February!$AG:$AG,MATCH($A27,February!$A:$A,0)),0)+IFERROR(INDEX(March!$AJ:$AJ,MATCH($A27,March!$A:$A,0)),0)+IFERROR(INDEX(April!$AI:$AI,MATCH($A27,April!$A:$A,0)),0)+IFERROR(INDEX(May!$AJ:$AJ,MATCH($A27,May!$A:$A,0)),0)+IFERROR(INDEX(June!$AI:$AI,MATCH($A27,June!$A:$A,0)),0)+IFERROR(INDEX(July!$AJ:$AJ,MATCH($A27,July!$A:$A,0)),0)+IFERROR(INDEX(August!$AJ:$AJ,MATCH($A27,August!$A:$A,0)),0)+IFERROR(INDEX(September!$AI:$AI,MATCH($A27,September!$A:$A,0)),0)+IFERROR(INDEX(October!$AJ:$AJ,MATCH($A27,October!$A:$A,0)),0)+IFERROR(INDEX(November!$AI:$AI,MATCH($A27,November!$A:$A,0)),0)+IFERROR(INDEX(December!$AJ:$AJ,MATCH($A27,December!$A:$A,0)),0)</f>
        <v>26</v>
      </c>
      <c r="R27" s="8">
        <f>IFERROR(INDEX(January!$AK:$AK,MATCH($A27,January!$A:$A,0)),0)+IFERROR(INDEX(February!$AH:$AH,MATCH($A27,February!$A:$A,0)),0)+IFERROR(INDEX(March!$AK:$AK,MATCH($A27,March!$A:$A,0)),0)+IFERROR(INDEX(April!$AJ:$AJ,MATCH($A27,April!$A:$A,0)),0)+IFERROR(INDEX(May!$AK:$AK,MATCH($A27,May!$A:$A,0)),0)+IFERROR(INDEX(June!$AJ:$AJ,MATCH($A27,June!$A:$A,0)),0)+IFERROR(INDEX(July!$AK:$AK,MATCH($A27,July!$A:$A,0)),0)+IFERROR(INDEX(August!$AK:$AK,MATCH($A27,August!$A:$A,0)),0)+IFERROR(INDEX(September!$AJ:$AJ,MATCH($A27,September!$A:$A,0)),0)+IFERROR(INDEX(October!$AK:$AK,MATCH($A27,October!$A:$A,0)),0)+IFERROR(INDEX(November!$AJ:$AJ,MATCH($A27,November!$A:$A,0)),0)+IFERROR(INDEX(December!$AK:$AK,MATCH($A27,December!$A:$A,0)),0)</f>
        <v>23</v>
      </c>
      <c r="S27" s="35">
        <f t="shared" si="5"/>
        <v>0.90038314176245215</v>
      </c>
      <c r="T27" s="38"/>
      <c r="U27" s="51">
        <f>IFERROR(INDEX(January!$AQ:$AQ,MATCH($A27,January!$A:$A,0)),0)+IFERROR(INDEX(February!$AN:$AN,MATCH($A27,February!$A:$A,0)),0)+IFERROR(INDEX(March!$AQ:$AQ,MATCH($A27,March!$A:$A,0)),0)+IFERROR(INDEX(April!$AP:$AP,MATCH($A27,April!$A:$A,0)),0)+IFERROR(INDEX(May!$AQ:$AQ,MATCH($A27,May!$A:$A,0)),0)+IFERROR(INDEX(June!$AP:$AP,MATCH($A27,June!$A:$A,0)),0)+IFERROR(INDEX(July!$AQ:$AQ,MATCH($A27,July!$A:$A,0)),0)+IFERROR(INDEX(August!$AQ:$AQ,MATCH($A27,August!$A:$A,0)),0)+IFERROR(INDEX(September!$AP:$AP,MATCH($A27,September!$A:$A,0)),0)+IFERROR(INDEX(October!$AQ:$AQ,MATCH($A27,October!$A:$A,0)),0)+IFERROR(INDEX(November!$AP:$AP,MATCH($A27,November!$A:$A,0)),0)+IFERROR(INDEX(December!$AQ:$AQ,MATCH($A27,December!$A:$A,0)),0)</f>
        <v>262</v>
      </c>
      <c r="V27" s="52">
        <f>IFERROR(INDEX(January!$AJ:$AJ,MATCH($A27,January!$A:$A,0)),0)+IFERROR(INDEX(February!$AG:$AG,MATCH($A27,February!$A:$A,0)),0)+IFERROR(INDEX(March!$AJ:$AJ,MATCH($A27,March!$A:$A,0)),0)+IFERROR(INDEX(April!$AI:$AI,MATCH($A27,April!$A:$A,0)),0)+IFERROR(INDEX(May!$AJ:$AJ,MATCH($A27,May!$A:$A,0)),0)+IFERROR(INDEX(June!$AI:$AI,MATCH($A27,June!$A:$A,0)),0)+IFERROR(INDEX(July!$AJ:$AJ,MATCH($A27,July!$A:$A,0)),0)+IFERROR(INDEX(August!$AJ:$AJ,MATCH($A27,August!$A:$A,0)),0)+IFERROR(INDEX(September!$AI:$AI,MATCH($A27,September!$A:$A,0)),0)+IFERROR(INDEX(October!$AJ:$AJ,MATCH($A27,October!$A:$A,0)),0)+IFERROR(INDEX(November!$AI:$AI,MATCH($A27,November!$A:$A,0)),0)+IFERROR(INDEX(December!$AJ:$AJ,MATCH($A27,December!$A:$A,0)),0)</f>
        <v>26</v>
      </c>
      <c r="W27" s="53">
        <f>IFERROR(INDEX(January!$AO:$AO,MATCH($A27,January!$A:$A,0)),0)+IFERROR(INDEX(February!$AL:$AL,MATCH($A27,February!$A:$A,0)),0)+IFERROR(INDEX(March!$AO:$AO,MATCH($A27,March!$A:$A,0)),0)+IFERROR(INDEX(April!$AN:$AN,MATCH($A27,April!$A:$A,0)),0)+IFERROR(INDEX(May!$AO:$AO,MATCH($A27,May!$A:$A,0)),0)+IFERROR(INDEX(June!$AN:$AN,MATCH($A27,June!$A:$A,0)),0)+IFERROR(INDEX(July!$AO:$AO,MATCH($A27,July!$A:$A,0)),0)+IFERROR(INDEX(August!$AO:$AO,MATCH($A27,August!$A:$A,0)),0)+IFERROR(INDEX(September!$AN:$AN,MATCH($A27,September!$A:$A,0)),0)+IFERROR(INDEX(October!$AO:$AO,MATCH($A27,October!$A:$A,0)),0)+IFERROR(INDEX(November!$AN:$AN,MATCH($A27,November!$A:$A,0)),0)+IFERROR(INDEX(December!$AO:$AO,MATCH($A27,December!$A:$A,0)),0)</f>
        <v>17</v>
      </c>
      <c r="X27" s="53">
        <f t="shared" si="6"/>
        <v>8.5</v>
      </c>
      <c r="Y27" s="53">
        <f>(IFERROR(INDEX(January!$AL:$AL,MATCH($A27,January!$A:$A,0)),0)+IFERROR(INDEX(February!$AI:$AI,MATCH($A27,February!$A:$A,0)),0)+IFERROR(INDEX(March!$AL:$AL,MATCH($A27,March!$A:$A,0)),0)+IFERROR(INDEX(April!$AK:$AK,MATCH($A27,April!$A:$A,0)),0)+IFERROR(INDEX(May!$AL:$AL,MATCH($A27,May!$A:$A,0)),0)+IFERROR(INDEX(June!$AK:$AK,MATCH($A27,June!$A:$A,0)),0)+IFERROR(INDEX(July!$AL:$AL,MATCH($A27,July!$A:$A,0)),0)+IFERROR(INDEX(August!$AL:$AL,MATCH($A27,August!$A:$A,0)),0)+IFERROR(INDEX(September!$AK:$AK,MATCH($A27,September!$A:$A,0)),0)+IFERROR(INDEX(October!$AL:$AL,MATCH($A27,October!$A:$A,0)),0)+IFERROR(INDEX(November!$AK:$AK,MATCH($A27,November!$A:$A,0)),0)+IFERROR(INDEX(December!$AL:$AL,MATCH($A27,December!$A:$A,0)),0))*0.5</f>
        <v>12.5</v>
      </c>
      <c r="Z27" s="54">
        <f>IFERROR(INDEX(January!$AK:$AK,MATCH($A27,January!$A:$A,0)),0)+IFERROR(INDEX(February!$AH:$AH,MATCH($A27,February!$A:$A,0)),0)+IFERROR(INDEX(March!$AK:$AK,MATCH($A27,March!$A:$A,0)),0)+IFERROR(INDEX(April!$AJ:$AJ,MATCH($A27,April!$A:$A,0)),0)+IFERROR(INDEX(May!$AK:$AK,MATCH($A27,May!$A:$A,0)),0)+IFERROR(INDEX(June!$AJ:$AJ,MATCH($A27,June!$A:$A,0)),0)+IFERROR(INDEX(July!$AK:$AK,MATCH($A27,July!$A:$A,0)),0)+IFERROR(INDEX(August!$AK:$AK,MATCH($A27,August!$A:$A,0)),0)+IFERROR(INDEX(September!$AJ:$AJ,MATCH($A27,September!$A:$A,0)),0)+IFERROR(INDEX(October!$AK:$AK,MATCH($A27,October!$A:$A,0)),0)+IFERROR(INDEX(November!$AJ:$AJ,MATCH($A27,November!$A:$A,0)),0)+IFERROR(INDEX(December!$AK:$AK,MATCH($A27,December!$A:$A,0)),0)</f>
        <v>23</v>
      </c>
      <c r="AA27" s="51">
        <f t="shared" si="7"/>
        <v>35.5</v>
      </c>
      <c r="AB27" s="55">
        <v>17</v>
      </c>
      <c r="AC27" s="56">
        <f t="shared" si="8"/>
        <v>52.5</v>
      </c>
      <c r="AD27" s="57"/>
      <c r="AE27" s="58">
        <f t="shared" si="9"/>
        <v>52.5</v>
      </c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</row>
    <row r="28" spans="1:49" ht="22" customHeight="1" x14ac:dyDescent="0.35">
      <c r="A28" s="8" t="s">
        <v>83</v>
      </c>
      <c r="B28" s="8" t="s">
        <v>84</v>
      </c>
      <c r="C28" s="8" t="s">
        <v>74</v>
      </c>
      <c r="D28" s="11">
        <v>12</v>
      </c>
      <c r="E28" s="10">
        <v>25</v>
      </c>
      <c r="F28" s="10">
        <v>24</v>
      </c>
      <c r="G28" s="11">
        <v>3</v>
      </c>
      <c r="H28" s="10">
        <v>28</v>
      </c>
      <c r="I28" s="10">
        <v>24</v>
      </c>
      <c r="J28" s="10">
        <v>25</v>
      </c>
      <c r="K28" s="10">
        <v>23</v>
      </c>
      <c r="L28" s="10">
        <v>28</v>
      </c>
      <c r="M28" s="10">
        <v>27</v>
      </c>
      <c r="N28" s="11">
        <v>7</v>
      </c>
      <c r="O28" s="11">
        <v>10</v>
      </c>
      <c r="P28" s="8">
        <f>IFERROR(INDEX(January!$AI:$AI,MATCH($A28,January!$A:$A,0)),0)+IFERROR(INDEX(February!$AF:$AF,MATCH($A28,February!$A:$A,0)),0)+IFERROR(INDEX(March!$AI:$AI,MATCH($A28,March!$A:$A,0)),0)+IFERROR(INDEX(April!$AH:$AH,MATCH($A28,April!$A:$A,0)),0)+IFERROR(INDEX(May!$AI:$AI,MATCH($A28,May!$A:$A,0)),0)+IFERROR(INDEX(June!$AH:$AH,MATCH($A28,June!$A:$A,0)),0)+IFERROR(INDEX(July!$AI:$AI,MATCH($A28,July!$A:$A,0)),0)+IFERROR(INDEX(August!$AI:$AI,MATCH($A28,August!$A:$A,0)),0)+IFERROR(INDEX(September!$AH:$AH,MATCH($A28,September!$A:$A,0)),0)+IFERROR(INDEX(October!$AI:$AI,MATCH($A28,October!$A:$A,0)),0)+IFERROR(INDEX(November!$AH:$AH,MATCH($A28,November!$A:$A,0)),0)+IFERROR(INDEX(December!$AI:$AI,MATCH($A28,December!$A:$A,0)),0)</f>
        <v>192</v>
      </c>
      <c r="Q28" s="8">
        <f>IFERROR(INDEX(January!$AJ:$AJ,MATCH($A28,January!$A:$A,0)),0)+IFERROR(INDEX(February!$AG:$AG,MATCH($A28,February!$A:$A,0)),0)+IFERROR(INDEX(March!$AJ:$AJ,MATCH($A28,March!$A:$A,0)),0)+IFERROR(INDEX(April!$AI:$AI,MATCH($A28,April!$A:$A,0)),0)+IFERROR(INDEX(May!$AJ:$AJ,MATCH($A28,May!$A:$A,0)),0)+IFERROR(INDEX(June!$AI:$AI,MATCH($A28,June!$A:$A,0)),0)+IFERROR(INDEX(July!$AJ:$AJ,MATCH($A28,July!$A:$A,0)),0)+IFERROR(INDEX(August!$AJ:$AJ,MATCH($A28,August!$A:$A,0)),0)+IFERROR(INDEX(September!$AI:$AI,MATCH($A28,September!$A:$A,0)),0)+IFERROR(INDEX(October!$AJ:$AJ,MATCH($A28,October!$A:$A,0)),0)+IFERROR(INDEX(November!$AI:$AI,MATCH($A28,November!$A:$A,0)),0)+IFERROR(INDEX(December!$AJ:$AJ,MATCH($A28,December!$A:$A,0)),0)</f>
        <v>69</v>
      </c>
      <c r="R28" s="8">
        <f>IFERROR(INDEX(January!$AK:$AK,MATCH($A28,January!$A:$A,0)),0)+IFERROR(INDEX(February!$AH:$AH,MATCH($A28,February!$A:$A,0)),0)+IFERROR(INDEX(March!$AK:$AK,MATCH($A28,March!$A:$A,0)),0)+IFERROR(INDEX(April!$AJ:$AJ,MATCH($A28,April!$A:$A,0)),0)+IFERROR(INDEX(May!$AK:$AK,MATCH($A28,May!$A:$A,0)),0)+IFERROR(INDEX(June!$AJ:$AJ,MATCH($A28,June!$A:$A,0)),0)+IFERROR(INDEX(July!$AK:$AK,MATCH($A28,July!$A:$A,0)),0)+IFERROR(INDEX(August!$AK:$AK,MATCH($A28,August!$A:$A,0)),0)+IFERROR(INDEX(September!$AJ:$AJ,MATCH($A28,September!$A:$A,0)),0)+IFERROR(INDEX(October!$AK:$AK,MATCH($A28,October!$A:$A,0)),0)+IFERROR(INDEX(November!$AJ:$AJ,MATCH($A28,November!$A:$A,0)),0)+IFERROR(INDEX(December!$AK:$AK,MATCH($A28,December!$A:$A,0)),0)</f>
        <v>21</v>
      </c>
      <c r="S28" s="35">
        <f t="shared" si="5"/>
        <v>0.73563218390804597</v>
      </c>
      <c r="T28" s="38"/>
      <c r="U28" s="51">
        <f>IFERROR(INDEX(January!$AQ:$AQ,MATCH($A28,January!$A:$A,0)),0)+IFERROR(INDEX(February!$AN:$AN,MATCH($A28,February!$A:$A,0)),0)+IFERROR(INDEX(March!$AQ:$AQ,MATCH($A28,March!$A:$A,0)),0)+IFERROR(INDEX(April!$AP:$AP,MATCH($A28,April!$A:$A,0)),0)+IFERROR(INDEX(May!$AQ:$AQ,MATCH($A28,May!$A:$A,0)),0)+IFERROR(INDEX(June!$AP:$AP,MATCH($A28,June!$A:$A,0)),0)+IFERROR(INDEX(July!$AQ:$AQ,MATCH($A28,July!$A:$A,0)),0)+IFERROR(INDEX(August!$AQ:$AQ,MATCH($A28,August!$A:$A,0)),0)+IFERROR(INDEX(September!$AP:$AP,MATCH($A28,September!$A:$A,0)),0)+IFERROR(INDEX(October!$AQ:$AQ,MATCH($A28,October!$A:$A,0)),0)+IFERROR(INDEX(November!$AP:$AP,MATCH($A28,November!$A:$A,0)),0)+IFERROR(INDEX(December!$AQ:$AQ,MATCH($A28,December!$A:$A,0)),0)</f>
        <v>218</v>
      </c>
      <c r="V28" s="52">
        <f>IFERROR(INDEX(January!$AJ:$AJ,MATCH($A28,January!$A:$A,0)),0)+IFERROR(INDEX(February!$AG:$AG,MATCH($A28,February!$A:$A,0)),0)+IFERROR(INDEX(March!$AJ:$AJ,MATCH($A28,March!$A:$A,0)),0)+IFERROR(INDEX(April!$AI:$AI,MATCH($A28,April!$A:$A,0)),0)+IFERROR(INDEX(May!$AJ:$AJ,MATCH($A28,May!$A:$A,0)),0)+IFERROR(INDEX(June!$AI:$AI,MATCH($A28,June!$A:$A,0)),0)+IFERROR(INDEX(July!$AJ:$AJ,MATCH($A28,July!$A:$A,0)),0)+IFERROR(INDEX(August!$AJ:$AJ,MATCH($A28,August!$A:$A,0)),0)+IFERROR(INDEX(September!$AI:$AI,MATCH($A28,September!$A:$A,0)),0)+IFERROR(INDEX(October!$AJ:$AJ,MATCH($A28,October!$A:$A,0)),0)+IFERROR(INDEX(November!$AI:$AI,MATCH($A28,November!$A:$A,0)),0)+IFERROR(INDEX(December!$AJ:$AJ,MATCH($A28,December!$A:$A,0)),0)</f>
        <v>69</v>
      </c>
      <c r="W28" s="53">
        <f>IFERROR(INDEX(January!$AO:$AO,MATCH($A28,January!$A:$A,0)),0)+IFERROR(INDEX(February!$AL:$AL,MATCH($A28,February!$A:$A,0)),0)+IFERROR(INDEX(March!$AO:$AO,MATCH($A28,March!$A:$A,0)),0)+IFERROR(INDEX(April!$AN:$AN,MATCH($A28,April!$A:$A,0)),0)+IFERROR(INDEX(May!$AO:$AO,MATCH($A28,May!$A:$A,0)),0)+IFERROR(INDEX(June!$AN:$AN,MATCH($A28,June!$A:$A,0)),0)+IFERROR(INDEX(July!$AO:$AO,MATCH($A28,July!$A:$A,0)),0)+IFERROR(INDEX(August!$AO:$AO,MATCH($A28,August!$A:$A,0)),0)+IFERROR(INDEX(September!$AN:$AN,MATCH($A28,September!$A:$A,0)),0)+IFERROR(INDEX(October!$AO:$AO,MATCH($A28,October!$A:$A,0)),0)+IFERROR(INDEX(November!$AN:$AN,MATCH($A28,November!$A:$A,0)),0)+IFERROR(INDEX(December!$AO:$AO,MATCH($A28,December!$A:$A,0)),0)</f>
        <v>13</v>
      </c>
      <c r="X28" s="53">
        <f t="shared" si="6"/>
        <v>6.5</v>
      </c>
      <c r="Y28" s="53">
        <f>(IFERROR(INDEX(January!$AL:$AL,MATCH($A28,January!$A:$A,0)),0)+IFERROR(INDEX(February!$AI:$AI,MATCH($A28,February!$A:$A,0)),0)+IFERROR(INDEX(March!$AL:$AL,MATCH($A28,March!$A:$A,0)),0)+IFERROR(INDEX(April!$AK:$AK,MATCH($A28,April!$A:$A,0)),0)+IFERROR(INDEX(May!$AL:$AL,MATCH($A28,May!$A:$A,0)),0)+IFERROR(INDEX(June!$AK:$AK,MATCH($A28,June!$A:$A,0)),0)+IFERROR(INDEX(July!$AL:$AL,MATCH($A28,July!$A:$A,0)),0)+IFERROR(INDEX(August!$AL:$AL,MATCH($A28,August!$A:$A,0)),0)+IFERROR(INDEX(September!$AK:$AK,MATCH($A28,September!$A:$A,0)),0)+IFERROR(INDEX(October!$AL:$AL,MATCH($A28,October!$A:$A,0)),0)+IFERROR(INDEX(November!$AK:$AK,MATCH($A28,November!$A:$A,0)),0)+IFERROR(INDEX(December!$AL:$AL,MATCH($A28,December!$A:$A,0)),0))*0.5</f>
        <v>11.5</v>
      </c>
      <c r="Z28" s="54">
        <f>IFERROR(INDEX(January!$AK:$AK,MATCH($A28,January!$A:$A,0)),0)+IFERROR(INDEX(February!$AH:$AH,MATCH($A28,February!$A:$A,0)),0)+IFERROR(INDEX(March!$AK:$AK,MATCH($A28,March!$A:$A,0)),0)+IFERROR(INDEX(April!$AJ:$AJ,MATCH($A28,April!$A:$A,0)),0)+IFERROR(INDEX(May!$AK:$AK,MATCH($A28,May!$A:$A,0)),0)+IFERROR(INDEX(June!$AJ:$AJ,MATCH($A28,June!$A:$A,0)),0)+IFERROR(INDEX(July!$AK:$AK,MATCH($A28,July!$A:$A,0)),0)+IFERROR(INDEX(August!$AK:$AK,MATCH($A28,August!$A:$A,0)),0)+IFERROR(INDEX(September!$AJ:$AJ,MATCH($A28,September!$A:$A,0)),0)+IFERROR(INDEX(October!$AK:$AK,MATCH($A28,October!$A:$A,0)),0)+IFERROR(INDEX(November!$AJ:$AJ,MATCH($A28,November!$A:$A,0)),0)+IFERROR(INDEX(December!$AK:$AK,MATCH($A28,December!$A:$A,0)),0)</f>
        <v>21</v>
      </c>
      <c r="AA28" s="51">
        <f t="shared" si="7"/>
        <v>32.5</v>
      </c>
      <c r="AB28" s="55">
        <v>17</v>
      </c>
      <c r="AC28" s="56">
        <f t="shared" si="8"/>
        <v>49.5</v>
      </c>
      <c r="AD28" s="57"/>
      <c r="AE28" s="58">
        <f t="shared" si="9"/>
        <v>49.5</v>
      </c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</row>
    <row r="29" spans="1:49" ht="22" customHeight="1" x14ac:dyDescent="0.35">
      <c r="A29" s="8" t="s">
        <v>85</v>
      </c>
      <c r="B29" s="8" t="s">
        <v>86</v>
      </c>
      <c r="C29" s="8" t="s">
        <v>74</v>
      </c>
      <c r="D29" s="10">
        <v>31</v>
      </c>
      <c r="E29" s="10">
        <v>25</v>
      </c>
      <c r="F29" s="10">
        <v>30</v>
      </c>
      <c r="G29" s="10">
        <v>27</v>
      </c>
      <c r="H29" s="10">
        <v>24</v>
      </c>
      <c r="I29" s="10">
        <v>24</v>
      </c>
      <c r="J29" s="10">
        <v>29</v>
      </c>
      <c r="K29" s="10">
        <v>28</v>
      </c>
      <c r="L29" s="10">
        <v>24</v>
      </c>
      <c r="M29" s="10">
        <v>27</v>
      </c>
      <c r="N29" s="11">
        <v>6</v>
      </c>
      <c r="O29" s="10">
        <v>22</v>
      </c>
      <c r="P29" s="8">
        <f>IFERROR(INDEX(January!$AI:$AI,MATCH($A29,January!$A:$A,0)),0)+IFERROR(INDEX(February!$AF:$AF,MATCH($A29,February!$A:$A,0)),0)+IFERROR(INDEX(March!$AI:$AI,MATCH($A29,March!$A:$A,0)),0)+IFERROR(INDEX(April!$AH:$AH,MATCH($A29,April!$A:$A,0)),0)+IFERROR(INDEX(May!$AI:$AI,MATCH($A29,May!$A:$A,0)),0)+IFERROR(INDEX(June!$AH:$AH,MATCH($A29,June!$A:$A,0)),0)+IFERROR(INDEX(July!$AI:$AI,MATCH($A29,July!$A:$A,0)),0)+IFERROR(INDEX(August!$AI:$AI,MATCH($A29,August!$A:$A,0)),0)+IFERROR(INDEX(September!$AH:$AH,MATCH($A29,September!$A:$A,0)),0)+IFERROR(INDEX(October!$AI:$AI,MATCH($A29,October!$A:$A,0)),0)+IFERROR(INDEX(November!$AH:$AH,MATCH($A29,November!$A:$A,0)),0)+IFERROR(INDEX(December!$AI:$AI,MATCH($A29,December!$A:$A,0)),0)</f>
        <v>228</v>
      </c>
      <c r="Q29" s="8">
        <f>IFERROR(INDEX(January!$AJ:$AJ,MATCH($A29,January!$A:$A,0)),0)+IFERROR(INDEX(February!$AG:$AG,MATCH($A29,February!$A:$A,0)),0)+IFERROR(INDEX(March!$AJ:$AJ,MATCH($A29,March!$A:$A,0)),0)+IFERROR(INDEX(April!$AI:$AI,MATCH($A29,April!$A:$A,0)),0)+IFERROR(INDEX(May!$AJ:$AJ,MATCH($A29,May!$A:$A,0)),0)+IFERROR(INDEX(June!$AI:$AI,MATCH($A29,June!$A:$A,0)),0)+IFERROR(INDEX(July!$AJ:$AJ,MATCH($A29,July!$A:$A,0)),0)+IFERROR(INDEX(August!$AJ:$AJ,MATCH($A29,August!$A:$A,0)),0)+IFERROR(INDEX(September!$AI:$AI,MATCH($A29,September!$A:$A,0)),0)+IFERROR(INDEX(October!$AJ:$AJ,MATCH($A29,October!$A:$A,0)),0)+IFERROR(INDEX(November!$AI:$AI,MATCH($A29,November!$A:$A,0)),0)+IFERROR(INDEX(December!$AJ:$AJ,MATCH($A29,December!$A:$A,0)),0)</f>
        <v>33</v>
      </c>
      <c r="R29" s="8">
        <f>IFERROR(INDEX(January!$AK:$AK,MATCH($A29,January!$A:$A,0)),0)+IFERROR(INDEX(February!$AH:$AH,MATCH($A29,February!$A:$A,0)),0)+IFERROR(INDEX(March!$AK:$AK,MATCH($A29,March!$A:$A,0)),0)+IFERROR(INDEX(April!$AJ:$AJ,MATCH($A29,April!$A:$A,0)),0)+IFERROR(INDEX(May!$AK:$AK,MATCH($A29,May!$A:$A,0)),0)+IFERROR(INDEX(June!$AJ:$AJ,MATCH($A29,June!$A:$A,0)),0)+IFERROR(INDEX(July!$AK:$AK,MATCH($A29,July!$A:$A,0)),0)+IFERROR(INDEX(August!$AK:$AK,MATCH($A29,August!$A:$A,0)),0)+IFERROR(INDEX(September!$AJ:$AJ,MATCH($A29,September!$A:$A,0)),0)+IFERROR(INDEX(October!$AK:$AK,MATCH($A29,October!$A:$A,0)),0)+IFERROR(INDEX(November!$AJ:$AJ,MATCH($A29,November!$A:$A,0)),0)+IFERROR(INDEX(December!$AK:$AK,MATCH($A29,December!$A:$A,0)),0)</f>
        <v>32</v>
      </c>
      <c r="S29" s="35">
        <f t="shared" si="5"/>
        <v>0.87356321839080464</v>
      </c>
      <c r="T29" s="38"/>
      <c r="U29" s="51">
        <f>IFERROR(INDEX(January!$AQ:$AQ,MATCH($A29,January!$A:$A,0)),0)+IFERROR(INDEX(February!$AN:$AN,MATCH($A29,February!$A:$A,0)),0)+IFERROR(INDEX(March!$AQ:$AQ,MATCH($A29,March!$A:$A,0)),0)+IFERROR(INDEX(April!$AP:$AP,MATCH($A29,April!$A:$A,0)),0)+IFERROR(INDEX(May!$AQ:$AQ,MATCH($A29,May!$A:$A,0)),0)+IFERROR(INDEX(June!$AP:$AP,MATCH($A29,June!$A:$A,0)),0)+IFERROR(INDEX(July!$AQ:$AQ,MATCH($A29,July!$A:$A,0)),0)+IFERROR(INDEX(August!$AQ:$AQ,MATCH($A29,August!$A:$A,0)),0)+IFERROR(INDEX(September!$AP:$AP,MATCH($A29,September!$A:$A,0)),0)+IFERROR(INDEX(October!$AQ:$AQ,MATCH($A29,October!$A:$A,0)),0)+IFERROR(INDEX(November!$AP:$AP,MATCH($A29,November!$A:$A,0)),0)+IFERROR(INDEX(December!$AQ:$AQ,MATCH($A29,December!$A:$A,0)),0)</f>
        <v>274</v>
      </c>
      <c r="V29" s="52">
        <f>IFERROR(INDEX(January!$AJ:$AJ,MATCH($A29,January!$A:$A,0)),0)+IFERROR(INDEX(February!$AG:$AG,MATCH($A29,February!$A:$A,0)),0)+IFERROR(INDEX(March!$AJ:$AJ,MATCH($A29,March!$A:$A,0)),0)+IFERROR(INDEX(April!$AI:$AI,MATCH($A29,April!$A:$A,0)),0)+IFERROR(INDEX(May!$AJ:$AJ,MATCH($A29,May!$A:$A,0)),0)+IFERROR(INDEX(June!$AI:$AI,MATCH($A29,June!$A:$A,0)),0)+IFERROR(INDEX(July!$AJ:$AJ,MATCH($A29,July!$A:$A,0)),0)+IFERROR(INDEX(August!$AJ:$AJ,MATCH($A29,August!$A:$A,0)),0)+IFERROR(INDEX(September!$AI:$AI,MATCH($A29,September!$A:$A,0)),0)+IFERROR(INDEX(October!$AJ:$AJ,MATCH($A29,October!$A:$A,0)),0)+IFERROR(INDEX(November!$AI:$AI,MATCH($A29,November!$A:$A,0)),0)+IFERROR(INDEX(December!$AJ:$AJ,MATCH($A29,December!$A:$A,0)),0)</f>
        <v>33</v>
      </c>
      <c r="W29" s="53">
        <f>IFERROR(INDEX(January!$AO:$AO,MATCH($A29,January!$A:$A,0)),0)+IFERROR(INDEX(February!$AL:$AL,MATCH($A29,February!$A:$A,0)),0)+IFERROR(INDEX(March!$AO:$AO,MATCH($A29,March!$A:$A,0)),0)+IFERROR(INDEX(April!$AN:$AN,MATCH($A29,April!$A:$A,0)),0)+IFERROR(INDEX(May!$AO:$AO,MATCH($A29,May!$A:$A,0)),0)+IFERROR(INDEX(June!$AN:$AN,MATCH($A29,June!$A:$A,0)),0)+IFERROR(INDEX(July!$AO:$AO,MATCH($A29,July!$A:$A,0)),0)+IFERROR(INDEX(August!$AO:$AO,MATCH($A29,August!$A:$A,0)),0)+IFERROR(INDEX(September!$AN:$AN,MATCH($A29,September!$A:$A,0)),0)+IFERROR(INDEX(October!$AO:$AO,MATCH($A29,October!$A:$A,0)),0)+IFERROR(INDEX(November!$AN:$AN,MATCH($A29,November!$A:$A,0)),0)+IFERROR(INDEX(December!$AO:$AO,MATCH($A29,December!$A:$A,0)),0)</f>
        <v>9</v>
      </c>
      <c r="X29" s="53">
        <f t="shared" si="6"/>
        <v>4.5</v>
      </c>
      <c r="Y29" s="53">
        <f>(IFERROR(INDEX(January!$AL:$AL,MATCH($A29,January!$A:$A,0)),0)+IFERROR(INDEX(February!$AI:$AI,MATCH($A29,February!$A:$A,0)),0)+IFERROR(INDEX(March!$AL:$AL,MATCH($A29,March!$A:$A,0)),0)+IFERROR(INDEX(April!$AK:$AK,MATCH($A29,April!$A:$A,0)),0)+IFERROR(INDEX(May!$AL:$AL,MATCH($A29,May!$A:$A,0)),0)+IFERROR(INDEX(June!$AK:$AK,MATCH($A29,June!$A:$A,0)),0)+IFERROR(INDEX(July!$AL:$AL,MATCH($A29,July!$A:$A,0)),0)+IFERROR(INDEX(August!$AL:$AL,MATCH($A29,August!$A:$A,0)),0)+IFERROR(INDEX(September!$AK:$AK,MATCH($A29,September!$A:$A,0)),0)+IFERROR(INDEX(October!$AL:$AL,MATCH($A29,October!$A:$A,0)),0)+IFERROR(INDEX(November!$AK:$AK,MATCH($A29,November!$A:$A,0)),0)+IFERROR(INDEX(December!$AL:$AL,MATCH($A29,December!$A:$A,0)),0))*0.5</f>
        <v>18.5</v>
      </c>
      <c r="Z29" s="54">
        <f>IFERROR(INDEX(January!$AK:$AK,MATCH($A29,January!$A:$A,0)),0)+IFERROR(INDEX(February!$AH:$AH,MATCH($A29,February!$A:$A,0)),0)+IFERROR(INDEX(March!$AK:$AK,MATCH($A29,March!$A:$A,0)),0)+IFERROR(INDEX(April!$AJ:$AJ,MATCH($A29,April!$A:$A,0)),0)+IFERROR(INDEX(May!$AK:$AK,MATCH($A29,May!$A:$A,0)),0)+IFERROR(INDEX(June!$AJ:$AJ,MATCH($A29,June!$A:$A,0)),0)+IFERROR(INDEX(July!$AK:$AK,MATCH($A29,July!$A:$A,0)),0)+IFERROR(INDEX(August!$AK:$AK,MATCH($A29,August!$A:$A,0)),0)+IFERROR(INDEX(September!$AJ:$AJ,MATCH($A29,September!$A:$A,0)),0)+IFERROR(INDEX(October!$AK:$AK,MATCH($A29,October!$A:$A,0)),0)+IFERROR(INDEX(November!$AJ:$AJ,MATCH($A29,November!$A:$A,0)),0)+IFERROR(INDEX(December!$AK:$AK,MATCH($A29,December!$A:$A,0)),0)</f>
        <v>32</v>
      </c>
      <c r="AA29" s="51">
        <f>Y29+Z29</f>
        <v>50.5</v>
      </c>
      <c r="AB29" s="55">
        <v>17</v>
      </c>
      <c r="AC29" s="56">
        <f>AA29+IF(AB29="",0,AB29)</f>
        <v>67.5</v>
      </c>
      <c r="AD29" s="57">
        <v>54</v>
      </c>
      <c r="AE29" s="58">
        <f t="shared" si="9"/>
        <v>13.5</v>
      </c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</row>
    <row r="30" spans="1:49" ht="22" customHeight="1" x14ac:dyDescent="0.35">
      <c r="A30" s="8" t="s">
        <v>87</v>
      </c>
      <c r="B30" s="8" t="s">
        <v>88</v>
      </c>
      <c r="C30" s="8" t="s">
        <v>74</v>
      </c>
      <c r="D30" s="10">
        <v>28</v>
      </c>
      <c r="E30" s="11">
        <v>8</v>
      </c>
      <c r="F30" s="10">
        <v>29</v>
      </c>
      <c r="G30" s="10">
        <v>23</v>
      </c>
      <c r="H30" s="10">
        <v>28</v>
      </c>
      <c r="I30" s="10">
        <v>28</v>
      </c>
      <c r="J30" s="10">
        <v>29</v>
      </c>
      <c r="K30" s="10">
        <v>27</v>
      </c>
      <c r="L30" s="10">
        <v>25</v>
      </c>
      <c r="M30" s="11">
        <v>11</v>
      </c>
      <c r="N30" s="11">
        <v>12</v>
      </c>
      <c r="O30" s="10">
        <v>21</v>
      </c>
      <c r="P30" s="8">
        <f>IFERROR(INDEX(January!$AI:$AI,MATCH($A30,January!$A:$A,0)),0)+IFERROR(INDEX(February!$AF:$AF,MATCH($A30,February!$A:$A,0)),0)+IFERROR(INDEX(March!$AI:$AI,MATCH($A30,March!$A:$A,0)),0)+IFERROR(INDEX(April!$AH:$AH,MATCH($A30,April!$A:$A,0)),0)+IFERROR(INDEX(May!$AI:$AI,MATCH($A30,May!$A:$A,0)),0)+IFERROR(INDEX(June!$AH:$AH,MATCH($A30,June!$A:$A,0)),0)+IFERROR(INDEX(July!$AI:$AI,MATCH($A30,July!$A:$A,0)),0)+IFERROR(INDEX(August!$AI:$AI,MATCH($A30,August!$A:$A,0)),0)+IFERROR(INDEX(September!$AH:$AH,MATCH($A30,September!$A:$A,0)),0)+IFERROR(INDEX(October!$AI:$AI,MATCH($A30,October!$A:$A,0)),0)+IFERROR(INDEX(November!$AH:$AH,MATCH($A30,November!$A:$A,0)),0)+IFERROR(INDEX(December!$AI:$AI,MATCH($A30,December!$A:$A,0)),0)</f>
        <v>213</v>
      </c>
      <c r="Q30" s="8">
        <f>IFERROR(INDEX(January!$AJ:$AJ,MATCH($A30,January!$A:$A,0)),0)+IFERROR(INDEX(February!$AG:$AG,MATCH($A30,February!$A:$A,0)),0)+IFERROR(INDEX(March!$AJ:$AJ,MATCH($A30,March!$A:$A,0)),0)+IFERROR(INDEX(April!$AI:$AI,MATCH($A30,April!$A:$A,0)),0)+IFERROR(INDEX(May!$AJ:$AJ,MATCH($A30,May!$A:$A,0)),0)+IFERROR(INDEX(June!$AI:$AI,MATCH($A30,June!$A:$A,0)),0)+IFERROR(INDEX(July!$AJ:$AJ,MATCH($A30,July!$A:$A,0)),0)+IFERROR(INDEX(August!$AJ:$AJ,MATCH($A30,August!$A:$A,0)),0)+IFERROR(INDEX(September!$AI:$AI,MATCH($A30,September!$A:$A,0)),0)+IFERROR(INDEX(October!$AJ:$AJ,MATCH($A30,October!$A:$A,0)),0)+IFERROR(INDEX(November!$AI:$AI,MATCH($A30,November!$A:$A,0)),0)+IFERROR(INDEX(December!$AJ:$AJ,MATCH($A30,December!$A:$A,0)),0)</f>
        <v>48</v>
      </c>
      <c r="R30" s="8">
        <f>IFERROR(INDEX(January!$AK:$AK,MATCH($A30,January!$A:$A,0)),0)+IFERROR(INDEX(February!$AH:$AH,MATCH($A30,February!$A:$A,0)),0)+IFERROR(INDEX(March!$AK:$AK,MATCH($A30,March!$A:$A,0)),0)+IFERROR(INDEX(April!$AJ:$AJ,MATCH($A30,April!$A:$A,0)),0)+IFERROR(INDEX(May!$AK:$AK,MATCH($A30,May!$A:$A,0)),0)+IFERROR(INDEX(June!$AJ:$AJ,MATCH($A30,June!$A:$A,0)),0)+IFERROR(INDEX(July!$AK:$AK,MATCH($A30,July!$A:$A,0)),0)+IFERROR(INDEX(August!$AK:$AK,MATCH($A30,August!$A:$A,0)),0)+IFERROR(INDEX(September!$AJ:$AJ,MATCH($A30,September!$A:$A,0)),0)+IFERROR(INDEX(October!$AK:$AK,MATCH($A30,October!$A:$A,0)),0)+IFERROR(INDEX(November!$AJ:$AJ,MATCH($A30,November!$A:$A,0)),0)+IFERROR(INDEX(December!$AK:$AK,MATCH($A30,December!$A:$A,0)),0)</f>
        <v>23</v>
      </c>
      <c r="S30" s="35">
        <f t="shared" si="5"/>
        <v>0.81609195402298851</v>
      </c>
      <c r="T30" s="38"/>
      <c r="U30" s="51">
        <f>IFERROR(INDEX(January!$AQ:$AQ,MATCH($A30,January!$A:$A,0)),0)+IFERROR(INDEX(February!$AN:$AN,MATCH($A30,February!$A:$A,0)),0)+IFERROR(INDEX(March!$AQ:$AQ,MATCH($A30,March!$A:$A,0)),0)+IFERROR(INDEX(April!$AP:$AP,MATCH($A30,April!$A:$A,0)),0)+IFERROR(INDEX(May!$AQ:$AQ,MATCH($A30,May!$A:$A,0)),0)+IFERROR(INDEX(June!$AP:$AP,MATCH($A30,June!$A:$A,0)),0)+IFERROR(INDEX(July!$AQ:$AQ,MATCH($A30,July!$A:$A,0)),0)+IFERROR(INDEX(August!$AQ:$AQ,MATCH($A30,August!$A:$A,0)),0)+IFERROR(INDEX(September!$AP:$AP,MATCH($A30,September!$A:$A,0)),0)+IFERROR(INDEX(October!$AQ:$AQ,MATCH($A30,October!$A:$A,0)),0)+IFERROR(INDEX(November!$AP:$AP,MATCH($A30,November!$A:$A,0)),0)+IFERROR(INDEX(December!$AQ:$AQ,MATCH($A30,December!$A:$A,0)),0)</f>
        <v>247</v>
      </c>
      <c r="V30" s="52">
        <f>IFERROR(INDEX(January!$AJ:$AJ,MATCH($A30,January!$A:$A,0)),0)+IFERROR(INDEX(February!$AG:$AG,MATCH($A30,February!$A:$A,0)),0)+IFERROR(INDEX(March!$AJ:$AJ,MATCH($A30,March!$A:$A,0)),0)+IFERROR(INDEX(April!$AI:$AI,MATCH($A30,April!$A:$A,0)),0)+IFERROR(INDEX(May!$AJ:$AJ,MATCH($A30,May!$A:$A,0)),0)+IFERROR(INDEX(June!$AI:$AI,MATCH($A30,June!$A:$A,0)),0)+IFERROR(INDEX(July!$AJ:$AJ,MATCH($A30,July!$A:$A,0)),0)+IFERROR(INDEX(August!$AJ:$AJ,MATCH($A30,August!$A:$A,0)),0)+IFERROR(INDEX(September!$AI:$AI,MATCH($A30,September!$A:$A,0)),0)+IFERROR(INDEX(October!$AJ:$AJ,MATCH($A30,October!$A:$A,0)),0)+IFERROR(INDEX(November!$AI:$AI,MATCH($A30,November!$A:$A,0)),0)+IFERROR(INDEX(December!$AJ:$AJ,MATCH($A30,December!$A:$A,0)),0)</f>
        <v>48</v>
      </c>
      <c r="W30" s="53">
        <f>IFERROR(INDEX(January!$AO:$AO,MATCH($A30,January!$A:$A,0)),0)+IFERROR(INDEX(February!$AL:$AL,MATCH($A30,February!$A:$A,0)),0)+IFERROR(INDEX(March!$AO:$AO,MATCH($A30,March!$A:$A,0)),0)+IFERROR(INDEX(April!$AN:$AN,MATCH($A30,April!$A:$A,0)),0)+IFERROR(INDEX(May!$AO:$AO,MATCH($A30,May!$A:$A,0)),0)+IFERROR(INDEX(June!$AN:$AN,MATCH($A30,June!$A:$A,0)),0)+IFERROR(INDEX(July!$AO:$AO,MATCH($A30,July!$A:$A,0)),0)+IFERROR(INDEX(August!$AO:$AO,MATCH($A30,August!$A:$A,0)),0)+IFERROR(INDEX(September!$AN:$AN,MATCH($A30,September!$A:$A,0)),0)+IFERROR(INDEX(October!$AO:$AO,MATCH($A30,October!$A:$A,0)),0)+IFERROR(INDEX(November!$AN:$AN,MATCH($A30,November!$A:$A,0)),0)+IFERROR(INDEX(December!$AO:$AO,MATCH($A30,December!$A:$A,0)),0)</f>
        <v>11</v>
      </c>
      <c r="X30" s="53">
        <f t="shared" si="6"/>
        <v>5.5</v>
      </c>
      <c r="Y30" s="53">
        <f>(IFERROR(INDEX(January!$AL:$AL,MATCH($A30,January!$A:$A,0)),0)+IFERROR(INDEX(February!$AI:$AI,MATCH($A30,February!$A:$A,0)),0)+IFERROR(INDEX(March!$AL:$AL,MATCH($A30,March!$A:$A,0)),0)+IFERROR(INDEX(April!$AK:$AK,MATCH($A30,April!$A:$A,0)),0)+IFERROR(INDEX(May!$AL:$AL,MATCH($A30,May!$A:$A,0)),0)+IFERROR(INDEX(June!$AK:$AK,MATCH($A30,June!$A:$A,0)),0)+IFERROR(INDEX(July!$AL:$AL,MATCH($A30,July!$A:$A,0)),0)+IFERROR(INDEX(August!$AL:$AL,MATCH($A30,August!$A:$A,0)),0)+IFERROR(INDEX(September!$AK:$AK,MATCH($A30,September!$A:$A,0)),0)+IFERROR(INDEX(October!$AL:$AL,MATCH($A30,October!$A:$A,0)),0)+IFERROR(INDEX(November!$AK:$AK,MATCH($A30,November!$A:$A,0)),0)+IFERROR(INDEX(December!$AL:$AL,MATCH($A30,December!$A:$A,0)),0))*0.5</f>
        <v>16.5</v>
      </c>
      <c r="Z30" s="54">
        <f>IFERROR(INDEX(January!$AK:$AK,MATCH($A30,January!$A:$A,0)),0)+IFERROR(INDEX(February!$AH:$AH,MATCH($A30,February!$A:$A,0)),0)+IFERROR(INDEX(March!$AK:$AK,MATCH($A30,March!$A:$A,0)),0)+IFERROR(INDEX(April!$AJ:$AJ,MATCH($A30,April!$A:$A,0)),0)+IFERROR(INDEX(May!$AK:$AK,MATCH($A30,May!$A:$A,0)),0)+IFERROR(INDEX(June!$AJ:$AJ,MATCH($A30,June!$A:$A,0)),0)+IFERROR(INDEX(July!$AK:$AK,MATCH($A30,July!$A:$A,0)),0)+IFERROR(INDEX(August!$AK:$AK,MATCH($A30,August!$A:$A,0)),0)+IFERROR(INDEX(September!$AJ:$AJ,MATCH($A30,September!$A:$A,0)),0)+IFERROR(INDEX(October!$AK:$AK,MATCH($A30,October!$A:$A,0)),0)+IFERROR(INDEX(November!$AJ:$AJ,MATCH($A30,November!$A:$A,0)),0)+IFERROR(INDEX(December!$AK:$AK,MATCH($A30,December!$A:$A,0)),0)</f>
        <v>23</v>
      </c>
      <c r="AA30" s="51">
        <f t="shared" si="7"/>
        <v>39.5</v>
      </c>
      <c r="AB30" s="55">
        <v>17</v>
      </c>
      <c r="AC30" s="56">
        <f t="shared" si="8"/>
        <v>56.5</v>
      </c>
      <c r="AD30" s="57"/>
      <c r="AE30" s="58">
        <f t="shared" si="9"/>
        <v>56.5</v>
      </c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</row>
    <row r="31" spans="1:49" ht="22" customHeight="1" x14ac:dyDescent="0.35">
      <c r="A31" s="8" t="s">
        <v>89</v>
      </c>
      <c r="B31" s="8" t="s">
        <v>90</v>
      </c>
      <c r="C31" s="8" t="s">
        <v>74</v>
      </c>
      <c r="D31" s="11">
        <v>11</v>
      </c>
      <c r="E31" s="10">
        <v>21</v>
      </c>
      <c r="F31" s="10">
        <v>23</v>
      </c>
      <c r="G31" s="11">
        <v>3</v>
      </c>
      <c r="H31" s="10">
        <v>26</v>
      </c>
      <c r="I31" s="10">
        <v>21</v>
      </c>
      <c r="J31" s="10">
        <v>25</v>
      </c>
      <c r="K31" s="10">
        <v>22</v>
      </c>
      <c r="L31" s="10">
        <v>24</v>
      </c>
      <c r="M31" s="11">
        <v>11</v>
      </c>
      <c r="N31" s="10">
        <v>24</v>
      </c>
      <c r="O31" s="11">
        <v>17</v>
      </c>
      <c r="P31" s="8">
        <f>IFERROR(INDEX(January!$AI:$AI,MATCH($A31,January!$A:$A,0)),0)+IFERROR(INDEX(February!$AF:$AF,MATCH($A31,February!$A:$A,0)),0)+IFERROR(INDEX(March!$AI:$AI,MATCH($A31,March!$A:$A,0)),0)+IFERROR(INDEX(April!$AH:$AH,MATCH($A31,April!$A:$A,0)),0)+IFERROR(INDEX(May!$AI:$AI,MATCH($A31,May!$A:$A,0)),0)+IFERROR(INDEX(June!$AH:$AH,MATCH($A31,June!$A:$A,0)),0)+IFERROR(INDEX(July!$AI:$AI,MATCH($A31,July!$A:$A,0)),0)+IFERROR(INDEX(August!$AI:$AI,MATCH($A31,August!$A:$A,0)),0)+IFERROR(INDEX(September!$AH:$AH,MATCH($A31,September!$A:$A,0)),0)+IFERROR(INDEX(October!$AI:$AI,MATCH($A31,October!$A:$A,0)),0)+IFERROR(INDEX(November!$AH:$AH,MATCH($A31,November!$A:$A,0)),0)+IFERROR(INDEX(December!$AI:$AI,MATCH($A31,December!$A:$A,0)),0)</f>
        <v>189</v>
      </c>
      <c r="Q31" s="8">
        <f>IFERROR(INDEX(January!$AJ:$AJ,MATCH($A31,January!$A:$A,0)),0)+IFERROR(INDEX(February!$AG:$AG,MATCH($A31,February!$A:$A,0)),0)+IFERROR(INDEX(March!$AJ:$AJ,MATCH($A31,March!$A:$A,0)),0)+IFERROR(INDEX(April!$AI:$AI,MATCH($A31,April!$A:$A,0)),0)+IFERROR(INDEX(May!$AJ:$AJ,MATCH($A31,May!$A:$A,0)),0)+IFERROR(INDEX(June!$AI:$AI,MATCH($A31,June!$A:$A,0)),0)+IFERROR(INDEX(July!$AJ:$AJ,MATCH($A31,July!$A:$A,0)),0)+IFERROR(INDEX(August!$AJ:$AJ,MATCH($A31,August!$A:$A,0)),0)+IFERROR(INDEX(September!$AI:$AI,MATCH($A31,September!$A:$A,0)),0)+IFERROR(INDEX(October!$AJ:$AJ,MATCH($A31,October!$A:$A,0)),0)+IFERROR(INDEX(November!$AI:$AI,MATCH($A31,November!$A:$A,0)),0)+IFERROR(INDEX(December!$AJ:$AJ,MATCH($A31,December!$A:$A,0)),0)</f>
        <v>72</v>
      </c>
      <c r="R31" s="8">
        <f>IFERROR(INDEX(January!$AK:$AK,MATCH($A31,January!$A:$A,0)),0)+IFERROR(INDEX(February!$AH:$AH,MATCH($A31,February!$A:$A,0)),0)+IFERROR(INDEX(March!$AK:$AK,MATCH($A31,March!$A:$A,0)),0)+IFERROR(INDEX(April!$AJ:$AJ,MATCH($A31,April!$A:$A,0)),0)+IFERROR(INDEX(May!$AK:$AK,MATCH($A31,May!$A:$A,0)),0)+IFERROR(INDEX(June!$AJ:$AJ,MATCH($A31,June!$A:$A,0)),0)+IFERROR(INDEX(July!$AK:$AK,MATCH($A31,July!$A:$A,0)),0)+IFERROR(INDEX(August!$AK:$AK,MATCH($A31,August!$A:$A,0)),0)+IFERROR(INDEX(September!$AJ:$AJ,MATCH($A31,September!$A:$A,0)),0)+IFERROR(INDEX(October!$AK:$AK,MATCH($A31,October!$A:$A,0)),0)+IFERROR(INDEX(November!$AJ:$AJ,MATCH($A31,November!$A:$A,0)),0)+IFERROR(INDEX(December!$AK:$AK,MATCH($A31,December!$A:$A,0)),0)</f>
        <v>16</v>
      </c>
      <c r="S31" s="36">
        <f t="shared" si="5"/>
        <v>0.72413793103448276</v>
      </c>
      <c r="T31" s="38"/>
      <c r="U31" s="51">
        <f>IFERROR(INDEX(January!$AQ:$AQ,MATCH($A31,January!$A:$A,0)),0)+IFERROR(INDEX(February!$AN:$AN,MATCH($A31,February!$A:$A,0)),0)+IFERROR(INDEX(March!$AQ:$AQ,MATCH($A31,March!$A:$A,0)),0)+IFERROR(INDEX(April!$AP:$AP,MATCH($A31,April!$A:$A,0)),0)+IFERROR(INDEX(May!$AQ:$AQ,MATCH($A31,May!$A:$A,0)),0)+IFERROR(INDEX(June!$AP:$AP,MATCH($A31,June!$A:$A,0)),0)+IFERROR(INDEX(July!$AQ:$AQ,MATCH($A31,July!$A:$A,0)),0)+IFERROR(INDEX(August!$AQ:$AQ,MATCH($A31,August!$A:$A,0)),0)+IFERROR(INDEX(September!$AP:$AP,MATCH($A31,September!$A:$A,0)),0)+IFERROR(INDEX(October!$AQ:$AQ,MATCH($A31,October!$A:$A,0)),0)+IFERROR(INDEX(November!$AP:$AP,MATCH($A31,November!$A:$A,0)),0)+IFERROR(INDEX(December!$AQ:$AQ,MATCH($A31,December!$A:$A,0)),0)</f>
        <v>211</v>
      </c>
      <c r="V31" s="52">
        <f>IFERROR(INDEX(January!$AJ:$AJ,MATCH($A31,January!$A:$A,0)),0)+IFERROR(INDEX(February!$AG:$AG,MATCH($A31,February!$A:$A,0)),0)+IFERROR(INDEX(March!$AJ:$AJ,MATCH($A31,March!$A:$A,0)),0)+IFERROR(INDEX(April!$AI:$AI,MATCH($A31,April!$A:$A,0)),0)+IFERROR(INDEX(May!$AJ:$AJ,MATCH($A31,May!$A:$A,0)),0)+IFERROR(INDEX(June!$AI:$AI,MATCH($A31,June!$A:$A,0)),0)+IFERROR(INDEX(July!$AJ:$AJ,MATCH($A31,July!$A:$A,0)),0)+IFERROR(INDEX(August!$AJ:$AJ,MATCH($A31,August!$A:$A,0)),0)+IFERROR(INDEX(September!$AI:$AI,MATCH($A31,September!$A:$A,0)),0)+IFERROR(INDEX(October!$AJ:$AJ,MATCH($A31,October!$A:$A,0)),0)+IFERROR(INDEX(November!$AI:$AI,MATCH($A31,November!$A:$A,0)),0)+IFERROR(INDEX(December!$AJ:$AJ,MATCH($A31,December!$A:$A,0)),0)</f>
        <v>72</v>
      </c>
      <c r="W31" s="53">
        <f>IFERROR(INDEX(January!$AO:$AO,MATCH($A31,January!$A:$A,0)),0)+IFERROR(INDEX(February!$AL:$AL,MATCH($A31,February!$A:$A,0)),0)+IFERROR(INDEX(March!$AO:$AO,MATCH($A31,March!$A:$A,0)),0)+IFERROR(INDEX(April!$AN:$AN,MATCH($A31,April!$A:$A,0)),0)+IFERROR(INDEX(May!$AO:$AO,MATCH($A31,May!$A:$A,0)),0)+IFERROR(INDEX(June!$AN:$AN,MATCH($A31,June!$A:$A,0)),0)+IFERROR(INDEX(July!$AO:$AO,MATCH($A31,July!$A:$A,0)),0)+IFERROR(INDEX(August!$AO:$AO,MATCH($A31,August!$A:$A,0)),0)+IFERROR(INDEX(September!$AN:$AN,MATCH($A31,September!$A:$A,0)),0)+IFERROR(INDEX(October!$AO:$AO,MATCH($A31,October!$A:$A,0)),0)+IFERROR(INDEX(November!$AN:$AN,MATCH($A31,November!$A:$A,0)),0)+IFERROR(INDEX(December!$AO:$AO,MATCH($A31,December!$A:$A,0)),0)</f>
        <v>11</v>
      </c>
      <c r="X31" s="53">
        <f t="shared" si="6"/>
        <v>5.5</v>
      </c>
      <c r="Y31" s="53">
        <f>(IFERROR(INDEX(January!$AL:$AL,MATCH($A31,January!$A:$A,0)),0)+IFERROR(INDEX(February!$AI:$AI,MATCH($A31,February!$A:$A,0)),0)+IFERROR(INDEX(March!$AL:$AL,MATCH($A31,March!$A:$A,0)),0)+IFERROR(INDEX(April!$AK:$AK,MATCH($A31,April!$A:$A,0)),0)+IFERROR(INDEX(May!$AL:$AL,MATCH($A31,May!$A:$A,0)),0)+IFERROR(INDEX(June!$AK:$AK,MATCH($A31,June!$A:$A,0)),0)+IFERROR(INDEX(July!$AL:$AL,MATCH($A31,July!$A:$A,0)),0)+IFERROR(INDEX(August!$AL:$AL,MATCH($A31,August!$A:$A,0)),0)+IFERROR(INDEX(September!$AK:$AK,MATCH($A31,September!$A:$A,0)),0)+IFERROR(INDEX(October!$AL:$AL,MATCH($A31,October!$A:$A,0)),0)+IFERROR(INDEX(November!$AK:$AK,MATCH($A31,November!$A:$A,0)),0)+IFERROR(INDEX(December!$AL:$AL,MATCH($A31,December!$A:$A,0)),0))*0.5</f>
        <v>11.5</v>
      </c>
      <c r="Z31" s="54">
        <f>IFERROR(INDEX(January!$AK:$AK,MATCH($A31,January!$A:$A,0)),0)+IFERROR(INDEX(February!$AH:$AH,MATCH($A31,February!$A:$A,0)),0)+IFERROR(INDEX(March!$AK:$AK,MATCH($A31,March!$A:$A,0)),0)+IFERROR(INDEX(April!$AJ:$AJ,MATCH($A31,April!$A:$A,0)),0)+IFERROR(INDEX(May!$AK:$AK,MATCH($A31,May!$A:$A,0)),0)+IFERROR(INDEX(June!$AJ:$AJ,MATCH($A31,June!$A:$A,0)),0)+IFERROR(INDEX(July!$AK:$AK,MATCH($A31,July!$A:$A,0)),0)+IFERROR(INDEX(August!$AK:$AK,MATCH($A31,August!$A:$A,0)),0)+IFERROR(INDEX(September!$AJ:$AJ,MATCH($A31,September!$A:$A,0)),0)+IFERROR(INDEX(October!$AK:$AK,MATCH($A31,October!$A:$A,0)),0)+IFERROR(INDEX(November!$AJ:$AJ,MATCH($A31,November!$A:$A,0)),0)+IFERROR(INDEX(December!$AK:$AK,MATCH($A31,December!$A:$A,0)),0)</f>
        <v>16</v>
      </c>
      <c r="AA31" s="51">
        <f t="shared" si="7"/>
        <v>27.5</v>
      </c>
      <c r="AB31" s="55">
        <v>17</v>
      </c>
      <c r="AC31" s="56">
        <f t="shared" si="8"/>
        <v>44.5</v>
      </c>
      <c r="AD31" s="57"/>
      <c r="AE31" s="58">
        <f t="shared" si="9"/>
        <v>44.5</v>
      </c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</row>
    <row r="32" spans="1:49" ht="22" customHeight="1" x14ac:dyDescent="0.35">
      <c r="A32" s="8" t="s">
        <v>91</v>
      </c>
      <c r="B32" s="8" t="s">
        <v>92</v>
      </c>
      <c r="C32" s="8" t="s">
        <v>74</v>
      </c>
      <c r="D32" s="10">
        <v>28</v>
      </c>
      <c r="E32" s="11">
        <v>10</v>
      </c>
      <c r="F32" s="10">
        <v>21</v>
      </c>
      <c r="G32" s="10">
        <v>23</v>
      </c>
      <c r="H32" s="11">
        <v>12</v>
      </c>
      <c r="I32" s="10">
        <v>24</v>
      </c>
      <c r="J32" s="10">
        <v>25</v>
      </c>
      <c r="K32" s="10">
        <v>25</v>
      </c>
      <c r="L32" s="10">
        <v>26</v>
      </c>
      <c r="M32" s="11">
        <v>11</v>
      </c>
      <c r="N32" s="10">
        <v>23</v>
      </c>
      <c r="O32" s="10">
        <v>23</v>
      </c>
      <c r="P32" s="8">
        <f>IFERROR(INDEX(January!$AI:$AI,MATCH($A32,January!$A:$A,0)),0)+IFERROR(INDEX(February!$AF:$AF,MATCH($A32,February!$A:$A,0)),0)+IFERROR(INDEX(March!$AI:$AI,MATCH($A32,March!$A:$A,0)),0)+IFERROR(INDEX(April!$AH:$AH,MATCH($A32,April!$A:$A,0)),0)+IFERROR(INDEX(May!$AI:$AI,MATCH($A32,May!$A:$A,0)),0)+IFERROR(INDEX(June!$AH:$AH,MATCH($A32,June!$A:$A,0)),0)+IFERROR(INDEX(July!$AI:$AI,MATCH($A32,July!$A:$A,0)),0)+IFERROR(INDEX(August!$AI:$AI,MATCH($A32,August!$A:$A,0)),0)+IFERROR(INDEX(September!$AH:$AH,MATCH($A32,September!$A:$A,0)),0)+IFERROR(INDEX(October!$AI:$AI,MATCH($A32,October!$A:$A,0)),0)+IFERROR(INDEX(November!$AH:$AH,MATCH($A32,November!$A:$A,0)),0)+IFERROR(INDEX(December!$AI:$AI,MATCH($A32,December!$A:$A,0)),0)</f>
        <v>199</v>
      </c>
      <c r="Q32" s="8">
        <f>IFERROR(INDEX(January!$AJ:$AJ,MATCH($A32,January!$A:$A,0)),0)+IFERROR(INDEX(February!$AG:$AG,MATCH($A32,February!$A:$A,0)),0)+IFERROR(INDEX(March!$AJ:$AJ,MATCH($A32,March!$A:$A,0)),0)+IFERROR(INDEX(April!$AI:$AI,MATCH($A32,April!$A:$A,0)),0)+IFERROR(INDEX(May!$AJ:$AJ,MATCH($A32,May!$A:$A,0)),0)+IFERROR(INDEX(June!$AI:$AI,MATCH($A32,June!$A:$A,0)),0)+IFERROR(INDEX(July!$AJ:$AJ,MATCH($A32,July!$A:$A,0)),0)+IFERROR(INDEX(August!$AJ:$AJ,MATCH($A32,August!$A:$A,0)),0)+IFERROR(INDEX(September!$AI:$AI,MATCH($A32,September!$A:$A,0)),0)+IFERROR(INDEX(October!$AJ:$AJ,MATCH($A32,October!$A:$A,0)),0)+IFERROR(INDEX(November!$AI:$AI,MATCH($A32,November!$A:$A,0)),0)+IFERROR(INDEX(December!$AJ:$AJ,MATCH($A32,December!$A:$A,0)),0)</f>
        <v>62</v>
      </c>
      <c r="R32" s="8">
        <f>IFERROR(INDEX(January!$AK:$AK,MATCH($A32,January!$A:$A,0)),0)+IFERROR(INDEX(February!$AH:$AH,MATCH($A32,February!$A:$A,0)),0)+IFERROR(INDEX(March!$AK:$AK,MATCH($A32,March!$A:$A,0)),0)+IFERROR(INDEX(April!$AJ:$AJ,MATCH($A32,April!$A:$A,0)),0)+IFERROR(INDEX(May!$AK:$AK,MATCH($A32,May!$A:$A,0)),0)+IFERROR(INDEX(June!$AJ:$AJ,MATCH($A32,June!$A:$A,0)),0)+IFERROR(INDEX(July!$AK:$AK,MATCH($A32,July!$A:$A,0)),0)+IFERROR(INDEX(August!$AK:$AK,MATCH($A32,August!$A:$A,0)),0)+IFERROR(INDEX(September!$AJ:$AJ,MATCH($A32,September!$A:$A,0)),0)+IFERROR(INDEX(October!$AK:$AK,MATCH($A32,October!$A:$A,0)),0)+IFERROR(INDEX(November!$AJ:$AJ,MATCH($A32,November!$A:$A,0)),0)+IFERROR(INDEX(December!$AK:$AK,MATCH($A32,December!$A:$A,0)),0)</f>
        <v>25</v>
      </c>
      <c r="S32" s="35">
        <f t="shared" si="5"/>
        <v>0.76245210727969348</v>
      </c>
      <c r="T32" s="38"/>
      <c r="U32" s="51">
        <f>IFERROR(INDEX(January!$AQ:$AQ,MATCH($A32,January!$A:$A,0)),0)+IFERROR(INDEX(February!$AN:$AN,MATCH($A32,February!$A:$A,0)),0)+IFERROR(INDEX(March!$AQ:$AQ,MATCH($A32,March!$A:$A,0)),0)+IFERROR(INDEX(April!$AP:$AP,MATCH($A32,April!$A:$A,0)),0)+IFERROR(INDEX(May!$AQ:$AQ,MATCH($A32,May!$A:$A,0)),0)+IFERROR(INDEX(June!$AP:$AP,MATCH($A32,June!$A:$A,0)),0)+IFERROR(INDEX(July!$AQ:$AQ,MATCH($A32,July!$A:$A,0)),0)+IFERROR(INDEX(August!$AQ:$AQ,MATCH($A32,August!$A:$A,0)),0)+IFERROR(INDEX(September!$AP:$AP,MATCH($A32,September!$A:$A,0)),0)+IFERROR(INDEX(October!$AQ:$AQ,MATCH($A32,October!$A:$A,0)),0)+IFERROR(INDEX(November!$AP:$AP,MATCH($A32,November!$A:$A,0)),0)+IFERROR(INDEX(December!$AQ:$AQ,MATCH($A32,December!$A:$A,0)),0)</f>
        <v>232.5</v>
      </c>
      <c r="V32" s="52">
        <f>IFERROR(INDEX(January!$AJ:$AJ,MATCH($A32,January!$A:$A,0)),0)+IFERROR(INDEX(February!$AG:$AG,MATCH($A32,February!$A:$A,0)),0)+IFERROR(INDEX(March!$AJ:$AJ,MATCH($A32,March!$A:$A,0)),0)+IFERROR(INDEX(April!$AI:$AI,MATCH($A32,April!$A:$A,0)),0)+IFERROR(INDEX(May!$AJ:$AJ,MATCH($A32,May!$A:$A,0)),0)+IFERROR(INDEX(June!$AI:$AI,MATCH($A32,June!$A:$A,0)),0)+IFERROR(INDEX(July!$AJ:$AJ,MATCH($A32,July!$A:$A,0)),0)+IFERROR(INDEX(August!$AJ:$AJ,MATCH($A32,August!$A:$A,0)),0)+IFERROR(INDEX(September!$AI:$AI,MATCH($A32,September!$A:$A,0)),0)+IFERROR(INDEX(October!$AJ:$AJ,MATCH($A32,October!$A:$A,0)),0)+IFERROR(INDEX(November!$AI:$AI,MATCH($A32,November!$A:$A,0)),0)+IFERROR(INDEX(December!$AJ:$AJ,MATCH($A32,December!$A:$A,0)),0)</f>
        <v>62</v>
      </c>
      <c r="W32" s="53">
        <f>IFERROR(INDEX(January!$AO:$AO,MATCH($A32,January!$A:$A,0)),0)+IFERROR(INDEX(February!$AL:$AL,MATCH($A32,February!$A:$A,0)),0)+IFERROR(INDEX(March!$AO:$AO,MATCH($A32,March!$A:$A,0)),0)+IFERROR(INDEX(April!$AN:$AN,MATCH($A32,April!$A:$A,0)),0)+IFERROR(INDEX(May!$AO:$AO,MATCH($A32,May!$A:$A,0)),0)+IFERROR(INDEX(June!$AN:$AN,MATCH($A32,June!$A:$A,0)),0)+IFERROR(INDEX(July!$AO:$AO,MATCH($A32,July!$A:$A,0)),0)+IFERROR(INDEX(August!$AO:$AO,MATCH($A32,August!$A:$A,0)),0)+IFERROR(INDEX(September!$AN:$AN,MATCH($A32,September!$A:$A,0)),0)+IFERROR(INDEX(October!$AO:$AO,MATCH($A32,October!$A:$A,0)),0)+IFERROR(INDEX(November!$AN:$AN,MATCH($A32,November!$A:$A,0)),0)+IFERROR(INDEX(December!$AO:$AO,MATCH($A32,December!$A:$A,0)),0)</f>
        <v>10</v>
      </c>
      <c r="X32" s="53">
        <f t="shared" si="6"/>
        <v>5</v>
      </c>
      <c r="Y32" s="53">
        <f>(IFERROR(INDEX(January!$AL:$AL,MATCH($A32,January!$A:$A,0)),0)+IFERROR(INDEX(February!$AI:$AI,MATCH($A32,February!$A:$A,0)),0)+IFERROR(INDEX(March!$AL:$AL,MATCH($A32,March!$A:$A,0)),0)+IFERROR(INDEX(April!$AK:$AK,MATCH($A32,April!$A:$A,0)),0)+IFERROR(INDEX(May!$AL:$AL,MATCH($A32,May!$A:$A,0)),0)+IFERROR(INDEX(June!$AK:$AK,MATCH($A32,June!$A:$A,0)),0)+IFERROR(INDEX(July!$AL:$AL,MATCH($A32,July!$A:$A,0)),0)+IFERROR(INDEX(August!$AL:$AL,MATCH($A32,August!$A:$A,0)),0)+IFERROR(INDEX(September!$AK:$AK,MATCH($A32,September!$A:$A,0)),0)+IFERROR(INDEX(October!$AL:$AL,MATCH($A32,October!$A:$A,0)),0)+IFERROR(INDEX(November!$AK:$AK,MATCH($A32,November!$A:$A,0)),0)+IFERROR(INDEX(December!$AL:$AL,MATCH($A32,December!$A:$A,0)),0))*0.5</f>
        <v>13.5</v>
      </c>
      <c r="Z32" s="54">
        <f>IFERROR(INDEX(January!$AK:$AK,MATCH($A32,January!$A:$A,0)),0)+IFERROR(INDEX(February!$AH:$AH,MATCH($A32,February!$A:$A,0)),0)+IFERROR(INDEX(March!$AK:$AK,MATCH($A32,March!$A:$A,0)),0)+IFERROR(INDEX(April!$AJ:$AJ,MATCH($A32,April!$A:$A,0)),0)+IFERROR(INDEX(May!$AK:$AK,MATCH($A32,May!$A:$A,0)),0)+IFERROR(INDEX(June!$AJ:$AJ,MATCH($A32,June!$A:$A,0)),0)+IFERROR(INDEX(July!$AK:$AK,MATCH($A32,July!$A:$A,0)),0)+IFERROR(INDEX(August!$AK:$AK,MATCH($A32,August!$A:$A,0)),0)+IFERROR(INDEX(September!$AJ:$AJ,MATCH($A32,September!$A:$A,0)),0)+IFERROR(INDEX(October!$AK:$AK,MATCH($A32,October!$A:$A,0)),0)+IFERROR(INDEX(November!$AJ:$AJ,MATCH($A32,November!$A:$A,0)),0)+IFERROR(INDEX(December!$AK:$AK,MATCH($A32,December!$A:$A,0)),0)</f>
        <v>25</v>
      </c>
      <c r="AA32" s="51">
        <f t="shared" si="7"/>
        <v>38.5</v>
      </c>
      <c r="AB32" s="55">
        <v>17</v>
      </c>
      <c r="AC32" s="56">
        <f t="shared" si="8"/>
        <v>55.5</v>
      </c>
      <c r="AD32" s="57"/>
      <c r="AE32" s="58">
        <f t="shared" si="9"/>
        <v>55.5</v>
      </c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</row>
    <row r="33" spans="1:49" ht="22" customHeight="1" x14ac:dyDescent="0.35">
      <c r="A33" s="8" t="s">
        <v>93</v>
      </c>
      <c r="B33" s="8" t="s">
        <v>94</v>
      </c>
      <c r="C33" s="8" t="s">
        <v>74</v>
      </c>
      <c r="D33" s="11">
        <v>17</v>
      </c>
      <c r="E33" s="10">
        <v>20</v>
      </c>
      <c r="F33" s="10">
        <v>24</v>
      </c>
      <c r="G33" s="10">
        <v>25</v>
      </c>
      <c r="H33" s="11">
        <v>11</v>
      </c>
      <c r="I33" s="10">
        <v>23</v>
      </c>
      <c r="J33" s="10">
        <v>22</v>
      </c>
      <c r="K33" s="10">
        <v>25</v>
      </c>
      <c r="L33" s="10">
        <v>28</v>
      </c>
      <c r="M33" s="10">
        <v>26</v>
      </c>
      <c r="N33" s="10">
        <v>26</v>
      </c>
      <c r="O33" s="11">
        <v>10</v>
      </c>
      <c r="P33" s="8">
        <f>IFERROR(INDEX(January!$AI:$AI,MATCH($A33,January!$A:$A,0)),0)+IFERROR(INDEX(February!$AF:$AF,MATCH($A33,February!$A:$A,0)),0)+IFERROR(INDEX(March!$AI:$AI,MATCH($A33,March!$A:$A,0)),0)+IFERROR(INDEX(April!$AH:$AH,MATCH($A33,April!$A:$A,0)),0)+IFERROR(INDEX(May!$AI:$AI,MATCH($A33,May!$A:$A,0)),0)+IFERROR(INDEX(June!$AH:$AH,MATCH($A33,June!$A:$A,0)),0)+IFERROR(INDEX(July!$AI:$AI,MATCH($A33,July!$A:$A,0)),0)+IFERROR(INDEX(August!$AI:$AI,MATCH($A33,August!$A:$A,0)),0)+IFERROR(INDEX(September!$AH:$AH,MATCH($A33,September!$A:$A,0)),0)+IFERROR(INDEX(October!$AI:$AI,MATCH($A33,October!$A:$A,0)),0)+IFERROR(INDEX(November!$AH:$AH,MATCH($A33,November!$A:$A,0)),0)+IFERROR(INDEX(December!$AI:$AI,MATCH($A33,December!$A:$A,0)),0)</f>
        <v>211</v>
      </c>
      <c r="Q33" s="8">
        <f>IFERROR(INDEX(January!$AJ:$AJ,MATCH($A33,January!$A:$A,0)),0)+IFERROR(INDEX(February!$AG:$AG,MATCH($A33,February!$A:$A,0)),0)+IFERROR(INDEX(March!$AJ:$AJ,MATCH($A33,March!$A:$A,0)),0)+IFERROR(INDEX(April!$AI:$AI,MATCH($A33,April!$A:$A,0)),0)+IFERROR(INDEX(May!$AJ:$AJ,MATCH($A33,May!$A:$A,0)),0)+IFERROR(INDEX(June!$AI:$AI,MATCH($A33,June!$A:$A,0)),0)+IFERROR(INDEX(July!$AJ:$AJ,MATCH($A33,July!$A:$A,0)),0)+IFERROR(INDEX(August!$AJ:$AJ,MATCH($A33,August!$A:$A,0)),0)+IFERROR(INDEX(September!$AI:$AI,MATCH($A33,September!$A:$A,0)),0)+IFERROR(INDEX(October!$AJ:$AJ,MATCH($A33,October!$A:$A,0)),0)+IFERROR(INDEX(November!$AI:$AI,MATCH($A33,November!$A:$A,0)),0)+IFERROR(INDEX(December!$AJ:$AJ,MATCH($A33,December!$A:$A,0)),0)</f>
        <v>50</v>
      </c>
      <c r="R33" s="8">
        <f>IFERROR(INDEX(January!$AK:$AK,MATCH($A33,January!$A:$A,0)),0)+IFERROR(INDEX(February!$AH:$AH,MATCH($A33,February!$A:$A,0)),0)+IFERROR(INDEX(March!$AK:$AK,MATCH($A33,March!$A:$A,0)),0)+IFERROR(INDEX(April!$AJ:$AJ,MATCH($A33,April!$A:$A,0)),0)+IFERROR(INDEX(May!$AK:$AK,MATCH($A33,May!$A:$A,0)),0)+IFERROR(INDEX(June!$AJ:$AJ,MATCH($A33,June!$A:$A,0)),0)+IFERROR(INDEX(July!$AK:$AK,MATCH($A33,July!$A:$A,0)),0)+IFERROR(INDEX(August!$AK:$AK,MATCH($A33,August!$A:$A,0)),0)+IFERROR(INDEX(September!$AJ:$AJ,MATCH($A33,September!$A:$A,0)),0)+IFERROR(INDEX(October!$AK:$AK,MATCH($A33,October!$A:$A,0)),0)+IFERROR(INDEX(November!$AJ:$AJ,MATCH($A33,November!$A:$A,0)),0)+IFERROR(INDEX(December!$AK:$AK,MATCH($A33,December!$A:$A,0)),0)</f>
        <v>22</v>
      </c>
      <c r="S33" s="35">
        <f t="shared" si="5"/>
        <v>0.80842911877394641</v>
      </c>
      <c r="T33" s="38"/>
      <c r="U33" s="51">
        <f>IFERROR(INDEX(January!$AQ:$AQ,MATCH($A33,January!$A:$A,0)),0)+IFERROR(INDEX(February!$AN:$AN,MATCH($A33,February!$A:$A,0)),0)+IFERROR(INDEX(March!$AQ:$AQ,MATCH($A33,March!$A:$A,0)),0)+IFERROR(INDEX(April!$AP:$AP,MATCH($A33,April!$A:$A,0)),0)+IFERROR(INDEX(May!$AQ:$AQ,MATCH($A33,May!$A:$A,0)),0)+IFERROR(INDEX(June!$AP:$AP,MATCH($A33,June!$A:$A,0)),0)+IFERROR(INDEX(July!$AQ:$AQ,MATCH($A33,July!$A:$A,0)),0)+IFERROR(INDEX(August!$AQ:$AQ,MATCH($A33,August!$A:$A,0)),0)+IFERROR(INDEX(September!$AP:$AP,MATCH($A33,September!$A:$A,0)),0)+IFERROR(INDEX(October!$AQ:$AQ,MATCH($A33,October!$A:$A,0)),0)+IFERROR(INDEX(November!$AP:$AP,MATCH($A33,November!$A:$A,0)),0)+IFERROR(INDEX(December!$AQ:$AQ,MATCH($A33,December!$A:$A,0)),0)</f>
        <v>237</v>
      </c>
      <c r="V33" s="52">
        <f>IFERROR(INDEX(January!$AJ:$AJ,MATCH($A33,January!$A:$A,0)),0)+IFERROR(INDEX(February!$AG:$AG,MATCH($A33,February!$A:$A,0)),0)+IFERROR(INDEX(March!$AJ:$AJ,MATCH($A33,March!$A:$A,0)),0)+IFERROR(INDEX(April!$AI:$AI,MATCH($A33,April!$A:$A,0)),0)+IFERROR(INDEX(May!$AJ:$AJ,MATCH($A33,May!$A:$A,0)),0)+IFERROR(INDEX(June!$AI:$AI,MATCH($A33,June!$A:$A,0)),0)+IFERROR(INDEX(July!$AJ:$AJ,MATCH($A33,July!$A:$A,0)),0)+IFERROR(INDEX(August!$AJ:$AJ,MATCH($A33,August!$A:$A,0)),0)+IFERROR(INDEX(September!$AI:$AI,MATCH($A33,September!$A:$A,0)),0)+IFERROR(INDEX(October!$AJ:$AJ,MATCH($A33,October!$A:$A,0)),0)+IFERROR(INDEX(November!$AI:$AI,MATCH($A33,November!$A:$A,0)),0)+IFERROR(INDEX(December!$AJ:$AJ,MATCH($A33,December!$A:$A,0)),0)</f>
        <v>50</v>
      </c>
      <c r="W33" s="53">
        <f>IFERROR(INDEX(January!$AO:$AO,MATCH($A33,January!$A:$A,0)),0)+IFERROR(INDEX(February!$AL:$AL,MATCH($A33,February!$A:$A,0)),0)+IFERROR(INDEX(March!$AO:$AO,MATCH($A33,March!$A:$A,0)),0)+IFERROR(INDEX(April!$AN:$AN,MATCH($A33,April!$A:$A,0)),0)+IFERROR(INDEX(May!$AO:$AO,MATCH($A33,May!$A:$A,0)),0)+IFERROR(INDEX(June!$AN:$AN,MATCH($A33,June!$A:$A,0)),0)+IFERROR(INDEX(July!$AO:$AO,MATCH($A33,July!$A:$A,0)),0)+IFERROR(INDEX(August!$AO:$AO,MATCH($A33,August!$A:$A,0)),0)+IFERROR(INDEX(September!$AN:$AN,MATCH($A33,September!$A:$A,0)),0)+IFERROR(INDEX(October!$AO:$AO,MATCH($A33,October!$A:$A,0)),0)+IFERROR(INDEX(November!$AN:$AN,MATCH($A33,November!$A:$A,0)),0)+IFERROR(INDEX(December!$AO:$AO,MATCH($A33,December!$A:$A,0)),0)</f>
        <v>16</v>
      </c>
      <c r="X33" s="53">
        <f t="shared" si="6"/>
        <v>8</v>
      </c>
      <c r="Y33" s="53">
        <f>(IFERROR(INDEX(January!$AL:$AL,MATCH($A33,January!$A:$A,0)),0)+IFERROR(INDEX(February!$AI:$AI,MATCH($A33,February!$A:$A,0)),0)+IFERROR(INDEX(March!$AL:$AL,MATCH($A33,March!$A:$A,0)),0)+IFERROR(INDEX(April!$AK:$AK,MATCH($A33,April!$A:$A,0)),0)+IFERROR(INDEX(May!$AL:$AL,MATCH($A33,May!$A:$A,0)),0)+IFERROR(INDEX(June!$AK:$AK,MATCH($A33,June!$A:$A,0)),0)+IFERROR(INDEX(July!$AL:$AL,MATCH($A33,July!$A:$A,0)),0)+IFERROR(INDEX(August!$AL:$AL,MATCH($A33,August!$A:$A,0)),0)+IFERROR(INDEX(September!$AK:$AK,MATCH($A33,September!$A:$A,0)),0)+IFERROR(INDEX(October!$AL:$AL,MATCH($A33,October!$A:$A,0)),0)+IFERROR(INDEX(November!$AK:$AK,MATCH($A33,November!$A:$A,0)),0)+IFERROR(INDEX(December!$AL:$AL,MATCH($A33,December!$A:$A,0)),0))*0.5</f>
        <v>12</v>
      </c>
      <c r="Z33" s="54">
        <f>IFERROR(INDEX(January!$AK:$AK,MATCH($A33,January!$A:$A,0)),0)+IFERROR(INDEX(February!$AH:$AH,MATCH($A33,February!$A:$A,0)),0)+IFERROR(INDEX(March!$AK:$AK,MATCH($A33,March!$A:$A,0)),0)+IFERROR(INDEX(April!$AJ:$AJ,MATCH($A33,April!$A:$A,0)),0)+IFERROR(INDEX(May!$AK:$AK,MATCH($A33,May!$A:$A,0)),0)+IFERROR(INDEX(June!$AJ:$AJ,MATCH($A33,June!$A:$A,0)),0)+IFERROR(INDEX(July!$AK:$AK,MATCH($A33,July!$A:$A,0)),0)+IFERROR(INDEX(August!$AK:$AK,MATCH($A33,August!$A:$A,0)),0)+IFERROR(INDEX(September!$AJ:$AJ,MATCH($A33,September!$A:$A,0)),0)+IFERROR(INDEX(October!$AK:$AK,MATCH($A33,October!$A:$A,0)),0)+IFERROR(INDEX(November!$AJ:$AJ,MATCH($A33,November!$A:$A,0)),0)+IFERROR(INDEX(December!$AK:$AK,MATCH($A33,December!$A:$A,0)),0)</f>
        <v>22</v>
      </c>
      <c r="AA33" s="51">
        <f t="shared" si="7"/>
        <v>34</v>
      </c>
      <c r="AB33" s="55">
        <v>17</v>
      </c>
      <c r="AC33" s="56">
        <f t="shared" si="8"/>
        <v>51</v>
      </c>
      <c r="AD33" s="57"/>
      <c r="AE33" s="58">
        <f t="shared" si="9"/>
        <v>51</v>
      </c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</row>
    <row r="34" spans="1:49" ht="22" customHeight="1" x14ac:dyDescent="0.35">
      <c r="A34" s="8" t="s">
        <v>95</v>
      </c>
      <c r="B34" s="8" t="s">
        <v>96</v>
      </c>
      <c r="C34" s="8" t="s">
        <v>74</v>
      </c>
      <c r="D34" s="9">
        <v>0</v>
      </c>
      <c r="E34" s="9">
        <v>0</v>
      </c>
      <c r="F34" s="9">
        <v>0</v>
      </c>
      <c r="G34" s="10">
        <v>22</v>
      </c>
      <c r="H34" s="10">
        <v>22</v>
      </c>
      <c r="I34" s="10">
        <v>22</v>
      </c>
      <c r="J34" s="10">
        <v>23</v>
      </c>
      <c r="K34" s="10">
        <v>22</v>
      </c>
      <c r="L34" s="10">
        <v>25</v>
      </c>
      <c r="M34" s="10">
        <v>24</v>
      </c>
      <c r="N34" s="10">
        <v>26</v>
      </c>
      <c r="O34" s="11">
        <v>5</v>
      </c>
      <c r="P34" s="8">
        <f>IFERROR(INDEX(January!$AI:$AI,MATCH($A34,January!$A:$A,0)),0)+IFERROR(INDEX(February!$AF:$AF,MATCH($A34,February!$A:$A,0)),0)+IFERROR(INDEX(March!$AI:$AI,MATCH($A34,March!$A:$A,0)),0)+IFERROR(INDEX(April!$AH:$AH,MATCH($A34,April!$A:$A,0)),0)+IFERROR(INDEX(May!$AI:$AI,MATCH($A34,May!$A:$A,0)),0)+IFERROR(INDEX(June!$AH:$AH,MATCH($A34,June!$A:$A,0)),0)+IFERROR(INDEX(July!$AI:$AI,MATCH($A34,July!$A:$A,0)),0)+IFERROR(INDEX(August!$AI:$AI,MATCH($A34,August!$A:$A,0)),0)+IFERROR(INDEX(September!$AH:$AH,MATCH($A34,September!$A:$A,0)),0)+IFERROR(INDEX(October!$AI:$AI,MATCH($A34,October!$A:$A,0)),0)+IFERROR(INDEX(November!$AH:$AH,MATCH($A34,November!$A:$A,0)),0)+IFERROR(INDEX(December!$AI:$AI,MATCH($A34,December!$A:$A,0)),0)</f>
        <v>167</v>
      </c>
      <c r="Q34" s="8">
        <f>IFERROR(INDEX(January!$AJ:$AJ,MATCH($A34,January!$A:$A,0)),0)+IFERROR(INDEX(February!$AG:$AG,MATCH($A34,February!$A:$A,0)),0)+IFERROR(INDEX(March!$AJ:$AJ,MATCH($A34,March!$A:$A,0)),0)+IFERROR(INDEX(April!$AI:$AI,MATCH($A34,April!$A:$A,0)),0)+IFERROR(INDEX(May!$AJ:$AJ,MATCH($A34,May!$A:$A,0)),0)+IFERROR(INDEX(June!$AI:$AI,MATCH($A34,June!$A:$A,0)),0)+IFERROR(INDEX(July!$AJ:$AJ,MATCH($A34,July!$A:$A,0)),0)+IFERROR(INDEX(August!$AJ:$AJ,MATCH($A34,August!$A:$A,0)),0)+IFERROR(INDEX(September!$AI:$AI,MATCH($A34,September!$A:$A,0)),0)+IFERROR(INDEX(October!$AJ:$AJ,MATCH($A34,October!$A:$A,0)),0)+IFERROR(INDEX(November!$AI:$AI,MATCH($A34,November!$A:$A,0)),0)+IFERROR(INDEX(December!$AJ:$AJ,MATCH($A34,December!$A:$A,0)),0)</f>
        <v>94</v>
      </c>
      <c r="R34" s="8">
        <f>IFERROR(INDEX(January!$AK:$AK,MATCH($A34,January!$A:$A,0)),0)+IFERROR(INDEX(February!$AH:$AH,MATCH($A34,February!$A:$A,0)),0)+IFERROR(INDEX(March!$AK:$AK,MATCH($A34,March!$A:$A,0)),0)+IFERROR(INDEX(April!$AJ:$AJ,MATCH($A34,April!$A:$A,0)),0)+IFERROR(INDEX(May!$AK:$AK,MATCH($A34,May!$A:$A,0)),0)+IFERROR(INDEX(June!$AJ:$AJ,MATCH($A34,June!$A:$A,0)),0)+IFERROR(INDEX(July!$AK:$AK,MATCH($A34,July!$A:$A,0)),0)+IFERROR(INDEX(August!$AK:$AK,MATCH($A34,August!$A:$A,0)),0)+IFERROR(INDEX(September!$AJ:$AJ,MATCH($A34,September!$A:$A,0)),0)+IFERROR(INDEX(October!$AK:$AK,MATCH($A34,October!$A:$A,0)),0)+IFERROR(INDEX(November!$AJ:$AJ,MATCH($A34,November!$A:$A,0)),0)+IFERROR(INDEX(December!$AK:$AK,MATCH($A34,December!$A:$A,0)),0)</f>
        <v>6</v>
      </c>
      <c r="S34" s="36">
        <f t="shared" si="5"/>
        <v>0.63984674329501912</v>
      </c>
      <c r="T34" s="38"/>
      <c r="U34" s="51">
        <f>IFERROR(INDEX(January!$AQ:$AQ,MATCH($A34,January!$A:$A,0)),0)+IFERROR(INDEX(February!$AN:$AN,MATCH($A34,February!$A:$A,0)),0)+IFERROR(INDEX(March!$AQ:$AQ,MATCH($A34,March!$A:$A,0)),0)+IFERROR(INDEX(April!$AP:$AP,MATCH($A34,April!$A:$A,0)),0)+IFERROR(INDEX(May!$AQ:$AQ,MATCH($A34,May!$A:$A,0)),0)+IFERROR(INDEX(June!$AP:$AP,MATCH($A34,June!$A:$A,0)),0)+IFERROR(INDEX(July!$AQ:$AQ,MATCH($A34,July!$A:$A,0)),0)+IFERROR(INDEX(August!$AQ:$AQ,MATCH($A34,August!$A:$A,0)),0)+IFERROR(INDEX(September!$AP:$AP,MATCH($A34,September!$A:$A,0)),0)+IFERROR(INDEX(October!$AQ:$AQ,MATCH($A34,October!$A:$A,0)),0)+IFERROR(INDEX(November!$AP:$AP,MATCH($A34,November!$A:$A,0)),0)+IFERROR(INDEX(December!$AQ:$AQ,MATCH($A34,December!$A:$A,0)),0)</f>
        <v>175.5</v>
      </c>
      <c r="V34" s="52">
        <f>IFERROR(INDEX(January!$AJ:$AJ,MATCH($A34,January!$A:$A,0)),0)+IFERROR(INDEX(February!$AG:$AG,MATCH($A34,February!$A:$A,0)),0)+IFERROR(INDEX(March!$AJ:$AJ,MATCH($A34,March!$A:$A,0)),0)+IFERROR(INDEX(April!$AI:$AI,MATCH($A34,April!$A:$A,0)),0)+IFERROR(INDEX(May!$AJ:$AJ,MATCH($A34,May!$A:$A,0)),0)+IFERROR(INDEX(June!$AI:$AI,MATCH($A34,June!$A:$A,0)),0)+IFERROR(INDEX(July!$AJ:$AJ,MATCH($A34,July!$A:$A,0)),0)+IFERROR(INDEX(August!$AJ:$AJ,MATCH($A34,August!$A:$A,0)),0)+IFERROR(INDEX(September!$AI:$AI,MATCH($A34,September!$A:$A,0)),0)+IFERROR(INDEX(October!$AJ:$AJ,MATCH($A34,October!$A:$A,0)),0)+IFERROR(INDEX(November!$AI:$AI,MATCH($A34,November!$A:$A,0)),0)+IFERROR(INDEX(December!$AJ:$AJ,MATCH($A34,December!$A:$A,0)),0)</f>
        <v>94</v>
      </c>
      <c r="W34" s="53">
        <f>IFERROR(INDEX(January!$AO:$AO,MATCH($A34,January!$A:$A,0)),0)+IFERROR(INDEX(February!$AL:$AL,MATCH($A34,February!$A:$A,0)),0)+IFERROR(INDEX(March!$AO:$AO,MATCH($A34,March!$A:$A,0)),0)+IFERROR(INDEX(April!$AN:$AN,MATCH($A34,April!$A:$A,0)),0)+IFERROR(INDEX(May!$AO:$AO,MATCH($A34,May!$A:$A,0)),0)+IFERROR(INDEX(June!$AN:$AN,MATCH($A34,June!$A:$A,0)),0)+IFERROR(INDEX(July!$AO:$AO,MATCH($A34,July!$A:$A,0)),0)+IFERROR(INDEX(August!$AO:$AO,MATCH($A34,August!$A:$A,0)),0)+IFERROR(INDEX(September!$AN:$AN,MATCH($A34,September!$A:$A,0)),0)+IFERROR(INDEX(October!$AO:$AO,MATCH($A34,October!$A:$A,0)),0)+IFERROR(INDEX(November!$AN:$AN,MATCH($A34,November!$A:$A,0)),0)+IFERROR(INDEX(December!$AO:$AO,MATCH($A34,December!$A:$A,0)),0)</f>
        <v>13</v>
      </c>
      <c r="X34" s="53">
        <f t="shared" si="6"/>
        <v>6.5</v>
      </c>
      <c r="Y34" s="53">
        <f>(IFERROR(INDEX(January!$AL:$AL,MATCH($A34,January!$A:$A,0)),0)+IFERROR(INDEX(February!$AI:$AI,MATCH($A34,February!$A:$A,0)),0)+IFERROR(INDEX(March!$AL:$AL,MATCH($A34,March!$A:$A,0)),0)+IFERROR(INDEX(April!$AK:$AK,MATCH($A34,April!$A:$A,0)),0)+IFERROR(INDEX(May!$AL:$AL,MATCH($A34,May!$A:$A,0)),0)+IFERROR(INDEX(June!$AK:$AK,MATCH($A34,June!$A:$A,0)),0)+IFERROR(INDEX(July!$AL:$AL,MATCH($A34,July!$A:$A,0)),0)+IFERROR(INDEX(August!$AL:$AL,MATCH($A34,August!$A:$A,0)),0)+IFERROR(INDEX(September!$AK:$AK,MATCH($A34,September!$A:$A,0)),0)+IFERROR(INDEX(October!$AL:$AL,MATCH($A34,October!$A:$A,0)),0)+IFERROR(INDEX(November!$AK:$AK,MATCH($A34,November!$A:$A,0)),0)+IFERROR(INDEX(December!$AL:$AL,MATCH($A34,December!$A:$A,0)),0))*0.5</f>
        <v>9</v>
      </c>
      <c r="Z34" s="54">
        <f>IFERROR(INDEX(January!$AK:$AK,MATCH($A34,January!$A:$A,0)),0)+IFERROR(INDEX(February!$AH:$AH,MATCH($A34,February!$A:$A,0)),0)+IFERROR(INDEX(March!$AK:$AK,MATCH($A34,March!$A:$A,0)),0)+IFERROR(INDEX(April!$AJ:$AJ,MATCH($A34,April!$A:$A,0)),0)+IFERROR(INDEX(May!$AK:$AK,MATCH($A34,May!$A:$A,0)),0)+IFERROR(INDEX(June!$AJ:$AJ,MATCH($A34,June!$A:$A,0)),0)+IFERROR(INDEX(July!$AK:$AK,MATCH($A34,July!$A:$A,0)),0)+IFERROR(INDEX(August!$AK:$AK,MATCH($A34,August!$A:$A,0)),0)+IFERROR(INDEX(September!$AJ:$AJ,MATCH($A34,September!$A:$A,0)),0)+IFERROR(INDEX(October!$AK:$AK,MATCH($A34,October!$A:$A,0)),0)+IFERROR(INDEX(November!$AJ:$AJ,MATCH($A34,November!$A:$A,0)),0)+IFERROR(INDEX(December!$AK:$AK,MATCH($A34,December!$A:$A,0)),0)</f>
        <v>6</v>
      </c>
      <c r="AA34" s="51">
        <f t="shared" si="7"/>
        <v>15</v>
      </c>
      <c r="AB34" s="55">
        <v>17</v>
      </c>
      <c r="AC34" s="56">
        <f t="shared" si="8"/>
        <v>32</v>
      </c>
      <c r="AD34" s="57"/>
      <c r="AE34" s="58">
        <f t="shared" si="9"/>
        <v>32</v>
      </c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</row>
    <row r="35" spans="1:49" ht="22" customHeight="1" x14ac:dyDescent="0.35">
      <c r="A35" s="8" t="s">
        <v>97</v>
      </c>
      <c r="B35" s="8" t="s">
        <v>98</v>
      </c>
      <c r="C35" s="8" t="s">
        <v>74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0">
        <v>28</v>
      </c>
      <c r="N35" s="10">
        <v>22</v>
      </c>
      <c r="O35" s="10">
        <v>29</v>
      </c>
      <c r="P35" s="8">
        <f>IFERROR(INDEX(January!$AI:$AI,MATCH($A35,January!$A:$A,0)),0)+IFERROR(INDEX(February!$AF:$AF,MATCH($A35,February!$A:$A,0)),0)+IFERROR(INDEX(March!$AI:$AI,MATCH($A35,March!$A:$A,0)),0)+IFERROR(INDEX(April!$AH:$AH,MATCH($A35,April!$A:$A,0)),0)+IFERROR(INDEX(May!$AI:$AI,MATCH($A35,May!$A:$A,0)),0)+IFERROR(INDEX(June!$AH:$AH,MATCH($A35,June!$A:$A,0)),0)+IFERROR(INDEX(July!$AI:$AI,MATCH($A35,July!$A:$A,0)),0)+IFERROR(INDEX(August!$AI:$AI,MATCH($A35,August!$A:$A,0)),0)+IFERROR(INDEX(September!$AH:$AH,MATCH($A35,September!$A:$A,0)),0)+IFERROR(INDEX(October!$AI:$AI,MATCH($A35,October!$A:$A,0)),0)+IFERROR(INDEX(November!$AH:$AH,MATCH($A35,November!$A:$A,0)),0)+IFERROR(INDEX(December!$AI:$AI,MATCH($A35,December!$A:$A,0)),0)</f>
        <v>63</v>
      </c>
      <c r="Q35" s="8">
        <f>IFERROR(INDEX(January!$AJ:$AJ,MATCH($A35,January!$A:$A,0)),0)+IFERROR(INDEX(February!$AG:$AG,MATCH($A35,February!$A:$A,0)),0)+IFERROR(INDEX(March!$AJ:$AJ,MATCH($A35,March!$A:$A,0)),0)+IFERROR(INDEX(April!$AI:$AI,MATCH($A35,April!$A:$A,0)),0)+IFERROR(INDEX(May!$AJ:$AJ,MATCH($A35,May!$A:$A,0)),0)+IFERROR(INDEX(June!$AI:$AI,MATCH($A35,June!$A:$A,0)),0)+IFERROR(INDEX(July!$AJ:$AJ,MATCH($A35,July!$A:$A,0)),0)+IFERROR(INDEX(August!$AJ:$AJ,MATCH($A35,August!$A:$A,0)),0)+IFERROR(INDEX(September!$AI:$AI,MATCH($A35,September!$A:$A,0)),0)+IFERROR(INDEX(October!$AJ:$AJ,MATCH($A35,October!$A:$A,0)),0)+IFERROR(INDEX(November!$AI:$AI,MATCH($A35,November!$A:$A,0)),0)+IFERROR(INDEX(December!$AJ:$AJ,MATCH($A35,December!$A:$A,0)),0)</f>
        <v>198</v>
      </c>
      <c r="R35" s="8">
        <f>IFERROR(INDEX(January!$AK:$AK,MATCH($A35,January!$A:$A,0)),0)+IFERROR(INDEX(February!$AH:$AH,MATCH($A35,February!$A:$A,0)),0)+IFERROR(INDEX(March!$AK:$AK,MATCH($A35,March!$A:$A,0)),0)+IFERROR(INDEX(April!$AJ:$AJ,MATCH($A35,April!$A:$A,0)),0)+IFERROR(INDEX(May!$AK:$AK,MATCH($A35,May!$A:$A,0)),0)+IFERROR(INDEX(June!$AJ:$AJ,MATCH($A35,June!$A:$A,0)),0)+IFERROR(INDEX(July!$AK:$AK,MATCH($A35,July!$A:$A,0)),0)+IFERROR(INDEX(August!$AK:$AK,MATCH($A35,August!$A:$A,0)),0)+IFERROR(INDEX(September!$AJ:$AJ,MATCH($A35,September!$A:$A,0)),0)+IFERROR(INDEX(October!$AK:$AK,MATCH($A35,October!$A:$A,0)),0)+IFERROR(INDEX(November!$AJ:$AJ,MATCH($A35,November!$A:$A,0)),0)+IFERROR(INDEX(December!$AK:$AK,MATCH($A35,December!$A:$A,0)),0)</f>
        <v>8</v>
      </c>
      <c r="S35" s="37">
        <f t="shared" si="5"/>
        <v>0.2413793103448276</v>
      </c>
      <c r="T35" s="38"/>
      <c r="U35" s="51">
        <f>IFERROR(INDEX(January!$AQ:$AQ,MATCH($A35,January!$A:$A,0)),0)+IFERROR(INDEX(February!$AN:$AN,MATCH($A35,February!$A:$A,0)),0)+IFERROR(INDEX(March!$AQ:$AQ,MATCH($A35,March!$A:$A,0)),0)+IFERROR(INDEX(April!$AP:$AP,MATCH($A35,April!$A:$A,0)),0)+IFERROR(INDEX(May!$AQ:$AQ,MATCH($A35,May!$A:$A,0)),0)+IFERROR(INDEX(June!$AP:$AP,MATCH($A35,June!$A:$A,0)),0)+IFERROR(INDEX(July!$AQ:$AQ,MATCH($A35,July!$A:$A,0)),0)+IFERROR(INDEX(August!$AQ:$AQ,MATCH($A35,August!$A:$A,0)),0)+IFERROR(INDEX(September!$AP:$AP,MATCH($A35,September!$A:$A,0)),0)+IFERROR(INDEX(October!$AQ:$AQ,MATCH($A35,October!$A:$A,0)),0)+IFERROR(INDEX(November!$AP:$AP,MATCH($A35,November!$A:$A,0)),0)+IFERROR(INDEX(December!$AQ:$AQ,MATCH($A35,December!$A:$A,0)),0)</f>
        <v>72.5</v>
      </c>
      <c r="V35" s="52">
        <f>IFERROR(INDEX(January!$AJ:$AJ,MATCH($A35,January!$A:$A,0)),0)+IFERROR(INDEX(February!$AG:$AG,MATCH($A35,February!$A:$A,0)),0)+IFERROR(INDEX(March!$AJ:$AJ,MATCH($A35,March!$A:$A,0)),0)+IFERROR(INDEX(April!$AI:$AI,MATCH($A35,April!$A:$A,0)),0)+IFERROR(INDEX(May!$AJ:$AJ,MATCH($A35,May!$A:$A,0)),0)+IFERROR(INDEX(June!$AI:$AI,MATCH($A35,June!$A:$A,0)),0)+IFERROR(INDEX(July!$AJ:$AJ,MATCH($A35,July!$A:$A,0)),0)+IFERROR(INDEX(August!$AJ:$AJ,MATCH($A35,August!$A:$A,0)),0)+IFERROR(INDEX(September!$AI:$AI,MATCH($A35,September!$A:$A,0)),0)+IFERROR(INDEX(October!$AJ:$AJ,MATCH($A35,October!$A:$A,0)),0)+IFERROR(INDEX(November!$AI:$AI,MATCH($A35,November!$A:$A,0)),0)+IFERROR(INDEX(December!$AJ:$AJ,MATCH($A35,December!$A:$A,0)),0)</f>
        <v>198</v>
      </c>
      <c r="W35" s="53">
        <f>IFERROR(INDEX(January!$AO:$AO,MATCH($A35,January!$A:$A,0)),0)+IFERROR(INDEX(February!$AL:$AL,MATCH($A35,February!$A:$A,0)),0)+IFERROR(INDEX(March!$AO:$AO,MATCH($A35,March!$A:$A,0)),0)+IFERROR(INDEX(April!$AN:$AN,MATCH($A35,April!$A:$A,0)),0)+IFERROR(INDEX(May!$AO:$AO,MATCH($A35,May!$A:$A,0)),0)+IFERROR(INDEX(June!$AN:$AN,MATCH($A35,June!$A:$A,0)),0)+IFERROR(INDEX(July!$AO:$AO,MATCH($A35,July!$A:$A,0)),0)+IFERROR(INDEX(August!$AO:$AO,MATCH($A35,August!$A:$A,0)),0)+IFERROR(INDEX(September!$AN:$AN,MATCH($A35,September!$A:$A,0)),0)+IFERROR(INDEX(October!$AO:$AO,MATCH($A35,October!$A:$A,0)),0)+IFERROR(INDEX(November!$AN:$AN,MATCH($A35,November!$A:$A,0)),0)+IFERROR(INDEX(December!$AO:$AO,MATCH($A35,December!$A:$A,0)),0)</f>
        <v>5</v>
      </c>
      <c r="X35" s="53">
        <f t="shared" si="6"/>
        <v>2.5</v>
      </c>
      <c r="Y35" s="53">
        <f>(IFERROR(INDEX(January!$AL:$AL,MATCH($A35,January!$A:$A,0)),0)+IFERROR(INDEX(February!$AI:$AI,MATCH($A35,February!$A:$A,0)),0)+IFERROR(INDEX(March!$AL:$AL,MATCH($A35,March!$A:$A,0)),0)+IFERROR(INDEX(April!$AK:$AK,MATCH($A35,April!$A:$A,0)),0)+IFERROR(INDEX(May!$AL:$AL,MATCH($A35,May!$A:$A,0)),0)+IFERROR(INDEX(June!$AK:$AK,MATCH($A35,June!$A:$A,0)),0)+IFERROR(INDEX(July!$AL:$AL,MATCH($A35,July!$A:$A,0)),0)+IFERROR(INDEX(August!$AL:$AL,MATCH($A35,August!$A:$A,0)),0)+IFERROR(INDEX(September!$AK:$AK,MATCH($A35,September!$A:$A,0)),0)+IFERROR(INDEX(October!$AL:$AL,MATCH($A35,October!$A:$A,0)),0)+IFERROR(INDEX(November!$AK:$AK,MATCH($A35,November!$A:$A,0)),0)+IFERROR(INDEX(December!$AL:$AL,MATCH($A35,December!$A:$A,0)),0))*0.5</f>
        <v>4</v>
      </c>
      <c r="Z35" s="54">
        <f>IFERROR(INDEX(January!$AK:$AK,MATCH($A35,January!$A:$A,0)),0)+IFERROR(INDEX(February!$AH:$AH,MATCH($A35,February!$A:$A,0)),0)+IFERROR(INDEX(March!$AK:$AK,MATCH($A35,March!$A:$A,0)),0)+IFERROR(INDEX(April!$AJ:$AJ,MATCH($A35,April!$A:$A,0)),0)+IFERROR(INDEX(May!$AK:$AK,MATCH($A35,May!$A:$A,0)),0)+IFERROR(INDEX(June!$AJ:$AJ,MATCH($A35,June!$A:$A,0)),0)+IFERROR(INDEX(July!$AK:$AK,MATCH($A35,July!$A:$A,0)),0)+IFERROR(INDEX(August!$AK:$AK,MATCH($A35,August!$A:$A,0)),0)+IFERROR(INDEX(September!$AJ:$AJ,MATCH($A35,September!$A:$A,0)),0)+IFERROR(INDEX(October!$AK:$AK,MATCH($A35,October!$A:$A,0)),0)+IFERROR(INDEX(November!$AJ:$AJ,MATCH($A35,November!$A:$A,0)),0)+IFERROR(INDEX(December!$AK:$AK,MATCH($A35,December!$A:$A,0)),0)</f>
        <v>8</v>
      </c>
      <c r="AA35" s="51">
        <f t="shared" si="7"/>
        <v>12</v>
      </c>
      <c r="AB35" s="55">
        <v>17</v>
      </c>
      <c r="AC35" s="56">
        <f t="shared" si="8"/>
        <v>29</v>
      </c>
      <c r="AD35" s="57"/>
      <c r="AE35" s="58">
        <f t="shared" si="9"/>
        <v>29</v>
      </c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</row>
    <row r="36" spans="1:49" ht="22" customHeight="1" x14ac:dyDescent="0.35">
      <c r="A36" s="8" t="s">
        <v>99</v>
      </c>
      <c r="B36" s="8" t="s">
        <v>100</v>
      </c>
      <c r="C36" s="8" t="s">
        <v>74</v>
      </c>
      <c r="D36" s="10">
        <v>21</v>
      </c>
      <c r="E36" s="10">
        <v>24</v>
      </c>
      <c r="F36" s="10">
        <v>25</v>
      </c>
      <c r="G36" s="11">
        <v>4</v>
      </c>
      <c r="H36" s="11">
        <v>12</v>
      </c>
      <c r="I36" s="10">
        <v>23</v>
      </c>
      <c r="J36" s="10">
        <v>25</v>
      </c>
      <c r="K36" s="11">
        <v>16</v>
      </c>
      <c r="L36" s="9">
        <v>0</v>
      </c>
      <c r="M36" s="9">
        <v>0</v>
      </c>
      <c r="N36" s="9">
        <v>0</v>
      </c>
      <c r="O36" s="9">
        <v>0</v>
      </c>
      <c r="P36" s="8">
        <f>IFERROR(INDEX(January!$AI:$AI,MATCH($A36,January!$A:$A,0)),0)+IFERROR(INDEX(February!$AF:$AF,MATCH($A36,February!$A:$A,0)),0)+IFERROR(INDEX(March!$AI:$AI,MATCH($A36,March!$A:$A,0)),0)+IFERROR(INDEX(April!$AH:$AH,MATCH($A36,April!$A:$A,0)),0)+IFERROR(INDEX(May!$AI:$AI,MATCH($A36,May!$A:$A,0)),0)+IFERROR(INDEX(June!$AH:$AH,MATCH($A36,June!$A:$A,0)),0)+IFERROR(INDEX(July!$AI:$AI,MATCH($A36,July!$A:$A,0)),0)+IFERROR(INDEX(August!$AI:$AI,MATCH($A36,August!$A:$A,0)),0)+IFERROR(INDEX(September!$AH:$AH,MATCH($A36,September!$A:$A,0)),0)+IFERROR(INDEX(October!$AI:$AI,MATCH($A36,October!$A:$A,0)),0)+IFERROR(INDEX(November!$AH:$AH,MATCH($A36,November!$A:$A,0)),0)+IFERROR(INDEX(December!$AI:$AI,MATCH($A36,December!$A:$A,0)),0)</f>
        <v>129</v>
      </c>
      <c r="Q36" s="8">
        <f>IFERROR(INDEX(January!$AJ:$AJ,MATCH($A36,January!$A:$A,0)),0)+IFERROR(INDEX(February!$AG:$AG,MATCH($A36,February!$A:$A,0)),0)+IFERROR(INDEX(March!$AJ:$AJ,MATCH($A36,March!$A:$A,0)),0)+IFERROR(INDEX(April!$AI:$AI,MATCH($A36,April!$A:$A,0)),0)+IFERROR(INDEX(May!$AJ:$AJ,MATCH($A36,May!$A:$A,0)),0)+IFERROR(INDEX(June!$AI:$AI,MATCH($A36,June!$A:$A,0)),0)+IFERROR(INDEX(July!$AJ:$AJ,MATCH($A36,July!$A:$A,0)),0)+IFERROR(INDEX(August!$AJ:$AJ,MATCH($A36,August!$A:$A,0)),0)+IFERROR(INDEX(September!$AI:$AI,MATCH($A36,September!$A:$A,0)),0)+IFERROR(INDEX(October!$AJ:$AJ,MATCH($A36,October!$A:$A,0)),0)+IFERROR(INDEX(November!$AI:$AI,MATCH($A36,November!$A:$A,0)),0)+IFERROR(INDEX(December!$AJ:$AJ,MATCH($A36,December!$A:$A,0)),0)</f>
        <v>132</v>
      </c>
      <c r="R36" s="8">
        <f>IFERROR(INDEX(January!$AK:$AK,MATCH($A36,January!$A:$A,0)),0)+IFERROR(INDEX(February!$AH:$AH,MATCH($A36,February!$A:$A,0)),0)+IFERROR(INDEX(March!$AK:$AK,MATCH($A36,March!$A:$A,0)),0)+IFERROR(INDEX(April!$AJ:$AJ,MATCH($A36,April!$A:$A,0)),0)+IFERROR(INDEX(May!$AK:$AK,MATCH($A36,May!$A:$A,0)),0)+IFERROR(INDEX(June!$AJ:$AJ,MATCH($A36,June!$A:$A,0)),0)+IFERROR(INDEX(July!$AK:$AK,MATCH($A36,July!$A:$A,0)),0)+IFERROR(INDEX(August!$AK:$AK,MATCH($A36,August!$A:$A,0)),0)+IFERROR(INDEX(September!$AJ:$AJ,MATCH($A36,September!$A:$A,0)),0)+IFERROR(INDEX(October!$AK:$AK,MATCH($A36,October!$A:$A,0)),0)+IFERROR(INDEX(November!$AJ:$AJ,MATCH($A36,November!$A:$A,0)),0)+IFERROR(INDEX(December!$AK:$AK,MATCH($A36,December!$A:$A,0)),0)</f>
        <v>0</v>
      </c>
      <c r="S36" s="36">
        <f t="shared" si="5"/>
        <v>0.4942528735632184</v>
      </c>
      <c r="T36" s="38"/>
      <c r="U36" s="51">
        <f>IFERROR(INDEX(January!$AQ:$AQ,MATCH($A36,January!$A:$A,0)),0)+IFERROR(INDEX(February!$AN:$AN,MATCH($A36,February!$A:$A,0)),0)+IFERROR(INDEX(March!$AQ:$AQ,MATCH($A36,March!$A:$A,0)),0)+IFERROR(INDEX(April!$AP:$AP,MATCH($A36,April!$A:$A,0)),0)+IFERROR(INDEX(May!$AQ:$AQ,MATCH($A36,May!$A:$A,0)),0)+IFERROR(INDEX(June!$AP:$AP,MATCH($A36,June!$A:$A,0)),0)+IFERROR(INDEX(July!$AQ:$AQ,MATCH($A36,July!$A:$A,0)),0)+IFERROR(INDEX(August!$AQ:$AQ,MATCH($A36,August!$A:$A,0)),0)+IFERROR(INDEX(September!$AP:$AP,MATCH($A36,September!$A:$A,0)),0)+IFERROR(INDEX(October!$AQ:$AQ,MATCH($A36,October!$A:$A,0)),0)+IFERROR(INDEX(November!$AP:$AP,MATCH($A36,November!$A:$A,0)),0)+IFERROR(INDEX(December!$AQ:$AQ,MATCH($A36,December!$A:$A,0)),0)</f>
        <v>137</v>
      </c>
      <c r="V36" s="52">
        <f>IFERROR(INDEX(January!$AJ:$AJ,MATCH($A36,January!$A:$A,0)),0)+IFERROR(INDEX(February!$AG:$AG,MATCH($A36,February!$A:$A,0)),0)+IFERROR(INDEX(March!$AJ:$AJ,MATCH($A36,March!$A:$A,0)),0)+IFERROR(INDEX(April!$AI:$AI,MATCH($A36,April!$A:$A,0)),0)+IFERROR(INDEX(May!$AJ:$AJ,MATCH($A36,May!$A:$A,0)),0)+IFERROR(INDEX(June!$AI:$AI,MATCH($A36,June!$A:$A,0)),0)+IFERROR(INDEX(July!$AJ:$AJ,MATCH($A36,July!$A:$A,0)),0)+IFERROR(INDEX(August!$AJ:$AJ,MATCH($A36,August!$A:$A,0)),0)+IFERROR(INDEX(September!$AI:$AI,MATCH($A36,September!$A:$A,0)),0)+IFERROR(INDEX(October!$AJ:$AJ,MATCH($A36,October!$A:$A,0)),0)+IFERROR(INDEX(November!$AI:$AI,MATCH($A36,November!$A:$A,0)),0)+IFERROR(INDEX(December!$AJ:$AJ,MATCH($A36,December!$A:$A,0)),0)</f>
        <v>132</v>
      </c>
      <c r="W36" s="53">
        <f>IFERROR(INDEX(January!$AO:$AO,MATCH($A36,January!$A:$A,0)),0)+IFERROR(INDEX(February!$AL:$AL,MATCH($A36,February!$A:$A,0)),0)+IFERROR(INDEX(March!$AO:$AO,MATCH($A36,March!$A:$A,0)),0)+IFERROR(INDEX(April!$AN:$AN,MATCH($A36,April!$A:$A,0)),0)+IFERROR(INDEX(May!$AO:$AO,MATCH($A36,May!$A:$A,0)),0)+IFERROR(INDEX(June!$AN:$AN,MATCH($A36,June!$A:$A,0)),0)+IFERROR(INDEX(July!$AO:$AO,MATCH($A36,July!$A:$A,0)),0)+IFERROR(INDEX(August!$AO:$AO,MATCH($A36,August!$A:$A,0)),0)+IFERROR(INDEX(September!$AN:$AN,MATCH($A36,September!$A:$A,0)),0)+IFERROR(INDEX(October!$AO:$AO,MATCH($A36,October!$A:$A,0)),0)+IFERROR(INDEX(November!$AN:$AN,MATCH($A36,November!$A:$A,0)),0)+IFERROR(INDEX(December!$AO:$AO,MATCH($A36,December!$A:$A,0)),0)</f>
        <v>5</v>
      </c>
      <c r="X36" s="53">
        <f t="shared" si="6"/>
        <v>2.5</v>
      </c>
      <c r="Y36" s="53">
        <f>(IFERROR(INDEX(January!$AL:$AL,MATCH($A36,January!$A:$A,0)),0)+IFERROR(INDEX(February!$AI:$AI,MATCH($A36,February!$A:$A,0)),0)+IFERROR(INDEX(March!$AL:$AL,MATCH($A36,March!$A:$A,0)),0)+IFERROR(INDEX(April!$AK:$AK,MATCH($A36,April!$A:$A,0)),0)+IFERROR(INDEX(May!$AL:$AL,MATCH($A36,May!$A:$A,0)),0)+IFERROR(INDEX(June!$AK:$AK,MATCH($A36,June!$A:$A,0)),0)+IFERROR(INDEX(July!$AL:$AL,MATCH($A36,July!$A:$A,0)),0)+IFERROR(INDEX(August!$AL:$AL,MATCH($A36,August!$A:$A,0)),0)+IFERROR(INDEX(September!$AK:$AK,MATCH($A36,September!$A:$A,0)),0)+IFERROR(INDEX(October!$AL:$AL,MATCH($A36,October!$A:$A,0)),0)+IFERROR(INDEX(November!$AK:$AK,MATCH($A36,November!$A:$A,0)),0)+IFERROR(INDEX(December!$AL:$AL,MATCH($A36,December!$A:$A,0)),0))*0.5</f>
        <v>10.5</v>
      </c>
      <c r="Z36" s="54">
        <f>IFERROR(INDEX(January!$AK:$AK,MATCH($A36,January!$A:$A,0)),0)+IFERROR(INDEX(February!$AH:$AH,MATCH($A36,February!$A:$A,0)),0)+IFERROR(INDEX(March!$AK:$AK,MATCH($A36,March!$A:$A,0)),0)+IFERROR(INDEX(April!$AJ:$AJ,MATCH($A36,April!$A:$A,0)),0)+IFERROR(INDEX(May!$AK:$AK,MATCH($A36,May!$A:$A,0)),0)+IFERROR(INDEX(June!$AJ:$AJ,MATCH($A36,June!$A:$A,0)),0)+IFERROR(INDEX(July!$AK:$AK,MATCH($A36,July!$A:$A,0)),0)+IFERROR(INDEX(August!$AK:$AK,MATCH($A36,August!$A:$A,0)),0)+IFERROR(INDEX(September!$AJ:$AJ,MATCH($A36,September!$A:$A,0)),0)+IFERROR(INDEX(October!$AK:$AK,MATCH($A36,October!$A:$A,0)),0)+IFERROR(INDEX(November!$AJ:$AJ,MATCH($A36,November!$A:$A,0)),0)+IFERROR(INDEX(December!$AK:$AK,MATCH($A36,December!$A:$A,0)),0)</f>
        <v>0</v>
      </c>
      <c r="AA36" s="51">
        <f t="shared" si="7"/>
        <v>10.5</v>
      </c>
      <c r="AB36" s="55">
        <v>17</v>
      </c>
      <c r="AC36" s="56">
        <f t="shared" si="8"/>
        <v>27.5</v>
      </c>
      <c r="AD36" s="57"/>
      <c r="AE36" s="58">
        <f t="shared" si="9"/>
        <v>27.5</v>
      </c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</row>
    <row r="38" spans="1:49" ht="25" customHeight="1" x14ac:dyDescent="0.35">
      <c r="A38" s="70" t="s">
        <v>101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</row>
    <row r="39" spans="1:49" ht="22" customHeight="1" x14ac:dyDescent="0.35">
      <c r="A39" s="8" t="s">
        <v>102</v>
      </c>
      <c r="B39" s="8" t="s">
        <v>103</v>
      </c>
      <c r="C39" s="8" t="s">
        <v>104</v>
      </c>
      <c r="D39" s="10">
        <v>29</v>
      </c>
      <c r="E39" s="10">
        <v>27</v>
      </c>
      <c r="F39" s="10">
        <v>27</v>
      </c>
      <c r="G39" s="11">
        <v>3</v>
      </c>
      <c r="H39" s="10">
        <v>21</v>
      </c>
      <c r="I39" s="10">
        <v>24</v>
      </c>
      <c r="J39" s="10">
        <v>25</v>
      </c>
      <c r="K39" s="10">
        <v>24</v>
      </c>
      <c r="L39" s="10">
        <v>30</v>
      </c>
      <c r="M39" s="11">
        <v>13</v>
      </c>
      <c r="N39" s="11">
        <v>17</v>
      </c>
      <c r="O39" s="10">
        <v>25</v>
      </c>
      <c r="P39" s="8">
        <f>IFERROR(INDEX(January!$AI:$AI,MATCH($A39,January!$A:$A,0)),0)+IFERROR(INDEX(February!$AF:$AF,MATCH($A39,February!$A:$A,0)),0)+IFERROR(INDEX(March!$AI:$AI,MATCH($A39,March!$A:$A,0)),0)+IFERROR(INDEX(April!$AH:$AH,MATCH($A39,April!$A:$A,0)),0)+IFERROR(INDEX(May!$AI:$AI,MATCH($A39,May!$A:$A,0)),0)+IFERROR(INDEX(June!$AH:$AH,MATCH($A39,June!$A:$A,0)),0)+IFERROR(INDEX(July!$AI:$AI,MATCH($A39,July!$A:$A,0)),0)+IFERROR(INDEX(August!$AI:$AI,MATCH($A39,August!$A:$A,0)),0)+IFERROR(INDEX(September!$AH:$AH,MATCH($A39,September!$A:$A,0)),0)+IFERROR(INDEX(October!$AI:$AI,MATCH($A39,October!$A:$A,0)),0)+IFERROR(INDEX(November!$AH:$AH,MATCH($A39,November!$A:$A,0)),0)+IFERROR(INDEX(December!$AI:$AI,MATCH($A39,December!$A:$A,0)),0)</f>
        <v>188</v>
      </c>
      <c r="Q39" s="8">
        <f>IFERROR(INDEX(January!$AJ:$AJ,MATCH($A39,January!$A:$A,0)),0)+IFERROR(INDEX(February!$AG:$AG,MATCH($A39,February!$A:$A,0)),0)+IFERROR(INDEX(March!$AJ:$AJ,MATCH($A39,March!$A:$A,0)),0)+IFERROR(INDEX(April!$AI:$AI,MATCH($A39,April!$A:$A,0)),0)+IFERROR(INDEX(May!$AJ:$AJ,MATCH($A39,May!$A:$A,0)),0)+IFERROR(INDEX(June!$AI:$AI,MATCH($A39,June!$A:$A,0)),0)+IFERROR(INDEX(July!$AJ:$AJ,MATCH($A39,July!$A:$A,0)),0)+IFERROR(INDEX(August!$AJ:$AJ,MATCH($A39,August!$A:$A,0)),0)+IFERROR(INDEX(September!$AI:$AI,MATCH($A39,September!$A:$A,0)),0)+IFERROR(INDEX(October!$AJ:$AJ,MATCH($A39,October!$A:$A,0)),0)+IFERROR(INDEX(November!$AI:$AI,MATCH($A39,November!$A:$A,0)),0)+IFERROR(INDEX(December!$AJ:$AJ,MATCH($A39,December!$A:$A,0)),0)</f>
        <v>73</v>
      </c>
      <c r="R39" s="8">
        <f>IFERROR(INDEX(January!$AK:$AK,MATCH($A39,January!$A:$A,0)),0)+IFERROR(INDEX(February!$AH:$AH,MATCH($A39,February!$A:$A,0)),0)+IFERROR(INDEX(March!$AK:$AK,MATCH($A39,March!$A:$A,0)),0)+IFERROR(INDEX(April!$AJ:$AJ,MATCH($A39,April!$A:$A,0)),0)+IFERROR(INDEX(May!$AK:$AK,MATCH($A39,May!$A:$A,0)),0)+IFERROR(INDEX(June!$AJ:$AJ,MATCH($A39,June!$A:$A,0)),0)+IFERROR(INDEX(July!$AK:$AK,MATCH($A39,July!$A:$A,0)),0)+IFERROR(INDEX(August!$AK:$AK,MATCH($A39,August!$A:$A,0)),0)+IFERROR(INDEX(September!$AJ:$AJ,MATCH($A39,September!$A:$A,0)),0)+IFERROR(INDEX(October!$AK:$AK,MATCH($A39,October!$A:$A,0)),0)+IFERROR(INDEX(November!$AJ:$AJ,MATCH($A39,November!$A:$A,0)),0)+IFERROR(INDEX(December!$AK:$AK,MATCH($A39,December!$A:$A,0)),0)</f>
        <v>37</v>
      </c>
      <c r="S39" s="35">
        <f t="shared" ref="S39:S75" si="10">IF((P39+Q39)=0,"",P39/(P39+Q39))</f>
        <v>0.72030651340996166</v>
      </c>
      <c r="T39" s="38"/>
      <c r="U39" s="51">
        <f>IFERROR(INDEX(January!$AQ:$AQ,MATCH($A39,January!$A:$A,0)),0)+IFERROR(INDEX(February!$AN:$AN,MATCH($A39,February!$A:$A,0)),0)+IFERROR(INDEX(March!$AQ:$AQ,MATCH($A39,March!$A:$A,0)),0)+IFERROR(INDEX(April!$AP:$AP,MATCH($A39,April!$A:$A,0)),0)+IFERROR(INDEX(May!$AQ:$AQ,MATCH($A39,May!$A:$A,0)),0)+IFERROR(INDEX(June!$AP:$AP,MATCH($A39,June!$A:$A,0)),0)+IFERROR(INDEX(July!$AQ:$AQ,MATCH($A39,July!$A:$A,0)),0)+IFERROR(INDEX(August!$AQ:$AQ,MATCH($A39,August!$A:$A,0)),0)+IFERROR(INDEX(September!$AP:$AP,MATCH($A39,September!$A:$A,0)),0)+IFERROR(INDEX(October!$AQ:$AQ,MATCH($A39,October!$A:$A,0)),0)+IFERROR(INDEX(November!$AP:$AP,MATCH($A39,November!$A:$A,0)),0)+IFERROR(INDEX(December!$AQ:$AQ,MATCH($A39,December!$A:$A,0)),0)</f>
        <v>244</v>
      </c>
      <c r="V39" s="52">
        <f>IFERROR(INDEX(January!$AJ:$AJ,MATCH($A39,January!$A:$A,0)),0)+IFERROR(INDEX(February!$AG:$AG,MATCH($A39,February!$A:$A,0)),0)+IFERROR(INDEX(March!$AJ:$AJ,MATCH($A39,March!$A:$A,0)),0)+IFERROR(INDEX(April!$AI:$AI,MATCH($A39,April!$A:$A,0)),0)+IFERROR(INDEX(May!$AJ:$AJ,MATCH($A39,May!$A:$A,0)),0)+IFERROR(INDEX(June!$AI:$AI,MATCH($A39,June!$A:$A,0)),0)+IFERROR(INDEX(July!$AJ:$AJ,MATCH($A39,July!$A:$A,0)),0)+IFERROR(INDEX(August!$AJ:$AJ,MATCH($A39,August!$A:$A,0)),0)+IFERROR(INDEX(September!$AI:$AI,MATCH($A39,September!$A:$A,0)),0)+IFERROR(INDEX(October!$AJ:$AJ,MATCH($A39,October!$A:$A,0)),0)+IFERROR(INDEX(November!$AI:$AI,MATCH($A39,November!$A:$A,0)),0)+IFERROR(INDEX(December!$AJ:$AJ,MATCH($A39,December!$A:$A,0)),0)</f>
        <v>73</v>
      </c>
      <c r="W39" s="53">
        <f>IFERROR(INDEX(January!$AO:$AO,MATCH($A39,January!$A:$A,0)),0)+IFERROR(INDEX(February!$AL:$AL,MATCH($A39,February!$A:$A,0)),0)+IFERROR(INDEX(March!$AO:$AO,MATCH($A39,March!$A:$A,0)),0)+IFERROR(INDEX(April!$AN:$AN,MATCH($A39,April!$A:$A,0)),0)+IFERROR(INDEX(May!$AO:$AO,MATCH($A39,May!$A:$A,0)),0)+IFERROR(INDEX(June!$AN:$AN,MATCH($A39,June!$A:$A,0)),0)+IFERROR(INDEX(July!$AO:$AO,MATCH($A39,July!$A:$A,0)),0)+IFERROR(INDEX(August!$AO:$AO,MATCH($A39,August!$A:$A,0)),0)+IFERROR(INDEX(September!$AN:$AN,MATCH($A39,September!$A:$A,0)),0)+IFERROR(INDEX(October!$AO:$AO,MATCH($A39,October!$A:$A,0)),0)+IFERROR(INDEX(November!$AN:$AN,MATCH($A39,November!$A:$A,0)),0)+IFERROR(INDEX(December!$AO:$AO,MATCH($A39,December!$A:$A,0)),0)</f>
        <v>2</v>
      </c>
      <c r="X39" s="53">
        <f t="shared" ref="X39:X75" si="11">W39/2</f>
        <v>1</v>
      </c>
      <c r="Y39" s="53">
        <f>(IFERROR(INDEX(January!$AL:$AL,MATCH($A39,January!$A:$A,0)),0)+IFERROR(INDEX(February!$AI:$AI,MATCH($A39,February!$A:$A,0)),0)+IFERROR(INDEX(March!$AL:$AL,MATCH($A39,March!$A:$A,0)),0)+IFERROR(INDEX(April!$AK:$AK,MATCH($A39,April!$A:$A,0)),0)+IFERROR(INDEX(May!$AL:$AL,MATCH($A39,May!$A:$A,0)),0)+IFERROR(INDEX(June!$AK:$AK,MATCH($A39,June!$A:$A,0)),0)+IFERROR(INDEX(July!$AL:$AL,MATCH($A39,July!$A:$A,0)),0)+IFERROR(INDEX(August!$AL:$AL,MATCH($A39,August!$A:$A,0)),0)+IFERROR(INDEX(September!$AK:$AK,MATCH($A39,September!$A:$A,0)),0)+IFERROR(INDEX(October!$AL:$AL,MATCH($A39,October!$A:$A,0)),0)+IFERROR(INDEX(November!$AK:$AK,MATCH($A39,November!$A:$A,0)),0)+IFERROR(INDEX(December!$AL:$AL,MATCH($A39,December!$A:$A,0)),0))*0.5</f>
        <v>20</v>
      </c>
      <c r="Z39" s="54">
        <f>IFERROR(INDEX(January!$AK:$AK,MATCH($A39,January!$A:$A,0)),0)+IFERROR(INDEX(February!$AH:$AH,MATCH($A39,February!$A:$A,0)),0)+IFERROR(INDEX(March!$AK:$AK,MATCH($A39,March!$A:$A,0)),0)+IFERROR(INDEX(April!$AJ:$AJ,MATCH($A39,April!$A:$A,0)),0)+IFERROR(INDEX(May!$AK:$AK,MATCH($A39,May!$A:$A,0)),0)+IFERROR(INDEX(June!$AJ:$AJ,MATCH($A39,June!$A:$A,0)),0)+IFERROR(INDEX(July!$AK:$AK,MATCH($A39,July!$A:$A,0)),0)+IFERROR(INDEX(August!$AK:$AK,MATCH($A39,August!$A:$A,0)),0)+IFERROR(INDEX(September!$AJ:$AJ,MATCH($A39,September!$A:$A,0)),0)+IFERROR(INDEX(October!$AK:$AK,MATCH($A39,October!$A:$A,0)),0)+IFERROR(INDEX(November!$AJ:$AJ,MATCH($A39,November!$A:$A,0)),0)+IFERROR(INDEX(December!$AK:$AK,MATCH($A39,December!$A:$A,0)),0)</f>
        <v>37</v>
      </c>
      <c r="AA39" s="51">
        <f t="shared" ref="AA39:AA75" si="12">Y39+Z39</f>
        <v>57</v>
      </c>
      <c r="AB39" s="55">
        <v>17</v>
      </c>
      <c r="AC39" s="56">
        <f t="shared" ref="AC39:AC75" si="13">AA39+IF(AB39="",0,AB39)</f>
        <v>74</v>
      </c>
      <c r="AD39" s="57">
        <v>49</v>
      </c>
      <c r="AE39" s="58">
        <f t="shared" ref="AE39:AE75" si="14">AC39-IF(AD39="",0,AD39)</f>
        <v>25</v>
      </c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</row>
    <row r="40" spans="1:49" ht="22" customHeight="1" x14ac:dyDescent="0.35">
      <c r="A40" s="8" t="s">
        <v>105</v>
      </c>
      <c r="B40" s="8" t="s">
        <v>106</v>
      </c>
      <c r="C40" s="8" t="s">
        <v>104</v>
      </c>
      <c r="D40" s="11">
        <v>16</v>
      </c>
      <c r="E40" s="10">
        <v>24</v>
      </c>
      <c r="F40" s="11">
        <v>19</v>
      </c>
      <c r="G40" s="11">
        <v>11</v>
      </c>
      <c r="H40" s="10">
        <v>22</v>
      </c>
      <c r="I40" s="10">
        <v>23</v>
      </c>
      <c r="J40" s="10">
        <v>27</v>
      </c>
      <c r="K40" s="10">
        <v>31</v>
      </c>
      <c r="L40" s="10">
        <v>23</v>
      </c>
      <c r="M40" s="11">
        <v>5</v>
      </c>
      <c r="N40" s="11">
        <v>15</v>
      </c>
      <c r="O40" s="10">
        <v>21</v>
      </c>
      <c r="P40" s="8">
        <f>IFERROR(INDEX(January!$AI:$AI,MATCH($A40,January!$A:$A,0)),0)+IFERROR(INDEX(February!$AF:$AF,MATCH($A40,February!$A:$A,0)),0)+IFERROR(INDEX(March!$AI:$AI,MATCH($A40,March!$A:$A,0)),0)+IFERROR(INDEX(April!$AH:$AH,MATCH($A40,April!$A:$A,0)),0)+IFERROR(INDEX(May!$AI:$AI,MATCH($A40,May!$A:$A,0)),0)+IFERROR(INDEX(June!$AH:$AH,MATCH($A40,June!$A:$A,0)),0)+IFERROR(INDEX(July!$AI:$AI,MATCH($A40,July!$A:$A,0)),0)+IFERROR(INDEX(August!$AI:$AI,MATCH($A40,August!$A:$A,0)),0)+IFERROR(INDEX(September!$AH:$AH,MATCH($A40,September!$A:$A,0)),0)+IFERROR(INDEX(October!$AI:$AI,MATCH($A40,October!$A:$A,0)),0)+IFERROR(INDEX(November!$AH:$AH,MATCH($A40,November!$A:$A,0)),0)+IFERROR(INDEX(December!$AI:$AI,MATCH($A40,December!$A:$A,0)),0)</f>
        <v>173</v>
      </c>
      <c r="Q40" s="8">
        <f>IFERROR(INDEX(January!$AJ:$AJ,MATCH($A40,January!$A:$A,0)),0)+IFERROR(INDEX(February!$AG:$AG,MATCH($A40,February!$A:$A,0)),0)+IFERROR(INDEX(March!$AJ:$AJ,MATCH($A40,March!$A:$A,0)),0)+IFERROR(INDEX(April!$AI:$AI,MATCH($A40,April!$A:$A,0)),0)+IFERROR(INDEX(May!$AJ:$AJ,MATCH($A40,May!$A:$A,0)),0)+IFERROR(INDEX(June!$AI:$AI,MATCH($A40,June!$A:$A,0)),0)+IFERROR(INDEX(July!$AJ:$AJ,MATCH($A40,July!$A:$A,0)),0)+IFERROR(INDEX(August!$AJ:$AJ,MATCH($A40,August!$A:$A,0)),0)+IFERROR(INDEX(September!$AI:$AI,MATCH($A40,September!$A:$A,0)),0)+IFERROR(INDEX(October!$AJ:$AJ,MATCH($A40,October!$A:$A,0)),0)+IFERROR(INDEX(November!$AI:$AI,MATCH($A40,November!$A:$A,0)),0)+IFERROR(INDEX(December!$AJ:$AJ,MATCH($A40,December!$A:$A,0)),0)</f>
        <v>88</v>
      </c>
      <c r="R40" s="8">
        <f>IFERROR(INDEX(January!$AK:$AK,MATCH($A40,January!$A:$A,0)),0)+IFERROR(INDEX(February!$AH:$AH,MATCH($A40,February!$A:$A,0)),0)+IFERROR(INDEX(March!$AK:$AK,MATCH($A40,March!$A:$A,0)),0)+IFERROR(INDEX(April!$AJ:$AJ,MATCH($A40,April!$A:$A,0)),0)+IFERROR(INDEX(May!$AK:$AK,MATCH($A40,May!$A:$A,0)),0)+IFERROR(INDEX(June!$AJ:$AJ,MATCH($A40,June!$A:$A,0)),0)+IFERROR(INDEX(July!$AK:$AK,MATCH($A40,July!$A:$A,0)),0)+IFERROR(INDEX(August!$AK:$AK,MATCH($A40,August!$A:$A,0)),0)+IFERROR(INDEX(September!$AJ:$AJ,MATCH($A40,September!$A:$A,0)),0)+IFERROR(INDEX(October!$AK:$AK,MATCH($A40,October!$A:$A,0)),0)+IFERROR(INDEX(November!$AJ:$AJ,MATCH($A40,November!$A:$A,0)),0)+IFERROR(INDEX(December!$AK:$AK,MATCH($A40,December!$A:$A,0)),0)</f>
        <v>31</v>
      </c>
      <c r="S40" s="35">
        <f t="shared" si="10"/>
        <v>0.66283524904214564</v>
      </c>
      <c r="T40" s="38"/>
      <c r="U40" s="51">
        <f>IFERROR(INDEX(January!$AQ:$AQ,MATCH($A40,January!$A:$A,0)),0)+IFERROR(INDEX(February!$AN:$AN,MATCH($A40,February!$A:$A,0)),0)+IFERROR(INDEX(March!$AQ:$AQ,MATCH($A40,March!$A:$A,0)),0)+IFERROR(INDEX(April!$AP:$AP,MATCH($A40,April!$A:$A,0)),0)+IFERROR(INDEX(May!$AQ:$AQ,MATCH($A40,May!$A:$A,0)),0)+IFERROR(INDEX(June!$AP:$AP,MATCH($A40,June!$A:$A,0)),0)+IFERROR(INDEX(July!$AQ:$AQ,MATCH($A40,July!$A:$A,0)),0)+IFERROR(INDEX(August!$AQ:$AQ,MATCH($A40,August!$A:$A,0)),0)+IFERROR(INDEX(September!$AP:$AP,MATCH($A40,September!$A:$A,0)),0)+IFERROR(INDEX(October!$AQ:$AQ,MATCH($A40,October!$A:$A,0)),0)+IFERROR(INDEX(November!$AP:$AP,MATCH($A40,November!$A:$A,0)),0)+IFERROR(INDEX(December!$AQ:$AQ,MATCH($A40,December!$A:$A,0)),0)</f>
        <v>218.5</v>
      </c>
      <c r="V40" s="52">
        <f>IFERROR(INDEX(January!$AJ:$AJ,MATCH($A40,January!$A:$A,0)),0)+IFERROR(INDEX(February!$AG:$AG,MATCH($A40,February!$A:$A,0)),0)+IFERROR(INDEX(March!$AJ:$AJ,MATCH($A40,March!$A:$A,0)),0)+IFERROR(INDEX(April!$AI:$AI,MATCH($A40,April!$A:$A,0)),0)+IFERROR(INDEX(May!$AJ:$AJ,MATCH($A40,May!$A:$A,0)),0)+IFERROR(INDEX(June!$AI:$AI,MATCH($A40,June!$A:$A,0)),0)+IFERROR(INDEX(July!$AJ:$AJ,MATCH($A40,July!$A:$A,0)),0)+IFERROR(INDEX(August!$AJ:$AJ,MATCH($A40,August!$A:$A,0)),0)+IFERROR(INDEX(September!$AI:$AI,MATCH($A40,September!$A:$A,0)),0)+IFERROR(INDEX(October!$AJ:$AJ,MATCH($A40,October!$A:$A,0)),0)+IFERROR(INDEX(November!$AI:$AI,MATCH($A40,November!$A:$A,0)),0)+IFERROR(INDEX(December!$AJ:$AJ,MATCH($A40,December!$A:$A,0)),0)</f>
        <v>88</v>
      </c>
      <c r="W40" s="53">
        <f>IFERROR(INDEX(January!$AO:$AO,MATCH($A40,January!$A:$A,0)),0)+IFERROR(INDEX(February!$AL:$AL,MATCH($A40,February!$A:$A,0)),0)+IFERROR(INDEX(March!$AO:$AO,MATCH($A40,March!$A:$A,0)),0)+IFERROR(INDEX(April!$AN:$AN,MATCH($A40,April!$A:$A,0)),0)+IFERROR(INDEX(May!$AO:$AO,MATCH($A40,May!$A:$A,0)),0)+IFERROR(INDEX(June!$AN:$AN,MATCH($A40,June!$A:$A,0)),0)+IFERROR(INDEX(July!$AO:$AO,MATCH($A40,July!$A:$A,0)),0)+IFERROR(INDEX(August!$AO:$AO,MATCH($A40,August!$A:$A,0)),0)+IFERROR(INDEX(September!$AN:$AN,MATCH($A40,September!$A:$A,0)),0)+IFERROR(INDEX(October!$AO:$AO,MATCH($A40,October!$A:$A,0)),0)+IFERROR(INDEX(November!$AN:$AN,MATCH($A40,November!$A:$A,0)),0)+IFERROR(INDEX(December!$AO:$AO,MATCH($A40,December!$A:$A,0)),0)</f>
        <v>4</v>
      </c>
      <c r="X40" s="53">
        <f t="shared" si="11"/>
        <v>2</v>
      </c>
      <c r="Y40" s="53">
        <f>(IFERROR(INDEX(January!$AL:$AL,MATCH($A40,January!$A:$A,0)),0)+IFERROR(INDEX(February!$AI:$AI,MATCH($A40,February!$A:$A,0)),0)+IFERROR(INDEX(March!$AL:$AL,MATCH($A40,March!$A:$A,0)),0)+IFERROR(INDEX(April!$AK:$AK,MATCH($A40,April!$A:$A,0)),0)+IFERROR(INDEX(May!$AL:$AL,MATCH($A40,May!$A:$A,0)),0)+IFERROR(INDEX(June!$AK:$AK,MATCH($A40,June!$A:$A,0)),0)+IFERROR(INDEX(July!$AL:$AL,MATCH($A40,July!$A:$A,0)),0)+IFERROR(INDEX(August!$AL:$AL,MATCH($A40,August!$A:$A,0)),0)+IFERROR(INDEX(September!$AK:$AK,MATCH($A40,September!$A:$A,0)),0)+IFERROR(INDEX(October!$AL:$AL,MATCH($A40,October!$A:$A,0)),0)+IFERROR(INDEX(November!$AK:$AK,MATCH($A40,November!$A:$A,0)),0)+IFERROR(INDEX(December!$AL:$AL,MATCH($A40,December!$A:$A,0)),0))*0.5</f>
        <v>16.5</v>
      </c>
      <c r="Z40" s="54">
        <f>IFERROR(INDEX(January!$AK:$AK,MATCH($A40,January!$A:$A,0)),0)+IFERROR(INDEX(February!$AH:$AH,MATCH($A40,February!$A:$A,0)),0)+IFERROR(INDEX(March!$AK:$AK,MATCH($A40,March!$A:$A,0)),0)+IFERROR(INDEX(April!$AJ:$AJ,MATCH($A40,April!$A:$A,0)),0)+IFERROR(INDEX(May!$AK:$AK,MATCH($A40,May!$A:$A,0)),0)+IFERROR(INDEX(June!$AJ:$AJ,MATCH($A40,June!$A:$A,0)),0)+IFERROR(INDEX(July!$AK:$AK,MATCH($A40,July!$A:$A,0)),0)+IFERROR(INDEX(August!$AK:$AK,MATCH($A40,August!$A:$A,0)),0)+IFERROR(INDEX(September!$AJ:$AJ,MATCH($A40,September!$A:$A,0)),0)+IFERROR(INDEX(October!$AK:$AK,MATCH($A40,October!$A:$A,0)),0)+IFERROR(INDEX(November!$AJ:$AJ,MATCH($A40,November!$A:$A,0)),0)+IFERROR(INDEX(December!$AK:$AK,MATCH($A40,December!$A:$A,0)),0)</f>
        <v>31</v>
      </c>
      <c r="AA40" s="51">
        <f t="shared" si="12"/>
        <v>47.5</v>
      </c>
      <c r="AB40" s="55">
        <v>17</v>
      </c>
      <c r="AC40" s="56">
        <f t="shared" si="13"/>
        <v>64.5</v>
      </c>
      <c r="AD40" s="57"/>
      <c r="AE40" s="58">
        <f t="shared" si="14"/>
        <v>64.5</v>
      </c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</row>
    <row r="41" spans="1:49" ht="22" customHeight="1" x14ac:dyDescent="0.35">
      <c r="A41" s="8" t="s">
        <v>107</v>
      </c>
      <c r="B41" s="8" t="s">
        <v>108</v>
      </c>
      <c r="C41" s="8" t="s">
        <v>104</v>
      </c>
      <c r="D41" s="10">
        <v>22</v>
      </c>
      <c r="E41" s="10">
        <v>27</v>
      </c>
      <c r="F41" s="10">
        <v>28</v>
      </c>
      <c r="G41" s="11">
        <v>16</v>
      </c>
      <c r="H41" s="10">
        <v>26</v>
      </c>
      <c r="I41" s="10">
        <v>24</v>
      </c>
      <c r="J41" s="10">
        <v>31</v>
      </c>
      <c r="K41" s="10">
        <v>31</v>
      </c>
      <c r="L41" s="10">
        <v>26</v>
      </c>
      <c r="M41" s="10">
        <v>25</v>
      </c>
      <c r="N41" s="11">
        <v>12</v>
      </c>
      <c r="O41" s="11">
        <v>9</v>
      </c>
      <c r="P41" s="8">
        <f>IFERROR(INDEX(January!$AI:$AI,MATCH($A41,January!$A:$A,0)),0)+IFERROR(INDEX(February!$AF:$AF,MATCH($A41,February!$A:$A,0)),0)+IFERROR(INDEX(March!$AI:$AI,MATCH($A41,March!$A:$A,0)),0)+IFERROR(INDEX(April!$AH:$AH,MATCH($A41,April!$A:$A,0)),0)+IFERROR(INDEX(May!$AI:$AI,MATCH($A41,May!$A:$A,0)),0)+IFERROR(INDEX(June!$AH:$AH,MATCH($A41,June!$A:$A,0)),0)+IFERROR(INDEX(July!$AI:$AI,MATCH($A41,July!$A:$A,0)),0)+IFERROR(INDEX(August!$AI:$AI,MATCH($A41,August!$A:$A,0)),0)+IFERROR(INDEX(September!$AH:$AH,MATCH($A41,September!$A:$A,0)),0)+IFERROR(INDEX(October!$AI:$AI,MATCH($A41,October!$A:$A,0)),0)+IFERROR(INDEX(November!$AH:$AH,MATCH($A41,November!$A:$A,0)),0)+IFERROR(INDEX(December!$AI:$AI,MATCH($A41,December!$A:$A,0)),0)</f>
        <v>208</v>
      </c>
      <c r="Q41" s="8">
        <f>IFERROR(INDEX(January!$AJ:$AJ,MATCH($A41,January!$A:$A,0)),0)+IFERROR(INDEX(February!$AG:$AG,MATCH($A41,February!$A:$A,0)),0)+IFERROR(INDEX(March!$AJ:$AJ,MATCH($A41,March!$A:$A,0)),0)+IFERROR(INDEX(April!$AI:$AI,MATCH($A41,April!$A:$A,0)),0)+IFERROR(INDEX(May!$AJ:$AJ,MATCH($A41,May!$A:$A,0)),0)+IFERROR(INDEX(June!$AI:$AI,MATCH($A41,June!$A:$A,0)),0)+IFERROR(INDEX(July!$AJ:$AJ,MATCH($A41,July!$A:$A,0)),0)+IFERROR(INDEX(August!$AJ:$AJ,MATCH($A41,August!$A:$A,0)),0)+IFERROR(INDEX(September!$AI:$AI,MATCH($A41,September!$A:$A,0)),0)+IFERROR(INDEX(October!$AJ:$AJ,MATCH($A41,October!$A:$A,0)),0)+IFERROR(INDEX(November!$AI:$AI,MATCH($A41,November!$A:$A,0)),0)+IFERROR(INDEX(December!$AJ:$AJ,MATCH($A41,December!$A:$A,0)),0)</f>
        <v>53</v>
      </c>
      <c r="R41" s="8">
        <f>IFERROR(INDEX(January!$AK:$AK,MATCH($A41,January!$A:$A,0)),0)+IFERROR(INDEX(February!$AH:$AH,MATCH($A41,February!$A:$A,0)),0)+IFERROR(INDEX(March!$AK:$AK,MATCH($A41,March!$A:$A,0)),0)+IFERROR(INDEX(April!$AJ:$AJ,MATCH($A41,April!$A:$A,0)),0)+IFERROR(INDEX(May!$AK:$AK,MATCH($A41,May!$A:$A,0)),0)+IFERROR(INDEX(June!$AJ:$AJ,MATCH($A41,June!$A:$A,0)),0)+IFERROR(INDEX(July!$AK:$AK,MATCH($A41,July!$A:$A,0)),0)+IFERROR(INDEX(August!$AK:$AK,MATCH($A41,August!$A:$A,0)),0)+IFERROR(INDEX(September!$AJ:$AJ,MATCH($A41,September!$A:$A,0)),0)+IFERROR(INDEX(October!$AK:$AK,MATCH($A41,October!$A:$A,0)),0)+IFERROR(INDEX(November!$AJ:$AJ,MATCH($A41,November!$A:$A,0)),0)+IFERROR(INDEX(December!$AK:$AK,MATCH($A41,December!$A:$A,0)),0)</f>
        <v>31</v>
      </c>
      <c r="S41" s="35">
        <f t="shared" si="10"/>
        <v>0.79693486590038309</v>
      </c>
      <c r="T41" s="38"/>
      <c r="U41" s="51">
        <f>IFERROR(INDEX(January!$AQ:$AQ,MATCH($A41,January!$A:$A,0)),0)+IFERROR(INDEX(February!$AN:$AN,MATCH($A41,February!$A:$A,0)),0)+IFERROR(INDEX(March!$AQ:$AQ,MATCH($A41,March!$A:$A,0)),0)+IFERROR(INDEX(April!$AP:$AP,MATCH($A41,April!$A:$A,0)),0)+IFERROR(INDEX(May!$AQ:$AQ,MATCH($A41,May!$A:$A,0)),0)+IFERROR(INDEX(June!$AP:$AP,MATCH($A41,June!$A:$A,0)),0)+IFERROR(INDEX(July!$AQ:$AQ,MATCH($A41,July!$A:$A,0)),0)+IFERROR(INDEX(August!$AQ:$AQ,MATCH($A41,August!$A:$A,0)),0)+IFERROR(INDEX(September!$AP:$AP,MATCH($A41,September!$A:$A,0)),0)+IFERROR(INDEX(October!$AQ:$AQ,MATCH($A41,October!$A:$A,0)),0)+IFERROR(INDEX(November!$AP:$AP,MATCH($A41,November!$A:$A,0)),0)+IFERROR(INDEX(December!$AQ:$AQ,MATCH($A41,December!$A:$A,0)),0)</f>
        <v>255.5</v>
      </c>
      <c r="V41" s="52">
        <f>IFERROR(INDEX(January!$AJ:$AJ,MATCH($A41,January!$A:$A,0)),0)+IFERROR(INDEX(February!$AG:$AG,MATCH($A41,February!$A:$A,0)),0)+IFERROR(INDEX(March!$AJ:$AJ,MATCH($A41,March!$A:$A,0)),0)+IFERROR(INDEX(April!$AI:$AI,MATCH($A41,April!$A:$A,0)),0)+IFERROR(INDEX(May!$AJ:$AJ,MATCH($A41,May!$A:$A,0)),0)+IFERROR(INDEX(June!$AI:$AI,MATCH($A41,June!$A:$A,0)),0)+IFERROR(INDEX(July!$AJ:$AJ,MATCH($A41,July!$A:$A,0)),0)+IFERROR(INDEX(August!$AJ:$AJ,MATCH($A41,August!$A:$A,0)),0)+IFERROR(INDEX(September!$AI:$AI,MATCH($A41,September!$A:$A,0)),0)+IFERROR(INDEX(October!$AJ:$AJ,MATCH($A41,October!$A:$A,0)),0)+IFERROR(INDEX(November!$AI:$AI,MATCH($A41,November!$A:$A,0)),0)+IFERROR(INDEX(December!$AJ:$AJ,MATCH($A41,December!$A:$A,0)),0)</f>
        <v>53</v>
      </c>
      <c r="W41" s="53">
        <f>IFERROR(INDEX(January!$AO:$AO,MATCH($A41,January!$A:$A,0)),0)+IFERROR(INDEX(February!$AL:$AL,MATCH($A41,February!$A:$A,0)),0)+IFERROR(INDEX(March!$AO:$AO,MATCH($A41,March!$A:$A,0)),0)+IFERROR(INDEX(April!$AN:$AN,MATCH($A41,April!$A:$A,0)),0)+IFERROR(INDEX(May!$AO:$AO,MATCH($A41,May!$A:$A,0)),0)+IFERROR(INDEX(June!$AN:$AN,MATCH($A41,June!$A:$A,0)),0)+IFERROR(INDEX(July!$AO:$AO,MATCH($A41,July!$A:$A,0)),0)+IFERROR(INDEX(August!$AO:$AO,MATCH($A41,August!$A:$A,0)),0)+IFERROR(INDEX(September!$AN:$AN,MATCH($A41,September!$A:$A,0)),0)+IFERROR(INDEX(October!$AO:$AO,MATCH($A41,October!$A:$A,0)),0)+IFERROR(INDEX(November!$AN:$AN,MATCH($A41,November!$A:$A,0)),0)+IFERROR(INDEX(December!$AO:$AO,MATCH($A41,December!$A:$A,0)),0)</f>
        <v>5</v>
      </c>
      <c r="X41" s="53">
        <f t="shared" si="11"/>
        <v>2.5</v>
      </c>
      <c r="Y41" s="53">
        <f>(IFERROR(INDEX(January!$AL:$AL,MATCH($A41,January!$A:$A,0)),0)+IFERROR(INDEX(February!$AI:$AI,MATCH($A41,February!$A:$A,0)),0)+IFERROR(INDEX(March!$AL:$AL,MATCH($A41,March!$A:$A,0)),0)+IFERROR(INDEX(April!$AK:$AK,MATCH($A41,April!$A:$A,0)),0)+IFERROR(INDEX(May!$AL:$AL,MATCH($A41,May!$A:$A,0)),0)+IFERROR(INDEX(June!$AK:$AK,MATCH($A41,June!$A:$A,0)),0)+IFERROR(INDEX(July!$AL:$AL,MATCH($A41,July!$A:$A,0)),0)+IFERROR(INDEX(August!$AL:$AL,MATCH($A41,August!$A:$A,0)),0)+IFERROR(INDEX(September!$AK:$AK,MATCH($A41,September!$A:$A,0)),0)+IFERROR(INDEX(October!$AL:$AL,MATCH($A41,October!$A:$A,0)),0)+IFERROR(INDEX(November!$AK:$AK,MATCH($A41,November!$A:$A,0)),0)+IFERROR(INDEX(December!$AL:$AL,MATCH($A41,December!$A:$A,0)),0))*0.5</f>
        <v>19</v>
      </c>
      <c r="Z41" s="54">
        <f>IFERROR(INDEX(January!$AK:$AK,MATCH($A41,January!$A:$A,0)),0)+IFERROR(INDEX(February!$AH:$AH,MATCH($A41,February!$A:$A,0)),0)+IFERROR(INDEX(March!$AK:$AK,MATCH($A41,March!$A:$A,0)),0)+IFERROR(INDEX(April!$AJ:$AJ,MATCH($A41,April!$A:$A,0)),0)+IFERROR(INDEX(May!$AK:$AK,MATCH($A41,May!$A:$A,0)),0)+IFERROR(INDEX(June!$AJ:$AJ,MATCH($A41,June!$A:$A,0)),0)+IFERROR(INDEX(July!$AK:$AK,MATCH($A41,July!$A:$A,0)),0)+IFERROR(INDEX(August!$AK:$AK,MATCH($A41,August!$A:$A,0)),0)+IFERROR(INDEX(September!$AJ:$AJ,MATCH($A41,September!$A:$A,0)),0)+IFERROR(INDEX(October!$AK:$AK,MATCH($A41,October!$A:$A,0)),0)+IFERROR(INDEX(November!$AJ:$AJ,MATCH($A41,November!$A:$A,0)),0)+IFERROR(INDEX(December!$AK:$AK,MATCH($A41,December!$A:$A,0)),0)</f>
        <v>31</v>
      </c>
      <c r="AA41" s="51">
        <f t="shared" si="12"/>
        <v>50</v>
      </c>
      <c r="AB41" s="55">
        <v>17</v>
      </c>
      <c r="AC41" s="56">
        <f t="shared" si="13"/>
        <v>67</v>
      </c>
      <c r="AD41" s="57"/>
      <c r="AE41" s="58">
        <f t="shared" si="14"/>
        <v>67</v>
      </c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</row>
    <row r="42" spans="1:49" ht="22" customHeight="1" x14ac:dyDescent="0.35">
      <c r="A42" s="8" t="s">
        <v>109</v>
      </c>
      <c r="B42" s="8" t="s">
        <v>110</v>
      </c>
      <c r="C42" s="8" t="s">
        <v>104</v>
      </c>
      <c r="D42" s="10">
        <v>31</v>
      </c>
      <c r="E42" s="10">
        <v>22</v>
      </c>
      <c r="F42" s="10">
        <v>29</v>
      </c>
      <c r="G42" s="10">
        <v>20</v>
      </c>
      <c r="H42" s="11">
        <v>16</v>
      </c>
      <c r="I42" s="10">
        <v>29</v>
      </c>
      <c r="J42" s="10">
        <v>28</v>
      </c>
      <c r="K42" s="10">
        <v>31</v>
      </c>
      <c r="L42" s="10">
        <v>27</v>
      </c>
      <c r="M42" s="10">
        <v>27</v>
      </c>
      <c r="N42" s="11">
        <v>16</v>
      </c>
      <c r="O42" s="10">
        <v>27</v>
      </c>
      <c r="P42" s="8">
        <f>IFERROR(INDEX(January!$AI:$AI,MATCH($A42,January!$A:$A,0)),0)+IFERROR(INDEX(February!$AF:$AF,MATCH($A42,February!$A:$A,0)),0)+IFERROR(INDEX(March!$AI:$AI,MATCH($A42,March!$A:$A,0)),0)+IFERROR(INDEX(April!$AH:$AH,MATCH($A42,April!$A:$A,0)),0)+IFERROR(INDEX(May!$AI:$AI,MATCH($A42,May!$A:$A,0)),0)+IFERROR(INDEX(June!$AH:$AH,MATCH($A42,June!$A:$A,0)),0)+IFERROR(INDEX(July!$AI:$AI,MATCH($A42,July!$A:$A,0)),0)+IFERROR(INDEX(August!$AI:$AI,MATCH($A42,August!$A:$A,0)),0)+IFERROR(INDEX(September!$AH:$AH,MATCH($A42,September!$A:$A,0)),0)+IFERROR(INDEX(October!$AI:$AI,MATCH($A42,October!$A:$A,0)),0)+IFERROR(INDEX(November!$AH:$AH,MATCH($A42,November!$A:$A,0)),0)+IFERROR(INDEX(December!$AI:$AI,MATCH($A42,December!$A:$A,0)),0)</f>
        <v>223</v>
      </c>
      <c r="Q42" s="8">
        <f>IFERROR(INDEX(January!$AJ:$AJ,MATCH($A42,January!$A:$A,0)),0)+IFERROR(INDEX(February!$AG:$AG,MATCH($A42,February!$A:$A,0)),0)+IFERROR(INDEX(March!$AJ:$AJ,MATCH($A42,March!$A:$A,0)),0)+IFERROR(INDEX(April!$AI:$AI,MATCH($A42,April!$A:$A,0)),0)+IFERROR(INDEX(May!$AJ:$AJ,MATCH($A42,May!$A:$A,0)),0)+IFERROR(INDEX(June!$AI:$AI,MATCH($A42,June!$A:$A,0)),0)+IFERROR(INDEX(July!$AJ:$AJ,MATCH($A42,July!$A:$A,0)),0)+IFERROR(INDEX(August!$AJ:$AJ,MATCH($A42,August!$A:$A,0)),0)+IFERROR(INDEX(September!$AI:$AI,MATCH($A42,September!$A:$A,0)),0)+IFERROR(INDEX(October!$AJ:$AJ,MATCH($A42,October!$A:$A,0)),0)+IFERROR(INDEX(November!$AI:$AI,MATCH($A42,November!$A:$A,0)),0)+IFERROR(INDEX(December!$AJ:$AJ,MATCH($A42,December!$A:$A,0)),0)</f>
        <v>38</v>
      </c>
      <c r="R42" s="8">
        <f>IFERROR(INDEX(January!$AK:$AK,MATCH($A42,January!$A:$A,0)),0)+IFERROR(INDEX(February!$AH:$AH,MATCH($A42,February!$A:$A,0)),0)+IFERROR(INDEX(March!$AK:$AK,MATCH($A42,March!$A:$A,0)),0)+IFERROR(INDEX(April!$AJ:$AJ,MATCH($A42,April!$A:$A,0)),0)+IFERROR(INDEX(May!$AK:$AK,MATCH($A42,May!$A:$A,0)),0)+IFERROR(INDEX(June!$AJ:$AJ,MATCH($A42,June!$A:$A,0)),0)+IFERROR(INDEX(July!$AK:$AK,MATCH($A42,July!$A:$A,0)),0)+IFERROR(INDEX(August!$AK:$AK,MATCH($A42,August!$A:$A,0)),0)+IFERROR(INDEX(September!$AJ:$AJ,MATCH($A42,September!$A:$A,0)),0)+IFERROR(INDEX(October!$AK:$AK,MATCH($A42,October!$A:$A,0)),0)+IFERROR(INDEX(November!$AJ:$AJ,MATCH($A42,November!$A:$A,0)),0)+IFERROR(INDEX(December!$AK:$AK,MATCH($A42,December!$A:$A,0)),0)</f>
        <v>39</v>
      </c>
      <c r="S42" s="35">
        <f t="shared" si="10"/>
        <v>0.85440613026819923</v>
      </c>
      <c r="T42" s="38"/>
      <c r="U42" s="51">
        <f>IFERROR(INDEX(January!$AQ:$AQ,MATCH($A42,January!$A:$A,0)),0)+IFERROR(INDEX(February!$AN:$AN,MATCH($A42,February!$A:$A,0)),0)+IFERROR(INDEX(March!$AQ:$AQ,MATCH($A42,March!$A:$A,0)),0)+IFERROR(INDEX(April!$AP:$AP,MATCH($A42,April!$A:$A,0)),0)+IFERROR(INDEX(May!$AQ:$AQ,MATCH($A42,May!$A:$A,0)),0)+IFERROR(INDEX(June!$AP:$AP,MATCH($A42,June!$A:$A,0)),0)+IFERROR(INDEX(July!$AQ:$AQ,MATCH($A42,July!$A:$A,0)),0)+IFERROR(INDEX(August!$AQ:$AQ,MATCH($A42,August!$A:$A,0)),0)+IFERROR(INDEX(September!$AP:$AP,MATCH($A42,September!$A:$A,0)),0)+IFERROR(INDEX(October!$AQ:$AQ,MATCH($A42,October!$A:$A,0)),0)+IFERROR(INDEX(November!$AP:$AP,MATCH($A42,November!$A:$A,0)),0)+IFERROR(INDEX(December!$AQ:$AQ,MATCH($A42,December!$A:$A,0)),0)</f>
        <v>279</v>
      </c>
      <c r="V42" s="52">
        <f>IFERROR(INDEX(January!$AJ:$AJ,MATCH($A42,January!$A:$A,0)),0)+IFERROR(INDEX(February!$AG:$AG,MATCH($A42,February!$A:$A,0)),0)+IFERROR(INDEX(March!$AJ:$AJ,MATCH($A42,March!$A:$A,0)),0)+IFERROR(INDEX(April!$AI:$AI,MATCH($A42,April!$A:$A,0)),0)+IFERROR(INDEX(May!$AJ:$AJ,MATCH($A42,May!$A:$A,0)),0)+IFERROR(INDEX(June!$AI:$AI,MATCH($A42,June!$A:$A,0)),0)+IFERROR(INDEX(July!$AJ:$AJ,MATCH($A42,July!$A:$A,0)),0)+IFERROR(INDEX(August!$AJ:$AJ,MATCH($A42,August!$A:$A,0)),0)+IFERROR(INDEX(September!$AI:$AI,MATCH($A42,September!$A:$A,0)),0)+IFERROR(INDEX(October!$AJ:$AJ,MATCH($A42,October!$A:$A,0)),0)+IFERROR(INDEX(November!$AI:$AI,MATCH($A42,November!$A:$A,0)),0)+IFERROR(INDEX(December!$AJ:$AJ,MATCH($A42,December!$A:$A,0)),0)</f>
        <v>38</v>
      </c>
      <c r="W42" s="53">
        <f>IFERROR(INDEX(January!$AO:$AO,MATCH($A42,January!$A:$A,0)),0)+IFERROR(INDEX(February!$AL:$AL,MATCH($A42,February!$A:$A,0)),0)+IFERROR(INDEX(March!$AO:$AO,MATCH($A42,March!$A:$A,0)),0)+IFERROR(INDEX(April!$AN:$AN,MATCH($A42,April!$A:$A,0)),0)+IFERROR(INDEX(May!$AO:$AO,MATCH($A42,May!$A:$A,0)),0)+IFERROR(INDEX(June!$AN:$AN,MATCH($A42,June!$A:$A,0)),0)+IFERROR(INDEX(July!$AO:$AO,MATCH($A42,July!$A:$A,0)),0)+IFERROR(INDEX(August!$AO:$AO,MATCH($A42,August!$A:$A,0)),0)+IFERROR(INDEX(September!$AN:$AN,MATCH($A42,September!$A:$A,0)),0)+IFERROR(INDEX(October!$AO:$AO,MATCH($A42,October!$A:$A,0)),0)+IFERROR(INDEX(November!$AN:$AN,MATCH($A42,November!$A:$A,0)),0)+IFERROR(INDEX(December!$AO:$AO,MATCH($A42,December!$A:$A,0)),0)</f>
        <v>7</v>
      </c>
      <c r="X42" s="53">
        <f t="shared" si="11"/>
        <v>3.5</v>
      </c>
      <c r="Y42" s="53">
        <f>(IFERROR(INDEX(January!$AL:$AL,MATCH($A42,January!$A:$A,0)),0)+IFERROR(INDEX(February!$AI:$AI,MATCH($A42,February!$A:$A,0)),0)+IFERROR(INDEX(March!$AL:$AL,MATCH($A42,March!$A:$A,0)),0)+IFERROR(INDEX(April!$AK:$AK,MATCH($A42,April!$A:$A,0)),0)+IFERROR(INDEX(May!$AL:$AL,MATCH($A42,May!$A:$A,0)),0)+IFERROR(INDEX(June!$AK:$AK,MATCH($A42,June!$A:$A,0)),0)+IFERROR(INDEX(July!$AL:$AL,MATCH($A42,July!$A:$A,0)),0)+IFERROR(INDEX(August!$AL:$AL,MATCH($A42,August!$A:$A,0)),0)+IFERROR(INDEX(September!$AK:$AK,MATCH($A42,September!$A:$A,0)),0)+IFERROR(INDEX(October!$AL:$AL,MATCH($A42,October!$A:$A,0)),0)+IFERROR(INDEX(November!$AK:$AK,MATCH($A42,November!$A:$A,0)),0)+IFERROR(INDEX(December!$AL:$AL,MATCH($A42,December!$A:$A,0)),0))*0.5</f>
        <v>20.5</v>
      </c>
      <c r="Z42" s="54">
        <f>IFERROR(INDEX(January!$AK:$AK,MATCH($A42,January!$A:$A,0)),0)+IFERROR(INDEX(February!$AH:$AH,MATCH($A42,February!$A:$A,0)),0)+IFERROR(INDEX(March!$AK:$AK,MATCH($A42,March!$A:$A,0)),0)+IFERROR(INDEX(April!$AJ:$AJ,MATCH($A42,April!$A:$A,0)),0)+IFERROR(INDEX(May!$AK:$AK,MATCH($A42,May!$A:$A,0)),0)+IFERROR(INDEX(June!$AJ:$AJ,MATCH($A42,June!$A:$A,0)),0)+IFERROR(INDEX(July!$AK:$AK,MATCH($A42,July!$A:$A,0)),0)+IFERROR(INDEX(August!$AK:$AK,MATCH($A42,August!$A:$A,0)),0)+IFERROR(INDEX(September!$AJ:$AJ,MATCH($A42,September!$A:$A,0)),0)+IFERROR(INDEX(October!$AK:$AK,MATCH($A42,October!$A:$A,0)),0)+IFERROR(INDEX(November!$AJ:$AJ,MATCH($A42,November!$A:$A,0)),0)+IFERROR(INDEX(December!$AK:$AK,MATCH($A42,December!$A:$A,0)),0)</f>
        <v>39</v>
      </c>
      <c r="AA42" s="51">
        <f t="shared" si="12"/>
        <v>59.5</v>
      </c>
      <c r="AB42" s="55">
        <v>17</v>
      </c>
      <c r="AC42" s="56">
        <f t="shared" si="13"/>
        <v>76.5</v>
      </c>
      <c r="AD42" s="57"/>
      <c r="AE42" s="58">
        <f t="shared" si="14"/>
        <v>76.5</v>
      </c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</row>
    <row r="43" spans="1:49" ht="22" customHeight="1" x14ac:dyDescent="0.35">
      <c r="A43" s="8" t="s">
        <v>111</v>
      </c>
      <c r="B43" s="8" t="s">
        <v>112</v>
      </c>
      <c r="C43" s="8" t="s">
        <v>104</v>
      </c>
      <c r="D43" s="10">
        <v>24</v>
      </c>
      <c r="E43" s="11">
        <v>17</v>
      </c>
      <c r="F43" s="10">
        <v>27</v>
      </c>
      <c r="G43" s="11">
        <v>3</v>
      </c>
      <c r="H43" s="10">
        <v>21</v>
      </c>
      <c r="I43" s="10">
        <v>27</v>
      </c>
      <c r="J43" s="10">
        <v>29</v>
      </c>
      <c r="K43" s="10">
        <v>28</v>
      </c>
      <c r="L43" s="10">
        <v>29</v>
      </c>
      <c r="M43" s="11">
        <v>10</v>
      </c>
      <c r="N43" s="11">
        <v>17</v>
      </c>
      <c r="O43" s="11">
        <v>11</v>
      </c>
      <c r="P43" s="8">
        <f>IFERROR(INDEX(January!$AI:$AI,MATCH($A43,January!$A:$A,0)),0)+IFERROR(INDEX(February!$AF:$AF,MATCH($A43,February!$A:$A,0)),0)+IFERROR(INDEX(March!$AI:$AI,MATCH($A43,March!$A:$A,0)),0)+IFERROR(INDEX(April!$AH:$AH,MATCH($A43,April!$A:$A,0)),0)+IFERROR(INDEX(May!$AI:$AI,MATCH($A43,May!$A:$A,0)),0)+IFERROR(INDEX(June!$AH:$AH,MATCH($A43,June!$A:$A,0)),0)+IFERROR(INDEX(July!$AI:$AI,MATCH($A43,July!$A:$A,0)),0)+IFERROR(INDEX(August!$AI:$AI,MATCH($A43,August!$A:$A,0)),0)+IFERROR(INDEX(September!$AH:$AH,MATCH($A43,September!$A:$A,0)),0)+IFERROR(INDEX(October!$AI:$AI,MATCH($A43,October!$A:$A,0)),0)+IFERROR(INDEX(November!$AH:$AH,MATCH($A43,November!$A:$A,0)),0)+IFERROR(INDEX(December!$AI:$AI,MATCH($A43,December!$A:$A,0)),0)</f>
        <v>179</v>
      </c>
      <c r="Q43" s="8">
        <f>IFERROR(INDEX(January!$AJ:$AJ,MATCH($A43,January!$A:$A,0)),0)+IFERROR(INDEX(February!$AG:$AG,MATCH($A43,February!$A:$A,0)),0)+IFERROR(INDEX(March!$AJ:$AJ,MATCH($A43,March!$A:$A,0)),0)+IFERROR(INDEX(April!$AI:$AI,MATCH($A43,April!$A:$A,0)),0)+IFERROR(INDEX(May!$AJ:$AJ,MATCH($A43,May!$A:$A,0)),0)+IFERROR(INDEX(June!$AI:$AI,MATCH($A43,June!$A:$A,0)),0)+IFERROR(INDEX(July!$AJ:$AJ,MATCH($A43,July!$A:$A,0)),0)+IFERROR(INDEX(August!$AJ:$AJ,MATCH($A43,August!$A:$A,0)),0)+IFERROR(INDEX(September!$AI:$AI,MATCH($A43,September!$A:$A,0)),0)+IFERROR(INDEX(October!$AJ:$AJ,MATCH($A43,October!$A:$A,0)),0)+IFERROR(INDEX(November!$AI:$AI,MATCH($A43,November!$A:$A,0)),0)+IFERROR(INDEX(December!$AJ:$AJ,MATCH($A43,December!$A:$A,0)),0)</f>
        <v>82</v>
      </c>
      <c r="R43" s="8">
        <f>IFERROR(INDEX(January!$AK:$AK,MATCH($A43,January!$A:$A,0)),0)+IFERROR(INDEX(February!$AH:$AH,MATCH($A43,February!$A:$A,0)),0)+IFERROR(INDEX(March!$AK:$AK,MATCH($A43,March!$A:$A,0)),0)+IFERROR(INDEX(April!$AJ:$AJ,MATCH($A43,April!$A:$A,0)),0)+IFERROR(INDEX(May!$AK:$AK,MATCH($A43,May!$A:$A,0)),0)+IFERROR(INDEX(June!$AJ:$AJ,MATCH($A43,June!$A:$A,0)),0)+IFERROR(INDEX(July!$AK:$AK,MATCH($A43,July!$A:$A,0)),0)+IFERROR(INDEX(August!$AK:$AK,MATCH($A43,August!$A:$A,0)),0)+IFERROR(INDEX(September!$AJ:$AJ,MATCH($A43,September!$A:$A,0)),0)+IFERROR(INDEX(October!$AK:$AK,MATCH($A43,October!$A:$A,0)),0)+IFERROR(INDEX(November!$AJ:$AJ,MATCH($A43,November!$A:$A,0)),0)+IFERROR(INDEX(December!$AK:$AK,MATCH($A43,December!$A:$A,0)),0)</f>
        <v>32</v>
      </c>
      <c r="S43" s="35">
        <f t="shared" si="10"/>
        <v>0.68582375478927204</v>
      </c>
      <c r="T43" s="38"/>
      <c r="U43" s="51">
        <f>IFERROR(INDEX(January!$AQ:$AQ,MATCH($A43,January!$A:$A,0)),0)+IFERROR(INDEX(February!$AN:$AN,MATCH($A43,February!$A:$A,0)),0)+IFERROR(INDEX(March!$AQ:$AQ,MATCH($A43,March!$A:$A,0)),0)+IFERROR(INDEX(April!$AP:$AP,MATCH($A43,April!$A:$A,0)),0)+IFERROR(INDEX(May!$AQ:$AQ,MATCH($A43,May!$A:$A,0)),0)+IFERROR(INDEX(June!$AP:$AP,MATCH($A43,June!$A:$A,0)),0)+IFERROR(INDEX(July!$AQ:$AQ,MATCH($A43,July!$A:$A,0)),0)+IFERROR(INDEX(August!$AQ:$AQ,MATCH($A43,August!$A:$A,0)),0)+IFERROR(INDEX(September!$AP:$AP,MATCH($A43,September!$A:$A,0)),0)+IFERROR(INDEX(October!$AQ:$AQ,MATCH($A43,October!$A:$A,0)),0)+IFERROR(INDEX(November!$AP:$AP,MATCH($A43,November!$A:$A,0)),0)+IFERROR(INDEX(December!$AQ:$AQ,MATCH($A43,December!$A:$A,0)),0)</f>
        <v>224</v>
      </c>
      <c r="V43" s="52">
        <f>IFERROR(INDEX(January!$AJ:$AJ,MATCH($A43,January!$A:$A,0)),0)+IFERROR(INDEX(February!$AG:$AG,MATCH($A43,February!$A:$A,0)),0)+IFERROR(INDEX(March!$AJ:$AJ,MATCH($A43,March!$A:$A,0)),0)+IFERROR(INDEX(April!$AI:$AI,MATCH($A43,April!$A:$A,0)),0)+IFERROR(INDEX(May!$AJ:$AJ,MATCH($A43,May!$A:$A,0)),0)+IFERROR(INDEX(June!$AI:$AI,MATCH($A43,June!$A:$A,0)),0)+IFERROR(INDEX(July!$AJ:$AJ,MATCH($A43,July!$A:$A,0)),0)+IFERROR(INDEX(August!$AJ:$AJ,MATCH($A43,August!$A:$A,0)),0)+IFERROR(INDEX(September!$AI:$AI,MATCH($A43,September!$A:$A,0)),0)+IFERROR(INDEX(October!$AJ:$AJ,MATCH($A43,October!$A:$A,0)),0)+IFERROR(INDEX(November!$AI:$AI,MATCH($A43,November!$A:$A,0)),0)+IFERROR(INDEX(December!$AJ:$AJ,MATCH($A43,December!$A:$A,0)),0)</f>
        <v>82</v>
      </c>
      <c r="W43" s="53">
        <f>IFERROR(INDEX(January!$AO:$AO,MATCH($A43,January!$A:$A,0)),0)+IFERROR(INDEX(February!$AL:$AL,MATCH($A43,February!$A:$A,0)),0)+IFERROR(INDEX(March!$AO:$AO,MATCH($A43,March!$A:$A,0)),0)+IFERROR(INDEX(April!$AN:$AN,MATCH($A43,April!$A:$A,0)),0)+IFERROR(INDEX(May!$AO:$AO,MATCH($A43,May!$A:$A,0)),0)+IFERROR(INDEX(June!$AN:$AN,MATCH($A43,June!$A:$A,0)),0)+IFERROR(INDEX(July!$AO:$AO,MATCH($A43,July!$A:$A,0)),0)+IFERROR(INDEX(August!$AO:$AO,MATCH($A43,August!$A:$A,0)),0)+IFERROR(INDEX(September!$AN:$AN,MATCH($A43,September!$A:$A,0)),0)+IFERROR(INDEX(October!$AO:$AO,MATCH($A43,October!$A:$A,0)),0)+IFERROR(INDEX(November!$AN:$AN,MATCH($A43,November!$A:$A,0)),0)+IFERROR(INDEX(December!$AO:$AO,MATCH($A43,December!$A:$A,0)),0)</f>
        <v>6</v>
      </c>
      <c r="X43" s="53">
        <f t="shared" si="11"/>
        <v>3</v>
      </c>
      <c r="Y43" s="53">
        <f>(IFERROR(INDEX(January!$AL:$AL,MATCH($A43,January!$A:$A,0)),0)+IFERROR(INDEX(February!$AI:$AI,MATCH($A43,February!$A:$A,0)),0)+IFERROR(INDEX(March!$AL:$AL,MATCH($A43,March!$A:$A,0)),0)+IFERROR(INDEX(April!$AK:$AK,MATCH($A43,April!$A:$A,0)),0)+IFERROR(INDEX(May!$AL:$AL,MATCH($A43,May!$A:$A,0)),0)+IFERROR(INDEX(June!$AK:$AK,MATCH($A43,June!$A:$A,0)),0)+IFERROR(INDEX(July!$AL:$AL,MATCH($A43,July!$A:$A,0)),0)+IFERROR(INDEX(August!$AL:$AL,MATCH($A43,August!$A:$A,0)),0)+IFERROR(INDEX(September!$AK:$AK,MATCH($A43,September!$A:$A,0)),0)+IFERROR(INDEX(October!$AL:$AL,MATCH($A43,October!$A:$A,0)),0)+IFERROR(INDEX(November!$AK:$AK,MATCH($A43,November!$A:$A,0)),0)+IFERROR(INDEX(December!$AL:$AL,MATCH($A43,December!$A:$A,0)),0))*0.5</f>
        <v>16</v>
      </c>
      <c r="Z43" s="54">
        <f>IFERROR(INDEX(January!$AK:$AK,MATCH($A43,January!$A:$A,0)),0)+IFERROR(INDEX(February!$AH:$AH,MATCH($A43,February!$A:$A,0)),0)+IFERROR(INDEX(March!$AK:$AK,MATCH($A43,March!$A:$A,0)),0)+IFERROR(INDEX(April!$AJ:$AJ,MATCH($A43,April!$A:$A,0)),0)+IFERROR(INDEX(May!$AK:$AK,MATCH($A43,May!$A:$A,0)),0)+IFERROR(INDEX(June!$AJ:$AJ,MATCH($A43,June!$A:$A,0)),0)+IFERROR(INDEX(July!$AK:$AK,MATCH($A43,July!$A:$A,0)),0)+IFERROR(INDEX(August!$AK:$AK,MATCH($A43,August!$A:$A,0)),0)+IFERROR(INDEX(September!$AJ:$AJ,MATCH($A43,September!$A:$A,0)),0)+IFERROR(INDEX(October!$AK:$AK,MATCH($A43,October!$A:$A,0)),0)+IFERROR(INDEX(November!$AJ:$AJ,MATCH($A43,November!$A:$A,0)),0)+IFERROR(INDEX(December!$AK:$AK,MATCH($A43,December!$A:$A,0)),0)</f>
        <v>32</v>
      </c>
      <c r="AA43" s="51">
        <f t="shared" si="12"/>
        <v>48</v>
      </c>
      <c r="AB43" s="55">
        <v>17</v>
      </c>
      <c r="AC43" s="56">
        <f t="shared" si="13"/>
        <v>65</v>
      </c>
      <c r="AD43" s="57"/>
      <c r="AE43" s="58">
        <f t="shared" si="14"/>
        <v>65</v>
      </c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</row>
    <row r="44" spans="1:49" ht="22" customHeight="1" x14ac:dyDescent="0.35">
      <c r="A44" s="8" t="s">
        <v>113</v>
      </c>
      <c r="B44" s="8" t="s">
        <v>114</v>
      </c>
      <c r="C44" s="8" t="s">
        <v>104</v>
      </c>
      <c r="D44" s="11">
        <v>16</v>
      </c>
      <c r="E44" s="10">
        <v>24</v>
      </c>
      <c r="F44" s="10">
        <v>30</v>
      </c>
      <c r="G44" s="11">
        <v>19</v>
      </c>
      <c r="H44" s="10">
        <v>26</v>
      </c>
      <c r="I44" s="10">
        <v>26</v>
      </c>
      <c r="J44" s="10">
        <v>31</v>
      </c>
      <c r="K44" s="10">
        <v>31</v>
      </c>
      <c r="L44" s="10">
        <v>30</v>
      </c>
      <c r="M44" s="11">
        <v>5</v>
      </c>
      <c r="N44" s="11">
        <v>17</v>
      </c>
      <c r="O44" s="10">
        <v>20</v>
      </c>
      <c r="P44" s="8">
        <f>IFERROR(INDEX(January!$AI:$AI,MATCH($A44,January!$A:$A,0)),0)+IFERROR(INDEX(February!$AF:$AF,MATCH($A44,February!$A:$A,0)),0)+IFERROR(INDEX(March!$AI:$AI,MATCH($A44,March!$A:$A,0)),0)+IFERROR(INDEX(April!$AH:$AH,MATCH($A44,April!$A:$A,0)),0)+IFERROR(INDEX(May!$AI:$AI,MATCH($A44,May!$A:$A,0)),0)+IFERROR(INDEX(June!$AH:$AH,MATCH($A44,June!$A:$A,0)),0)+IFERROR(INDEX(July!$AI:$AI,MATCH($A44,July!$A:$A,0)),0)+IFERROR(INDEX(August!$AI:$AI,MATCH($A44,August!$A:$A,0)),0)+IFERROR(INDEX(September!$AH:$AH,MATCH($A44,September!$A:$A,0)),0)+IFERROR(INDEX(October!$AI:$AI,MATCH($A44,October!$A:$A,0)),0)+IFERROR(INDEX(November!$AH:$AH,MATCH($A44,November!$A:$A,0)),0)+IFERROR(INDEX(December!$AI:$AI,MATCH($A44,December!$A:$A,0)),0)</f>
        <v>206</v>
      </c>
      <c r="Q44" s="8">
        <f>IFERROR(INDEX(January!$AJ:$AJ,MATCH($A44,January!$A:$A,0)),0)+IFERROR(INDEX(February!$AG:$AG,MATCH($A44,February!$A:$A,0)),0)+IFERROR(INDEX(March!$AJ:$AJ,MATCH($A44,March!$A:$A,0)),0)+IFERROR(INDEX(April!$AI:$AI,MATCH($A44,April!$A:$A,0)),0)+IFERROR(INDEX(May!$AJ:$AJ,MATCH($A44,May!$A:$A,0)),0)+IFERROR(INDEX(June!$AI:$AI,MATCH($A44,June!$A:$A,0)),0)+IFERROR(INDEX(July!$AJ:$AJ,MATCH($A44,July!$A:$A,0)),0)+IFERROR(INDEX(August!$AJ:$AJ,MATCH($A44,August!$A:$A,0)),0)+IFERROR(INDEX(September!$AI:$AI,MATCH($A44,September!$A:$A,0)),0)+IFERROR(INDEX(October!$AJ:$AJ,MATCH($A44,October!$A:$A,0)),0)+IFERROR(INDEX(November!$AI:$AI,MATCH($A44,November!$A:$A,0)),0)+IFERROR(INDEX(December!$AJ:$AJ,MATCH($A44,December!$A:$A,0)),0)</f>
        <v>55</v>
      </c>
      <c r="R44" s="8">
        <f>IFERROR(INDEX(January!$AK:$AK,MATCH($A44,January!$A:$A,0)),0)+IFERROR(INDEX(February!$AH:$AH,MATCH($A44,February!$A:$A,0)),0)+IFERROR(INDEX(March!$AK:$AK,MATCH($A44,March!$A:$A,0)),0)+IFERROR(INDEX(April!$AJ:$AJ,MATCH($A44,April!$A:$A,0)),0)+IFERROR(INDEX(May!$AK:$AK,MATCH($A44,May!$A:$A,0)),0)+IFERROR(INDEX(June!$AJ:$AJ,MATCH($A44,June!$A:$A,0)),0)+IFERROR(INDEX(July!$AK:$AK,MATCH($A44,July!$A:$A,0)),0)+IFERROR(INDEX(August!$AK:$AK,MATCH($A44,August!$A:$A,0)),0)+IFERROR(INDEX(September!$AJ:$AJ,MATCH($A44,September!$A:$A,0)),0)+IFERROR(INDEX(October!$AK:$AK,MATCH($A44,October!$A:$A,0)),0)+IFERROR(INDEX(November!$AJ:$AJ,MATCH($A44,November!$A:$A,0)),0)+IFERROR(INDEX(December!$AK:$AK,MATCH($A44,December!$A:$A,0)),0)</f>
        <v>31</v>
      </c>
      <c r="S44" s="35">
        <f t="shared" si="10"/>
        <v>0.78927203065134099</v>
      </c>
      <c r="T44" s="38"/>
      <c r="U44" s="51">
        <f>IFERROR(INDEX(January!$AQ:$AQ,MATCH($A44,January!$A:$A,0)),0)+IFERROR(INDEX(February!$AN:$AN,MATCH($A44,February!$A:$A,0)),0)+IFERROR(INDEX(March!$AQ:$AQ,MATCH($A44,March!$A:$A,0)),0)+IFERROR(INDEX(April!$AP:$AP,MATCH($A44,April!$A:$A,0)),0)+IFERROR(INDEX(May!$AQ:$AQ,MATCH($A44,May!$A:$A,0)),0)+IFERROR(INDEX(June!$AP:$AP,MATCH($A44,June!$A:$A,0)),0)+IFERROR(INDEX(July!$AQ:$AQ,MATCH($A44,July!$A:$A,0)),0)+IFERROR(INDEX(August!$AQ:$AQ,MATCH($A44,August!$A:$A,0)),0)+IFERROR(INDEX(September!$AP:$AP,MATCH($A44,September!$A:$A,0)),0)+IFERROR(INDEX(October!$AQ:$AQ,MATCH($A44,October!$A:$A,0)),0)+IFERROR(INDEX(November!$AP:$AP,MATCH($A44,November!$A:$A,0)),0)+IFERROR(INDEX(December!$AQ:$AQ,MATCH($A44,December!$A:$A,0)),0)</f>
        <v>254</v>
      </c>
      <c r="V44" s="52">
        <f>IFERROR(INDEX(January!$AJ:$AJ,MATCH($A44,January!$A:$A,0)),0)+IFERROR(INDEX(February!$AG:$AG,MATCH($A44,February!$A:$A,0)),0)+IFERROR(INDEX(March!$AJ:$AJ,MATCH($A44,March!$A:$A,0)),0)+IFERROR(INDEX(April!$AI:$AI,MATCH($A44,April!$A:$A,0)),0)+IFERROR(INDEX(May!$AJ:$AJ,MATCH($A44,May!$A:$A,0)),0)+IFERROR(INDEX(June!$AI:$AI,MATCH($A44,June!$A:$A,0)),0)+IFERROR(INDEX(July!$AJ:$AJ,MATCH($A44,July!$A:$A,0)),0)+IFERROR(INDEX(August!$AJ:$AJ,MATCH($A44,August!$A:$A,0)),0)+IFERROR(INDEX(September!$AI:$AI,MATCH($A44,September!$A:$A,0)),0)+IFERROR(INDEX(October!$AJ:$AJ,MATCH($A44,October!$A:$A,0)),0)+IFERROR(INDEX(November!$AI:$AI,MATCH($A44,November!$A:$A,0)),0)+IFERROR(INDEX(December!$AJ:$AJ,MATCH($A44,December!$A:$A,0)),0)</f>
        <v>55</v>
      </c>
      <c r="W44" s="53">
        <f>IFERROR(INDEX(January!$AO:$AO,MATCH($A44,January!$A:$A,0)),0)+IFERROR(INDEX(February!$AL:$AL,MATCH($A44,February!$A:$A,0)),0)+IFERROR(INDEX(March!$AO:$AO,MATCH($A44,March!$A:$A,0)),0)+IFERROR(INDEX(April!$AN:$AN,MATCH($A44,April!$A:$A,0)),0)+IFERROR(INDEX(May!$AO:$AO,MATCH($A44,May!$A:$A,0)),0)+IFERROR(INDEX(June!$AN:$AN,MATCH($A44,June!$A:$A,0)),0)+IFERROR(INDEX(July!$AO:$AO,MATCH($A44,July!$A:$A,0)),0)+IFERROR(INDEX(August!$AO:$AO,MATCH($A44,August!$A:$A,0)),0)+IFERROR(INDEX(September!$AN:$AN,MATCH($A44,September!$A:$A,0)),0)+IFERROR(INDEX(October!$AO:$AO,MATCH($A44,October!$A:$A,0)),0)+IFERROR(INDEX(November!$AN:$AN,MATCH($A44,November!$A:$A,0)),0)+IFERROR(INDEX(December!$AO:$AO,MATCH($A44,December!$A:$A,0)),0)</f>
        <v>4</v>
      </c>
      <c r="X44" s="53">
        <f t="shared" si="11"/>
        <v>2</v>
      </c>
      <c r="Y44" s="53">
        <f>(IFERROR(INDEX(January!$AL:$AL,MATCH($A44,January!$A:$A,0)),0)+IFERROR(INDEX(February!$AI:$AI,MATCH($A44,February!$A:$A,0)),0)+IFERROR(INDEX(March!$AL:$AL,MATCH($A44,March!$A:$A,0)),0)+IFERROR(INDEX(April!$AK:$AK,MATCH($A44,April!$A:$A,0)),0)+IFERROR(INDEX(May!$AL:$AL,MATCH($A44,May!$A:$A,0)),0)+IFERROR(INDEX(June!$AK:$AK,MATCH($A44,June!$A:$A,0)),0)+IFERROR(INDEX(July!$AL:$AL,MATCH($A44,July!$A:$A,0)),0)+IFERROR(INDEX(August!$AL:$AL,MATCH($A44,August!$A:$A,0)),0)+IFERROR(INDEX(September!$AK:$AK,MATCH($A44,September!$A:$A,0)),0)+IFERROR(INDEX(October!$AL:$AL,MATCH($A44,October!$A:$A,0)),0)+IFERROR(INDEX(November!$AK:$AK,MATCH($A44,November!$A:$A,0)),0)+IFERROR(INDEX(December!$AL:$AL,MATCH($A44,December!$A:$A,0)),0))*0.5</f>
        <v>19</v>
      </c>
      <c r="Z44" s="54">
        <f>IFERROR(INDEX(January!$AK:$AK,MATCH($A44,January!$A:$A,0)),0)+IFERROR(INDEX(February!$AH:$AH,MATCH($A44,February!$A:$A,0)),0)+IFERROR(INDEX(March!$AK:$AK,MATCH($A44,March!$A:$A,0)),0)+IFERROR(INDEX(April!$AJ:$AJ,MATCH($A44,April!$A:$A,0)),0)+IFERROR(INDEX(May!$AK:$AK,MATCH($A44,May!$A:$A,0)),0)+IFERROR(INDEX(June!$AJ:$AJ,MATCH($A44,June!$A:$A,0)),0)+IFERROR(INDEX(July!$AK:$AK,MATCH($A44,July!$A:$A,0)),0)+IFERROR(INDEX(August!$AK:$AK,MATCH($A44,August!$A:$A,0)),0)+IFERROR(INDEX(September!$AJ:$AJ,MATCH($A44,September!$A:$A,0)),0)+IFERROR(INDEX(October!$AK:$AK,MATCH($A44,October!$A:$A,0)),0)+IFERROR(INDEX(November!$AJ:$AJ,MATCH($A44,November!$A:$A,0)),0)+IFERROR(INDEX(December!$AK:$AK,MATCH($A44,December!$A:$A,0)),0)</f>
        <v>31</v>
      </c>
      <c r="AA44" s="51">
        <f t="shared" si="12"/>
        <v>50</v>
      </c>
      <c r="AB44" s="55">
        <v>17</v>
      </c>
      <c r="AC44" s="56">
        <f t="shared" si="13"/>
        <v>67</v>
      </c>
      <c r="AD44" s="57"/>
      <c r="AE44" s="58">
        <f t="shared" si="14"/>
        <v>67</v>
      </c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</row>
    <row r="45" spans="1:49" ht="22" customHeight="1" x14ac:dyDescent="0.35">
      <c r="A45" s="8" t="s">
        <v>115</v>
      </c>
      <c r="B45" s="8" t="s">
        <v>116</v>
      </c>
      <c r="C45" s="8" t="s">
        <v>104</v>
      </c>
      <c r="D45" s="10">
        <v>25</v>
      </c>
      <c r="E45" s="11">
        <v>18</v>
      </c>
      <c r="F45" s="11">
        <v>17</v>
      </c>
      <c r="G45" s="9">
        <v>0</v>
      </c>
      <c r="H45" s="11">
        <v>16</v>
      </c>
      <c r="I45" s="10">
        <v>27</v>
      </c>
      <c r="J45" s="10">
        <v>26</v>
      </c>
      <c r="K45" s="10">
        <v>30</v>
      </c>
      <c r="L45" s="10">
        <v>29</v>
      </c>
      <c r="M45" s="10">
        <v>31</v>
      </c>
      <c r="N45" s="11">
        <v>17</v>
      </c>
      <c r="O45" s="10">
        <v>23</v>
      </c>
      <c r="P45" s="8">
        <f>IFERROR(INDEX(January!$AI:$AI,MATCH($A45,January!$A:$A,0)),0)+IFERROR(INDEX(February!$AF:$AF,MATCH($A45,February!$A:$A,0)),0)+IFERROR(INDEX(March!$AI:$AI,MATCH($A45,March!$A:$A,0)),0)+IFERROR(INDEX(April!$AH:$AH,MATCH($A45,April!$A:$A,0)),0)+IFERROR(INDEX(May!$AI:$AI,MATCH($A45,May!$A:$A,0)),0)+IFERROR(INDEX(June!$AH:$AH,MATCH($A45,June!$A:$A,0)),0)+IFERROR(INDEX(July!$AI:$AI,MATCH($A45,July!$A:$A,0)),0)+IFERROR(INDEX(August!$AI:$AI,MATCH($A45,August!$A:$A,0)),0)+IFERROR(INDEX(September!$AH:$AH,MATCH($A45,September!$A:$A,0)),0)+IFERROR(INDEX(October!$AI:$AI,MATCH($A45,October!$A:$A,0)),0)+IFERROR(INDEX(November!$AH:$AH,MATCH($A45,November!$A:$A,0)),0)+IFERROR(INDEX(December!$AI:$AI,MATCH($A45,December!$A:$A,0)),0)</f>
        <v>186</v>
      </c>
      <c r="Q45" s="8">
        <f>IFERROR(INDEX(January!$AJ:$AJ,MATCH($A45,January!$A:$A,0)),0)+IFERROR(INDEX(February!$AG:$AG,MATCH($A45,February!$A:$A,0)),0)+IFERROR(INDEX(March!$AJ:$AJ,MATCH($A45,March!$A:$A,0)),0)+IFERROR(INDEX(April!$AI:$AI,MATCH($A45,April!$A:$A,0)),0)+IFERROR(INDEX(May!$AJ:$AJ,MATCH($A45,May!$A:$A,0)),0)+IFERROR(INDEX(June!$AI:$AI,MATCH($A45,June!$A:$A,0)),0)+IFERROR(INDEX(July!$AJ:$AJ,MATCH($A45,July!$A:$A,0)),0)+IFERROR(INDEX(August!$AJ:$AJ,MATCH($A45,August!$A:$A,0)),0)+IFERROR(INDEX(September!$AI:$AI,MATCH($A45,September!$A:$A,0)),0)+IFERROR(INDEX(October!$AJ:$AJ,MATCH($A45,October!$A:$A,0)),0)+IFERROR(INDEX(November!$AI:$AI,MATCH($A45,November!$A:$A,0)),0)+IFERROR(INDEX(December!$AJ:$AJ,MATCH($A45,December!$A:$A,0)),0)</f>
        <v>75</v>
      </c>
      <c r="R45" s="8">
        <f>IFERROR(INDEX(January!$AK:$AK,MATCH($A45,January!$A:$A,0)),0)+IFERROR(INDEX(February!$AH:$AH,MATCH($A45,February!$A:$A,0)),0)+IFERROR(INDEX(March!$AK:$AK,MATCH($A45,March!$A:$A,0)),0)+IFERROR(INDEX(April!$AJ:$AJ,MATCH($A45,April!$A:$A,0)),0)+IFERROR(INDEX(May!$AK:$AK,MATCH($A45,May!$A:$A,0)),0)+IFERROR(INDEX(June!$AJ:$AJ,MATCH($A45,June!$A:$A,0)),0)+IFERROR(INDEX(July!$AK:$AK,MATCH($A45,July!$A:$A,0)),0)+IFERROR(INDEX(August!$AK:$AK,MATCH($A45,August!$A:$A,0)),0)+IFERROR(INDEX(September!$AJ:$AJ,MATCH($A45,September!$A:$A,0)),0)+IFERROR(INDEX(October!$AK:$AK,MATCH($A45,October!$A:$A,0)),0)+IFERROR(INDEX(November!$AJ:$AJ,MATCH($A45,November!$A:$A,0)),0)+IFERROR(INDEX(December!$AK:$AK,MATCH($A45,December!$A:$A,0)),0)</f>
        <v>36</v>
      </c>
      <c r="S45" s="35">
        <f t="shared" si="10"/>
        <v>0.71264367816091956</v>
      </c>
      <c r="T45" s="38"/>
      <c r="U45" s="51">
        <f>IFERROR(INDEX(January!$AQ:$AQ,MATCH($A45,January!$A:$A,0)),0)+IFERROR(INDEX(February!$AN:$AN,MATCH($A45,February!$A:$A,0)),0)+IFERROR(INDEX(March!$AQ:$AQ,MATCH($A45,March!$A:$A,0)),0)+IFERROR(INDEX(April!$AP:$AP,MATCH($A45,April!$A:$A,0)),0)+IFERROR(INDEX(May!$AQ:$AQ,MATCH($A45,May!$A:$A,0)),0)+IFERROR(INDEX(June!$AP:$AP,MATCH($A45,June!$A:$A,0)),0)+IFERROR(INDEX(July!$AQ:$AQ,MATCH($A45,July!$A:$A,0)),0)+IFERROR(INDEX(August!$AQ:$AQ,MATCH($A45,August!$A:$A,0)),0)+IFERROR(INDEX(September!$AP:$AP,MATCH($A45,September!$A:$A,0)),0)+IFERROR(INDEX(October!$AQ:$AQ,MATCH($A45,October!$A:$A,0)),0)+IFERROR(INDEX(November!$AP:$AP,MATCH($A45,November!$A:$A,0)),0)+IFERROR(INDEX(December!$AQ:$AQ,MATCH($A45,December!$A:$A,0)),0)</f>
        <v>238.5</v>
      </c>
      <c r="V45" s="52">
        <f>IFERROR(INDEX(January!$AJ:$AJ,MATCH($A45,January!$A:$A,0)),0)+IFERROR(INDEX(February!$AG:$AG,MATCH($A45,February!$A:$A,0)),0)+IFERROR(INDEX(March!$AJ:$AJ,MATCH($A45,March!$A:$A,0)),0)+IFERROR(INDEX(April!$AI:$AI,MATCH($A45,April!$A:$A,0)),0)+IFERROR(INDEX(May!$AJ:$AJ,MATCH($A45,May!$A:$A,0)),0)+IFERROR(INDEX(June!$AI:$AI,MATCH($A45,June!$A:$A,0)),0)+IFERROR(INDEX(July!$AJ:$AJ,MATCH($A45,July!$A:$A,0)),0)+IFERROR(INDEX(August!$AJ:$AJ,MATCH($A45,August!$A:$A,0)),0)+IFERROR(INDEX(September!$AI:$AI,MATCH($A45,September!$A:$A,0)),0)+IFERROR(INDEX(October!$AJ:$AJ,MATCH($A45,October!$A:$A,0)),0)+IFERROR(INDEX(November!$AI:$AI,MATCH($A45,November!$A:$A,0)),0)+IFERROR(INDEX(December!$AJ:$AJ,MATCH($A45,December!$A:$A,0)),0)</f>
        <v>75</v>
      </c>
      <c r="W45" s="53">
        <f>IFERROR(INDEX(January!$AO:$AO,MATCH($A45,January!$A:$A,0)),0)+IFERROR(INDEX(February!$AL:$AL,MATCH($A45,February!$A:$A,0)),0)+IFERROR(INDEX(March!$AO:$AO,MATCH($A45,March!$A:$A,0)),0)+IFERROR(INDEX(April!$AN:$AN,MATCH($A45,April!$A:$A,0)),0)+IFERROR(INDEX(May!$AO:$AO,MATCH($A45,May!$A:$A,0)),0)+IFERROR(INDEX(June!$AN:$AN,MATCH($A45,June!$A:$A,0)),0)+IFERROR(INDEX(July!$AO:$AO,MATCH($A45,July!$A:$A,0)),0)+IFERROR(INDEX(August!$AO:$AO,MATCH($A45,August!$A:$A,0)),0)+IFERROR(INDEX(September!$AN:$AN,MATCH($A45,September!$A:$A,0)),0)+IFERROR(INDEX(October!$AO:$AO,MATCH($A45,October!$A:$A,0)),0)+IFERROR(INDEX(November!$AN:$AN,MATCH($A45,November!$A:$A,0)),0)+IFERROR(INDEX(December!$AO:$AO,MATCH($A45,December!$A:$A,0)),0)</f>
        <v>4</v>
      </c>
      <c r="X45" s="53">
        <f t="shared" si="11"/>
        <v>2</v>
      </c>
      <c r="Y45" s="53">
        <f>(IFERROR(INDEX(January!$AL:$AL,MATCH($A45,January!$A:$A,0)),0)+IFERROR(INDEX(February!$AI:$AI,MATCH($A45,February!$A:$A,0)),0)+IFERROR(INDEX(March!$AL:$AL,MATCH($A45,March!$A:$A,0)),0)+IFERROR(INDEX(April!$AK:$AK,MATCH($A45,April!$A:$A,0)),0)+IFERROR(INDEX(May!$AL:$AL,MATCH($A45,May!$A:$A,0)),0)+IFERROR(INDEX(June!$AK:$AK,MATCH($A45,June!$A:$A,0)),0)+IFERROR(INDEX(July!$AL:$AL,MATCH($A45,July!$A:$A,0)),0)+IFERROR(INDEX(August!$AL:$AL,MATCH($A45,August!$A:$A,0)),0)+IFERROR(INDEX(September!$AK:$AK,MATCH($A45,September!$A:$A,0)),0)+IFERROR(INDEX(October!$AL:$AL,MATCH($A45,October!$A:$A,0)),0)+IFERROR(INDEX(November!$AK:$AK,MATCH($A45,November!$A:$A,0)),0)+IFERROR(INDEX(December!$AL:$AL,MATCH($A45,December!$A:$A,0)),0))*0.5</f>
        <v>18.5</v>
      </c>
      <c r="Z45" s="54">
        <f>IFERROR(INDEX(January!$AK:$AK,MATCH($A45,January!$A:$A,0)),0)+IFERROR(INDEX(February!$AH:$AH,MATCH($A45,February!$A:$A,0)),0)+IFERROR(INDEX(March!$AK:$AK,MATCH($A45,March!$A:$A,0)),0)+IFERROR(INDEX(April!$AJ:$AJ,MATCH($A45,April!$A:$A,0)),0)+IFERROR(INDEX(May!$AK:$AK,MATCH($A45,May!$A:$A,0)),0)+IFERROR(INDEX(June!$AJ:$AJ,MATCH($A45,June!$A:$A,0)),0)+IFERROR(INDEX(July!$AK:$AK,MATCH($A45,July!$A:$A,0)),0)+IFERROR(INDEX(August!$AK:$AK,MATCH($A45,August!$A:$A,0)),0)+IFERROR(INDEX(September!$AJ:$AJ,MATCH($A45,September!$A:$A,0)),0)+IFERROR(INDEX(October!$AK:$AK,MATCH($A45,October!$A:$A,0)),0)+IFERROR(INDEX(November!$AJ:$AJ,MATCH($A45,November!$A:$A,0)),0)+IFERROR(INDEX(December!$AK:$AK,MATCH($A45,December!$A:$A,0)),0)</f>
        <v>36</v>
      </c>
      <c r="AA45" s="51">
        <f t="shared" si="12"/>
        <v>54.5</v>
      </c>
      <c r="AB45" s="55">
        <v>17</v>
      </c>
      <c r="AC45" s="56">
        <f t="shared" si="13"/>
        <v>71.5</v>
      </c>
      <c r="AD45" s="57"/>
      <c r="AE45" s="58">
        <f t="shared" si="14"/>
        <v>71.5</v>
      </c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</row>
    <row r="46" spans="1:49" ht="22" customHeight="1" x14ac:dyDescent="0.35">
      <c r="A46" s="8" t="s">
        <v>117</v>
      </c>
      <c r="B46" s="8" t="s">
        <v>118</v>
      </c>
      <c r="C46" s="8" t="s">
        <v>104</v>
      </c>
      <c r="D46" s="11">
        <v>18</v>
      </c>
      <c r="E46" s="10">
        <v>28</v>
      </c>
      <c r="F46" s="11">
        <v>19</v>
      </c>
      <c r="G46" s="11">
        <v>1</v>
      </c>
      <c r="H46" s="11">
        <v>10</v>
      </c>
      <c r="I46" s="10">
        <v>28</v>
      </c>
      <c r="J46" s="10">
        <v>28</v>
      </c>
      <c r="K46" s="10">
        <v>28</v>
      </c>
      <c r="L46" s="10">
        <v>30</v>
      </c>
      <c r="M46" s="10">
        <v>31</v>
      </c>
      <c r="N46" s="11">
        <v>17</v>
      </c>
      <c r="O46" s="10">
        <v>23</v>
      </c>
      <c r="P46" s="8">
        <f>IFERROR(INDEX(January!$AI:$AI,MATCH($A46,January!$A:$A,0)),0)+IFERROR(INDEX(February!$AF:$AF,MATCH($A46,February!$A:$A,0)),0)+IFERROR(INDEX(March!$AI:$AI,MATCH($A46,March!$A:$A,0)),0)+IFERROR(INDEX(April!$AH:$AH,MATCH($A46,April!$A:$A,0)),0)+IFERROR(INDEX(May!$AI:$AI,MATCH($A46,May!$A:$A,0)),0)+IFERROR(INDEX(June!$AH:$AH,MATCH($A46,June!$A:$A,0)),0)+IFERROR(INDEX(July!$AI:$AI,MATCH($A46,July!$A:$A,0)),0)+IFERROR(INDEX(August!$AI:$AI,MATCH($A46,August!$A:$A,0)),0)+IFERROR(INDEX(September!$AH:$AH,MATCH($A46,September!$A:$A,0)),0)+IFERROR(INDEX(October!$AI:$AI,MATCH($A46,October!$A:$A,0)),0)+IFERROR(INDEX(November!$AH:$AH,MATCH($A46,November!$A:$A,0)),0)+IFERROR(INDEX(December!$AI:$AI,MATCH($A46,December!$A:$A,0)),0)</f>
        <v>186</v>
      </c>
      <c r="Q46" s="8">
        <f>IFERROR(INDEX(January!$AJ:$AJ,MATCH($A46,January!$A:$A,0)),0)+IFERROR(INDEX(February!$AG:$AG,MATCH($A46,February!$A:$A,0)),0)+IFERROR(INDEX(March!$AJ:$AJ,MATCH($A46,March!$A:$A,0)),0)+IFERROR(INDEX(April!$AI:$AI,MATCH($A46,April!$A:$A,0)),0)+IFERROR(INDEX(May!$AJ:$AJ,MATCH($A46,May!$A:$A,0)),0)+IFERROR(INDEX(June!$AI:$AI,MATCH($A46,June!$A:$A,0)),0)+IFERROR(INDEX(July!$AJ:$AJ,MATCH($A46,July!$A:$A,0)),0)+IFERROR(INDEX(August!$AJ:$AJ,MATCH($A46,August!$A:$A,0)),0)+IFERROR(INDEX(September!$AI:$AI,MATCH($A46,September!$A:$A,0)),0)+IFERROR(INDEX(October!$AJ:$AJ,MATCH($A46,October!$A:$A,0)),0)+IFERROR(INDEX(November!$AI:$AI,MATCH($A46,November!$A:$A,0)),0)+IFERROR(INDEX(December!$AJ:$AJ,MATCH($A46,December!$A:$A,0)),0)</f>
        <v>75</v>
      </c>
      <c r="R46" s="8">
        <f>IFERROR(INDEX(January!$AK:$AK,MATCH($A46,January!$A:$A,0)),0)+IFERROR(INDEX(February!$AH:$AH,MATCH($A46,February!$A:$A,0)),0)+IFERROR(INDEX(March!$AK:$AK,MATCH($A46,March!$A:$A,0)),0)+IFERROR(INDEX(April!$AJ:$AJ,MATCH($A46,April!$A:$A,0)),0)+IFERROR(INDEX(May!$AK:$AK,MATCH($A46,May!$A:$A,0)),0)+IFERROR(INDEX(June!$AJ:$AJ,MATCH($A46,June!$A:$A,0)),0)+IFERROR(INDEX(July!$AK:$AK,MATCH($A46,July!$A:$A,0)),0)+IFERROR(INDEX(August!$AK:$AK,MATCH($A46,August!$A:$A,0)),0)+IFERROR(INDEX(September!$AJ:$AJ,MATCH($A46,September!$A:$A,0)),0)+IFERROR(INDEX(October!$AK:$AK,MATCH($A46,October!$A:$A,0)),0)+IFERROR(INDEX(November!$AJ:$AJ,MATCH($A46,November!$A:$A,0)),0)+IFERROR(INDEX(December!$AK:$AK,MATCH($A46,December!$A:$A,0)),0)</f>
        <v>38</v>
      </c>
      <c r="S46" s="35">
        <f t="shared" si="10"/>
        <v>0.71264367816091956</v>
      </c>
      <c r="T46" s="38"/>
      <c r="U46" s="51">
        <f>IFERROR(INDEX(January!$AQ:$AQ,MATCH($A46,January!$A:$A,0)),0)+IFERROR(INDEX(February!$AN:$AN,MATCH($A46,February!$A:$A,0)),0)+IFERROR(INDEX(March!$AQ:$AQ,MATCH($A46,March!$A:$A,0)),0)+IFERROR(INDEX(April!$AP:$AP,MATCH($A46,April!$A:$A,0)),0)+IFERROR(INDEX(May!$AQ:$AQ,MATCH($A46,May!$A:$A,0)),0)+IFERROR(INDEX(June!$AP:$AP,MATCH($A46,June!$A:$A,0)),0)+IFERROR(INDEX(July!$AQ:$AQ,MATCH($A46,July!$A:$A,0)),0)+IFERROR(INDEX(August!$AQ:$AQ,MATCH($A46,August!$A:$A,0)),0)+IFERROR(INDEX(September!$AP:$AP,MATCH($A46,September!$A:$A,0)),0)+IFERROR(INDEX(October!$AQ:$AQ,MATCH($A46,October!$A:$A,0)),0)+IFERROR(INDEX(November!$AP:$AP,MATCH($A46,November!$A:$A,0)),0)+IFERROR(INDEX(December!$AQ:$AQ,MATCH($A46,December!$A:$A,0)),0)</f>
        <v>241.5</v>
      </c>
      <c r="V46" s="52">
        <f>IFERROR(INDEX(January!$AJ:$AJ,MATCH($A46,January!$A:$A,0)),0)+IFERROR(INDEX(February!$AG:$AG,MATCH($A46,February!$A:$A,0)),0)+IFERROR(INDEX(March!$AJ:$AJ,MATCH($A46,March!$A:$A,0)),0)+IFERROR(INDEX(April!$AI:$AI,MATCH($A46,April!$A:$A,0)),0)+IFERROR(INDEX(May!$AJ:$AJ,MATCH($A46,May!$A:$A,0)),0)+IFERROR(INDEX(June!$AI:$AI,MATCH($A46,June!$A:$A,0)),0)+IFERROR(INDEX(July!$AJ:$AJ,MATCH($A46,July!$A:$A,0)),0)+IFERROR(INDEX(August!$AJ:$AJ,MATCH($A46,August!$A:$A,0)),0)+IFERROR(INDEX(September!$AI:$AI,MATCH($A46,September!$A:$A,0)),0)+IFERROR(INDEX(October!$AJ:$AJ,MATCH($A46,October!$A:$A,0)),0)+IFERROR(INDEX(November!$AI:$AI,MATCH($A46,November!$A:$A,0)),0)+IFERROR(INDEX(December!$AJ:$AJ,MATCH($A46,December!$A:$A,0)),0)</f>
        <v>75</v>
      </c>
      <c r="W46" s="53">
        <f>IFERROR(INDEX(January!$AO:$AO,MATCH($A46,January!$A:$A,0)),0)+IFERROR(INDEX(February!$AL:$AL,MATCH($A46,February!$A:$A,0)),0)+IFERROR(INDEX(March!$AO:$AO,MATCH($A46,March!$A:$A,0)),0)+IFERROR(INDEX(April!$AN:$AN,MATCH($A46,April!$A:$A,0)),0)+IFERROR(INDEX(May!$AO:$AO,MATCH($A46,May!$A:$A,0)),0)+IFERROR(INDEX(June!$AN:$AN,MATCH($A46,June!$A:$A,0)),0)+IFERROR(INDEX(July!$AO:$AO,MATCH($A46,July!$A:$A,0)),0)+IFERROR(INDEX(August!$AO:$AO,MATCH($A46,August!$A:$A,0)),0)+IFERROR(INDEX(September!$AN:$AN,MATCH($A46,September!$A:$A,0)),0)+IFERROR(INDEX(October!$AO:$AO,MATCH($A46,October!$A:$A,0)),0)+IFERROR(INDEX(November!$AN:$AN,MATCH($A46,November!$A:$A,0)),0)+IFERROR(INDEX(December!$AO:$AO,MATCH($A46,December!$A:$A,0)),0)</f>
        <v>2</v>
      </c>
      <c r="X46" s="53">
        <f t="shared" si="11"/>
        <v>1</v>
      </c>
      <c r="Y46" s="53">
        <f>(IFERROR(INDEX(January!$AL:$AL,MATCH($A46,January!$A:$A,0)),0)+IFERROR(INDEX(February!$AI:$AI,MATCH($A46,February!$A:$A,0)),0)+IFERROR(INDEX(March!$AL:$AL,MATCH($A46,March!$A:$A,0)),0)+IFERROR(INDEX(April!$AK:$AK,MATCH($A46,April!$A:$A,0)),0)+IFERROR(INDEX(May!$AL:$AL,MATCH($A46,May!$A:$A,0)),0)+IFERROR(INDEX(June!$AK:$AK,MATCH($A46,June!$A:$A,0)),0)+IFERROR(INDEX(July!$AL:$AL,MATCH($A46,July!$A:$A,0)),0)+IFERROR(INDEX(August!$AL:$AL,MATCH($A46,August!$A:$A,0)),0)+IFERROR(INDEX(September!$AK:$AK,MATCH($A46,September!$A:$A,0)),0)+IFERROR(INDEX(October!$AL:$AL,MATCH($A46,October!$A:$A,0)),0)+IFERROR(INDEX(November!$AK:$AK,MATCH($A46,November!$A:$A,0)),0)+IFERROR(INDEX(December!$AL:$AL,MATCH($A46,December!$A:$A,0)),0))*0.5</f>
        <v>18.5</v>
      </c>
      <c r="Z46" s="54">
        <f>IFERROR(INDEX(January!$AK:$AK,MATCH($A46,January!$A:$A,0)),0)+IFERROR(INDEX(February!$AH:$AH,MATCH($A46,February!$A:$A,0)),0)+IFERROR(INDEX(March!$AK:$AK,MATCH($A46,March!$A:$A,0)),0)+IFERROR(INDEX(April!$AJ:$AJ,MATCH($A46,April!$A:$A,0)),0)+IFERROR(INDEX(May!$AK:$AK,MATCH($A46,May!$A:$A,0)),0)+IFERROR(INDEX(June!$AJ:$AJ,MATCH($A46,June!$A:$A,0)),0)+IFERROR(INDEX(July!$AK:$AK,MATCH($A46,July!$A:$A,0)),0)+IFERROR(INDEX(August!$AK:$AK,MATCH($A46,August!$A:$A,0)),0)+IFERROR(INDEX(September!$AJ:$AJ,MATCH($A46,September!$A:$A,0)),0)+IFERROR(INDEX(October!$AK:$AK,MATCH($A46,October!$A:$A,0)),0)+IFERROR(INDEX(November!$AJ:$AJ,MATCH($A46,November!$A:$A,0)),0)+IFERROR(INDEX(December!$AK:$AK,MATCH($A46,December!$A:$A,0)),0)</f>
        <v>38</v>
      </c>
      <c r="AA46" s="51">
        <f t="shared" si="12"/>
        <v>56.5</v>
      </c>
      <c r="AB46" s="55">
        <v>17</v>
      </c>
      <c r="AC46" s="56">
        <f t="shared" si="13"/>
        <v>73.5</v>
      </c>
      <c r="AD46" s="57"/>
      <c r="AE46" s="58">
        <f t="shared" si="14"/>
        <v>73.5</v>
      </c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</row>
    <row r="47" spans="1:49" ht="22" customHeight="1" x14ac:dyDescent="0.35">
      <c r="A47" s="8" t="s">
        <v>119</v>
      </c>
      <c r="B47" s="8" t="s">
        <v>120</v>
      </c>
      <c r="C47" s="8" t="s">
        <v>104</v>
      </c>
      <c r="D47" s="11">
        <v>19</v>
      </c>
      <c r="E47" s="10">
        <v>22</v>
      </c>
      <c r="F47" s="11">
        <v>19</v>
      </c>
      <c r="G47" s="11">
        <v>15</v>
      </c>
      <c r="H47" s="10">
        <v>30</v>
      </c>
      <c r="I47" s="10">
        <v>30</v>
      </c>
      <c r="J47" s="10">
        <v>31</v>
      </c>
      <c r="K47" s="10">
        <v>28</v>
      </c>
      <c r="L47" s="10">
        <v>30</v>
      </c>
      <c r="M47" s="11">
        <v>5</v>
      </c>
      <c r="N47" s="11">
        <v>4</v>
      </c>
      <c r="O47" s="10">
        <v>30</v>
      </c>
      <c r="P47" s="8">
        <f>IFERROR(INDEX(January!$AI:$AI,MATCH($A47,January!$A:$A,0)),0)+IFERROR(INDEX(February!$AF:$AF,MATCH($A47,February!$A:$A,0)),0)+IFERROR(INDEX(March!$AI:$AI,MATCH($A47,March!$A:$A,0)),0)+IFERROR(INDEX(April!$AH:$AH,MATCH($A47,April!$A:$A,0)),0)+IFERROR(INDEX(May!$AI:$AI,MATCH($A47,May!$A:$A,0)),0)+IFERROR(INDEX(June!$AH:$AH,MATCH($A47,June!$A:$A,0)),0)+IFERROR(INDEX(July!$AI:$AI,MATCH($A47,July!$A:$A,0)),0)+IFERROR(INDEX(August!$AI:$AI,MATCH($A47,August!$A:$A,0)),0)+IFERROR(INDEX(September!$AH:$AH,MATCH($A47,September!$A:$A,0)),0)+IFERROR(INDEX(October!$AI:$AI,MATCH($A47,October!$A:$A,0)),0)+IFERROR(INDEX(November!$AH:$AH,MATCH($A47,November!$A:$A,0)),0)+IFERROR(INDEX(December!$AI:$AI,MATCH($A47,December!$A:$A,0)),0)</f>
        <v>188</v>
      </c>
      <c r="Q47" s="8">
        <f>IFERROR(INDEX(January!$AJ:$AJ,MATCH($A47,January!$A:$A,0)),0)+IFERROR(INDEX(February!$AG:$AG,MATCH($A47,February!$A:$A,0)),0)+IFERROR(INDEX(March!$AJ:$AJ,MATCH($A47,March!$A:$A,0)),0)+IFERROR(INDEX(April!$AI:$AI,MATCH($A47,April!$A:$A,0)),0)+IFERROR(INDEX(May!$AJ:$AJ,MATCH($A47,May!$A:$A,0)),0)+IFERROR(INDEX(June!$AI:$AI,MATCH($A47,June!$A:$A,0)),0)+IFERROR(INDEX(July!$AJ:$AJ,MATCH($A47,July!$A:$A,0)),0)+IFERROR(INDEX(August!$AJ:$AJ,MATCH($A47,August!$A:$A,0)),0)+IFERROR(INDEX(September!$AI:$AI,MATCH($A47,September!$A:$A,0)),0)+IFERROR(INDEX(October!$AJ:$AJ,MATCH($A47,October!$A:$A,0)),0)+IFERROR(INDEX(November!$AI:$AI,MATCH($A47,November!$A:$A,0)),0)+IFERROR(INDEX(December!$AJ:$AJ,MATCH($A47,December!$A:$A,0)),0)</f>
        <v>73</v>
      </c>
      <c r="R47" s="8">
        <f>IFERROR(INDEX(January!$AK:$AK,MATCH($A47,January!$A:$A,0)),0)+IFERROR(INDEX(February!$AH:$AH,MATCH($A47,February!$A:$A,0)),0)+IFERROR(INDEX(March!$AK:$AK,MATCH($A47,March!$A:$A,0)),0)+IFERROR(INDEX(April!$AJ:$AJ,MATCH($A47,April!$A:$A,0)),0)+IFERROR(INDEX(May!$AK:$AK,MATCH($A47,May!$A:$A,0)),0)+IFERROR(INDEX(June!$AJ:$AJ,MATCH($A47,June!$A:$A,0)),0)+IFERROR(INDEX(July!$AK:$AK,MATCH($A47,July!$A:$A,0)),0)+IFERROR(INDEX(August!$AK:$AK,MATCH($A47,August!$A:$A,0)),0)+IFERROR(INDEX(September!$AJ:$AJ,MATCH($A47,September!$A:$A,0)),0)+IFERROR(INDEX(October!$AK:$AK,MATCH($A47,October!$A:$A,0)),0)+IFERROR(INDEX(November!$AJ:$AJ,MATCH($A47,November!$A:$A,0)),0)+IFERROR(INDEX(December!$AK:$AK,MATCH($A47,December!$A:$A,0)),0)</f>
        <v>36</v>
      </c>
      <c r="S47" s="35">
        <f t="shared" si="10"/>
        <v>0.72030651340996166</v>
      </c>
      <c r="T47" s="38"/>
      <c r="U47" s="51">
        <f>IFERROR(INDEX(January!$AQ:$AQ,MATCH($A47,January!$A:$A,0)),0)+IFERROR(INDEX(February!$AN:$AN,MATCH($A47,February!$A:$A,0)),0)+IFERROR(INDEX(March!$AQ:$AQ,MATCH($A47,March!$A:$A,0)),0)+IFERROR(INDEX(April!$AP:$AP,MATCH($A47,April!$A:$A,0)),0)+IFERROR(INDEX(May!$AQ:$AQ,MATCH($A47,May!$A:$A,0)),0)+IFERROR(INDEX(June!$AP:$AP,MATCH($A47,June!$A:$A,0)),0)+IFERROR(INDEX(July!$AQ:$AQ,MATCH($A47,July!$A:$A,0)),0)+IFERROR(INDEX(August!$AQ:$AQ,MATCH($A47,August!$A:$A,0)),0)+IFERROR(INDEX(September!$AP:$AP,MATCH($A47,September!$A:$A,0)),0)+IFERROR(INDEX(October!$AQ:$AQ,MATCH($A47,October!$A:$A,0)),0)+IFERROR(INDEX(November!$AP:$AP,MATCH($A47,November!$A:$A,0)),0)+IFERROR(INDEX(December!$AQ:$AQ,MATCH($A47,December!$A:$A,0)),0)</f>
        <v>243</v>
      </c>
      <c r="V47" s="52">
        <f>IFERROR(INDEX(January!$AJ:$AJ,MATCH($A47,January!$A:$A,0)),0)+IFERROR(INDEX(February!$AG:$AG,MATCH($A47,February!$A:$A,0)),0)+IFERROR(INDEX(March!$AJ:$AJ,MATCH($A47,March!$A:$A,0)),0)+IFERROR(INDEX(April!$AI:$AI,MATCH($A47,April!$A:$A,0)),0)+IFERROR(INDEX(May!$AJ:$AJ,MATCH($A47,May!$A:$A,0)),0)+IFERROR(INDEX(June!$AI:$AI,MATCH($A47,June!$A:$A,0)),0)+IFERROR(INDEX(July!$AJ:$AJ,MATCH($A47,July!$A:$A,0)),0)+IFERROR(INDEX(August!$AJ:$AJ,MATCH($A47,August!$A:$A,0)),0)+IFERROR(INDEX(September!$AI:$AI,MATCH($A47,September!$A:$A,0)),0)+IFERROR(INDEX(October!$AJ:$AJ,MATCH($A47,October!$A:$A,0)),0)+IFERROR(INDEX(November!$AI:$AI,MATCH($A47,November!$A:$A,0)),0)+IFERROR(INDEX(December!$AJ:$AJ,MATCH($A47,December!$A:$A,0)),0)</f>
        <v>73</v>
      </c>
      <c r="W47" s="53">
        <f>IFERROR(INDEX(January!$AO:$AO,MATCH($A47,January!$A:$A,0)),0)+IFERROR(INDEX(February!$AL:$AL,MATCH($A47,February!$A:$A,0)),0)+IFERROR(INDEX(March!$AO:$AO,MATCH($A47,March!$A:$A,0)),0)+IFERROR(INDEX(April!$AN:$AN,MATCH($A47,April!$A:$A,0)),0)+IFERROR(INDEX(May!$AO:$AO,MATCH($A47,May!$A:$A,0)),0)+IFERROR(INDEX(June!$AN:$AN,MATCH($A47,June!$A:$A,0)),0)+IFERROR(INDEX(July!$AO:$AO,MATCH($A47,July!$A:$A,0)),0)+IFERROR(INDEX(August!$AO:$AO,MATCH($A47,August!$A:$A,0)),0)+IFERROR(INDEX(September!$AN:$AN,MATCH($A47,September!$A:$A,0)),0)+IFERROR(INDEX(October!$AO:$AO,MATCH($A47,October!$A:$A,0)),0)+IFERROR(INDEX(November!$AN:$AN,MATCH($A47,November!$A:$A,0)),0)+IFERROR(INDEX(December!$AO:$AO,MATCH($A47,December!$A:$A,0)),0)</f>
        <v>1</v>
      </c>
      <c r="X47" s="53">
        <f t="shared" si="11"/>
        <v>0.5</v>
      </c>
      <c r="Y47" s="53">
        <f>(IFERROR(INDEX(January!$AL:$AL,MATCH($A47,January!$A:$A,0)),0)+IFERROR(INDEX(February!$AI:$AI,MATCH($A47,February!$A:$A,0)),0)+IFERROR(INDEX(March!$AL:$AL,MATCH($A47,March!$A:$A,0)),0)+IFERROR(INDEX(April!$AK:$AK,MATCH($A47,April!$A:$A,0)),0)+IFERROR(INDEX(May!$AL:$AL,MATCH($A47,May!$A:$A,0)),0)+IFERROR(INDEX(June!$AK:$AK,MATCH($A47,June!$A:$A,0)),0)+IFERROR(INDEX(July!$AL:$AL,MATCH($A47,July!$A:$A,0)),0)+IFERROR(INDEX(August!$AL:$AL,MATCH($A47,August!$A:$A,0)),0)+IFERROR(INDEX(September!$AK:$AK,MATCH($A47,September!$A:$A,0)),0)+IFERROR(INDEX(October!$AL:$AL,MATCH($A47,October!$A:$A,0)),0)+IFERROR(INDEX(November!$AK:$AK,MATCH($A47,November!$A:$A,0)),0)+IFERROR(INDEX(December!$AL:$AL,MATCH($A47,December!$A:$A,0)),0))*0.5</f>
        <v>19.5</v>
      </c>
      <c r="Z47" s="54">
        <f>IFERROR(INDEX(January!$AK:$AK,MATCH($A47,January!$A:$A,0)),0)+IFERROR(INDEX(February!$AH:$AH,MATCH($A47,February!$A:$A,0)),0)+IFERROR(INDEX(March!$AK:$AK,MATCH($A47,March!$A:$A,0)),0)+IFERROR(INDEX(April!$AJ:$AJ,MATCH($A47,April!$A:$A,0)),0)+IFERROR(INDEX(May!$AK:$AK,MATCH($A47,May!$A:$A,0)),0)+IFERROR(INDEX(June!$AJ:$AJ,MATCH($A47,June!$A:$A,0)),0)+IFERROR(INDEX(July!$AK:$AK,MATCH($A47,July!$A:$A,0)),0)+IFERROR(INDEX(August!$AK:$AK,MATCH($A47,August!$A:$A,0)),0)+IFERROR(INDEX(September!$AJ:$AJ,MATCH($A47,September!$A:$A,0)),0)+IFERROR(INDEX(October!$AK:$AK,MATCH($A47,October!$A:$A,0)),0)+IFERROR(INDEX(November!$AJ:$AJ,MATCH($A47,November!$A:$A,0)),0)+IFERROR(INDEX(December!$AK:$AK,MATCH($A47,December!$A:$A,0)),0)</f>
        <v>36</v>
      </c>
      <c r="AA47" s="51">
        <f t="shared" si="12"/>
        <v>55.5</v>
      </c>
      <c r="AB47" s="55">
        <v>17</v>
      </c>
      <c r="AC47" s="56">
        <f t="shared" si="13"/>
        <v>72.5</v>
      </c>
      <c r="AD47" s="57"/>
      <c r="AE47" s="58">
        <f t="shared" si="14"/>
        <v>72.5</v>
      </c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</row>
    <row r="48" spans="1:49" ht="22" customHeight="1" x14ac:dyDescent="0.35">
      <c r="A48" s="8" t="s">
        <v>121</v>
      </c>
      <c r="B48" s="8" t="s">
        <v>122</v>
      </c>
      <c r="C48" s="8" t="s">
        <v>104</v>
      </c>
      <c r="D48" s="10">
        <v>28</v>
      </c>
      <c r="E48" s="10">
        <v>26</v>
      </c>
      <c r="F48" s="10">
        <v>26</v>
      </c>
      <c r="G48" s="11">
        <v>3</v>
      </c>
      <c r="H48" s="11">
        <v>16</v>
      </c>
      <c r="I48" s="10">
        <v>21</v>
      </c>
      <c r="J48" s="10">
        <v>29</v>
      </c>
      <c r="K48" s="10">
        <v>28</v>
      </c>
      <c r="L48" s="10">
        <v>26</v>
      </c>
      <c r="M48" s="10">
        <v>30</v>
      </c>
      <c r="N48" s="11">
        <v>15</v>
      </c>
      <c r="O48" s="11">
        <v>9</v>
      </c>
      <c r="P48" s="8">
        <f>IFERROR(INDEX(January!$AI:$AI,MATCH($A48,January!$A:$A,0)),0)+IFERROR(INDEX(February!$AF:$AF,MATCH($A48,February!$A:$A,0)),0)+IFERROR(INDEX(March!$AI:$AI,MATCH($A48,March!$A:$A,0)),0)+IFERROR(INDEX(April!$AH:$AH,MATCH($A48,April!$A:$A,0)),0)+IFERROR(INDEX(May!$AI:$AI,MATCH($A48,May!$A:$A,0)),0)+IFERROR(INDEX(June!$AH:$AH,MATCH($A48,June!$A:$A,0)),0)+IFERROR(INDEX(July!$AI:$AI,MATCH($A48,July!$A:$A,0)),0)+IFERROR(INDEX(August!$AI:$AI,MATCH($A48,August!$A:$A,0)),0)+IFERROR(INDEX(September!$AH:$AH,MATCH($A48,September!$A:$A,0)),0)+IFERROR(INDEX(October!$AI:$AI,MATCH($A48,October!$A:$A,0)),0)+IFERROR(INDEX(November!$AH:$AH,MATCH($A48,November!$A:$A,0)),0)+IFERROR(INDEX(December!$AI:$AI,MATCH($A48,December!$A:$A,0)),0)</f>
        <v>188</v>
      </c>
      <c r="Q48" s="8">
        <f>IFERROR(INDEX(January!$AJ:$AJ,MATCH($A48,January!$A:$A,0)),0)+IFERROR(INDEX(February!$AG:$AG,MATCH($A48,February!$A:$A,0)),0)+IFERROR(INDEX(March!$AJ:$AJ,MATCH($A48,March!$A:$A,0)),0)+IFERROR(INDEX(April!$AI:$AI,MATCH($A48,April!$A:$A,0)),0)+IFERROR(INDEX(May!$AJ:$AJ,MATCH($A48,May!$A:$A,0)),0)+IFERROR(INDEX(June!$AI:$AI,MATCH($A48,June!$A:$A,0)),0)+IFERROR(INDEX(July!$AJ:$AJ,MATCH($A48,July!$A:$A,0)),0)+IFERROR(INDEX(August!$AJ:$AJ,MATCH($A48,August!$A:$A,0)),0)+IFERROR(INDEX(September!$AI:$AI,MATCH($A48,September!$A:$A,0)),0)+IFERROR(INDEX(October!$AJ:$AJ,MATCH($A48,October!$A:$A,0)),0)+IFERROR(INDEX(November!$AI:$AI,MATCH($A48,November!$A:$A,0)),0)+IFERROR(INDEX(December!$AJ:$AJ,MATCH($A48,December!$A:$A,0)),0)</f>
        <v>73</v>
      </c>
      <c r="R48" s="8">
        <f>IFERROR(INDEX(January!$AK:$AK,MATCH($A48,January!$A:$A,0)),0)+IFERROR(INDEX(February!$AH:$AH,MATCH($A48,February!$A:$A,0)),0)+IFERROR(INDEX(March!$AK:$AK,MATCH($A48,March!$A:$A,0)),0)+IFERROR(INDEX(April!$AJ:$AJ,MATCH($A48,April!$A:$A,0)),0)+IFERROR(INDEX(May!$AK:$AK,MATCH($A48,May!$A:$A,0)),0)+IFERROR(INDEX(June!$AJ:$AJ,MATCH($A48,June!$A:$A,0)),0)+IFERROR(INDEX(July!$AK:$AK,MATCH($A48,July!$A:$A,0)),0)+IFERROR(INDEX(August!$AK:$AK,MATCH($A48,August!$A:$A,0)),0)+IFERROR(INDEX(September!$AJ:$AJ,MATCH($A48,September!$A:$A,0)),0)+IFERROR(INDEX(October!$AK:$AK,MATCH($A48,October!$A:$A,0)),0)+IFERROR(INDEX(November!$AJ:$AJ,MATCH($A48,November!$A:$A,0)),0)+IFERROR(INDEX(December!$AK:$AK,MATCH($A48,December!$A:$A,0)),0)</f>
        <v>32</v>
      </c>
      <c r="S48" s="35">
        <f t="shared" si="10"/>
        <v>0.72030651340996166</v>
      </c>
      <c r="T48" s="38"/>
      <c r="U48" s="51">
        <f>IFERROR(INDEX(January!$AQ:$AQ,MATCH($A48,January!$A:$A,0)),0)+IFERROR(INDEX(February!$AN:$AN,MATCH($A48,February!$A:$A,0)),0)+IFERROR(INDEX(March!$AQ:$AQ,MATCH($A48,March!$A:$A,0)),0)+IFERROR(INDEX(April!$AP:$AP,MATCH($A48,April!$A:$A,0)),0)+IFERROR(INDEX(May!$AQ:$AQ,MATCH($A48,May!$A:$A,0)),0)+IFERROR(INDEX(June!$AP:$AP,MATCH($A48,June!$A:$A,0)),0)+IFERROR(INDEX(July!$AQ:$AQ,MATCH($A48,July!$A:$A,0)),0)+IFERROR(INDEX(August!$AQ:$AQ,MATCH($A48,August!$A:$A,0)),0)+IFERROR(INDEX(September!$AP:$AP,MATCH($A48,September!$A:$A,0)),0)+IFERROR(INDEX(October!$AQ:$AQ,MATCH($A48,October!$A:$A,0)),0)+IFERROR(INDEX(November!$AP:$AP,MATCH($A48,November!$A:$A,0)),0)+IFERROR(INDEX(December!$AQ:$AQ,MATCH($A48,December!$A:$A,0)),0)</f>
        <v>236.5</v>
      </c>
      <c r="V48" s="52">
        <f>IFERROR(INDEX(January!$AJ:$AJ,MATCH($A48,January!$A:$A,0)),0)+IFERROR(INDEX(February!$AG:$AG,MATCH($A48,February!$A:$A,0)),0)+IFERROR(INDEX(March!$AJ:$AJ,MATCH($A48,March!$A:$A,0)),0)+IFERROR(INDEX(April!$AI:$AI,MATCH($A48,April!$A:$A,0)),0)+IFERROR(INDEX(May!$AJ:$AJ,MATCH($A48,May!$A:$A,0)),0)+IFERROR(INDEX(June!$AI:$AI,MATCH($A48,June!$A:$A,0)),0)+IFERROR(INDEX(July!$AJ:$AJ,MATCH($A48,July!$A:$A,0)),0)+IFERROR(INDEX(August!$AJ:$AJ,MATCH($A48,August!$A:$A,0)),0)+IFERROR(INDEX(September!$AI:$AI,MATCH($A48,September!$A:$A,0)),0)+IFERROR(INDEX(October!$AJ:$AJ,MATCH($A48,October!$A:$A,0)),0)+IFERROR(INDEX(November!$AI:$AI,MATCH($A48,November!$A:$A,0)),0)+IFERROR(INDEX(December!$AJ:$AJ,MATCH($A48,December!$A:$A,0)),0)</f>
        <v>73</v>
      </c>
      <c r="W48" s="53">
        <f>IFERROR(INDEX(January!$AO:$AO,MATCH($A48,January!$A:$A,0)),0)+IFERROR(INDEX(February!$AL:$AL,MATCH($A48,February!$A:$A,0)),0)+IFERROR(INDEX(March!$AO:$AO,MATCH($A48,March!$A:$A,0)),0)+IFERROR(INDEX(April!$AN:$AN,MATCH($A48,April!$A:$A,0)),0)+IFERROR(INDEX(May!$AO:$AO,MATCH($A48,May!$A:$A,0)),0)+IFERROR(INDEX(June!$AN:$AN,MATCH($A48,June!$A:$A,0)),0)+IFERROR(INDEX(July!$AO:$AO,MATCH($A48,July!$A:$A,0)),0)+IFERROR(INDEX(August!$AO:$AO,MATCH($A48,August!$A:$A,0)),0)+IFERROR(INDEX(September!$AN:$AN,MATCH($A48,September!$A:$A,0)),0)+IFERROR(INDEX(October!$AO:$AO,MATCH($A48,October!$A:$A,0)),0)+IFERROR(INDEX(November!$AN:$AN,MATCH($A48,November!$A:$A,0)),0)+IFERROR(INDEX(December!$AO:$AO,MATCH($A48,December!$A:$A,0)),0)</f>
        <v>4</v>
      </c>
      <c r="X48" s="53">
        <f t="shared" si="11"/>
        <v>2</v>
      </c>
      <c r="Y48" s="53">
        <f>(IFERROR(INDEX(January!$AL:$AL,MATCH($A48,January!$A:$A,0)),0)+IFERROR(INDEX(February!$AI:$AI,MATCH($A48,February!$A:$A,0)),0)+IFERROR(INDEX(March!$AL:$AL,MATCH($A48,March!$A:$A,0)),0)+IFERROR(INDEX(April!$AK:$AK,MATCH($A48,April!$A:$A,0)),0)+IFERROR(INDEX(May!$AL:$AL,MATCH($A48,May!$A:$A,0)),0)+IFERROR(INDEX(June!$AK:$AK,MATCH($A48,June!$A:$A,0)),0)+IFERROR(INDEX(July!$AL:$AL,MATCH($A48,July!$A:$A,0)),0)+IFERROR(INDEX(August!$AL:$AL,MATCH($A48,August!$A:$A,0)),0)+IFERROR(INDEX(September!$AK:$AK,MATCH($A48,September!$A:$A,0)),0)+IFERROR(INDEX(October!$AL:$AL,MATCH($A48,October!$A:$A,0)),0)+IFERROR(INDEX(November!$AK:$AK,MATCH($A48,November!$A:$A,0)),0)+IFERROR(INDEX(December!$AL:$AL,MATCH($A48,December!$A:$A,0)),0))*0.5</f>
        <v>18.5</v>
      </c>
      <c r="Z48" s="54">
        <f>IFERROR(INDEX(January!$AK:$AK,MATCH($A48,January!$A:$A,0)),0)+IFERROR(INDEX(February!$AH:$AH,MATCH($A48,February!$A:$A,0)),0)+IFERROR(INDEX(March!$AK:$AK,MATCH($A48,March!$A:$A,0)),0)+IFERROR(INDEX(April!$AJ:$AJ,MATCH($A48,April!$A:$A,0)),0)+IFERROR(INDEX(May!$AK:$AK,MATCH($A48,May!$A:$A,0)),0)+IFERROR(INDEX(June!$AJ:$AJ,MATCH($A48,June!$A:$A,0)),0)+IFERROR(INDEX(July!$AK:$AK,MATCH($A48,July!$A:$A,0)),0)+IFERROR(INDEX(August!$AK:$AK,MATCH($A48,August!$A:$A,0)),0)+IFERROR(INDEX(September!$AJ:$AJ,MATCH($A48,September!$A:$A,0)),0)+IFERROR(INDEX(October!$AK:$AK,MATCH($A48,October!$A:$A,0)),0)+IFERROR(INDEX(November!$AJ:$AJ,MATCH($A48,November!$A:$A,0)),0)+IFERROR(INDEX(December!$AK:$AK,MATCH($A48,December!$A:$A,0)),0)</f>
        <v>32</v>
      </c>
      <c r="AA48" s="51">
        <f t="shared" si="12"/>
        <v>50.5</v>
      </c>
      <c r="AB48" s="55">
        <v>17</v>
      </c>
      <c r="AC48" s="56">
        <f t="shared" si="13"/>
        <v>67.5</v>
      </c>
      <c r="AD48" s="57"/>
      <c r="AE48" s="58">
        <f t="shared" si="14"/>
        <v>67.5</v>
      </c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</row>
    <row r="49" spans="1:49" ht="22" customHeight="1" x14ac:dyDescent="0.35">
      <c r="A49" s="8" t="s">
        <v>123</v>
      </c>
      <c r="B49" s="8" t="s">
        <v>124</v>
      </c>
      <c r="C49" s="8" t="s">
        <v>104</v>
      </c>
      <c r="D49" s="10">
        <v>30</v>
      </c>
      <c r="E49" s="10">
        <v>28</v>
      </c>
      <c r="F49" s="10">
        <v>26</v>
      </c>
      <c r="G49" s="11">
        <v>17</v>
      </c>
      <c r="H49" s="10">
        <v>27</v>
      </c>
      <c r="I49" s="10">
        <v>29</v>
      </c>
      <c r="J49" s="10">
        <v>31</v>
      </c>
      <c r="K49" s="10">
        <v>27</v>
      </c>
      <c r="L49" s="10">
        <v>28</v>
      </c>
      <c r="M49" s="10">
        <v>29</v>
      </c>
      <c r="N49" s="11">
        <v>15</v>
      </c>
      <c r="O49" s="10">
        <v>25</v>
      </c>
      <c r="P49" s="8">
        <f>IFERROR(INDEX(January!$AI:$AI,MATCH($A49,January!$A:$A,0)),0)+IFERROR(INDEX(February!$AF:$AF,MATCH($A49,February!$A:$A,0)),0)+IFERROR(INDEX(March!$AI:$AI,MATCH($A49,March!$A:$A,0)),0)+IFERROR(INDEX(April!$AH:$AH,MATCH($A49,April!$A:$A,0)),0)+IFERROR(INDEX(May!$AI:$AI,MATCH($A49,May!$A:$A,0)),0)+IFERROR(INDEX(June!$AH:$AH,MATCH($A49,June!$A:$A,0)),0)+IFERROR(INDEX(July!$AI:$AI,MATCH($A49,July!$A:$A,0)),0)+IFERROR(INDEX(August!$AI:$AI,MATCH($A49,August!$A:$A,0)),0)+IFERROR(INDEX(September!$AH:$AH,MATCH($A49,September!$A:$A,0)),0)+IFERROR(INDEX(October!$AI:$AI,MATCH($A49,October!$A:$A,0)),0)+IFERROR(INDEX(November!$AH:$AH,MATCH($A49,November!$A:$A,0)),0)+IFERROR(INDEX(December!$AI:$AI,MATCH($A49,December!$A:$A,0)),0)</f>
        <v>230</v>
      </c>
      <c r="Q49" s="8">
        <f>IFERROR(INDEX(January!$AJ:$AJ,MATCH($A49,January!$A:$A,0)),0)+IFERROR(INDEX(February!$AG:$AG,MATCH($A49,February!$A:$A,0)),0)+IFERROR(INDEX(March!$AJ:$AJ,MATCH($A49,March!$A:$A,0)),0)+IFERROR(INDEX(April!$AI:$AI,MATCH($A49,April!$A:$A,0)),0)+IFERROR(INDEX(May!$AJ:$AJ,MATCH($A49,May!$A:$A,0)),0)+IFERROR(INDEX(June!$AI:$AI,MATCH($A49,June!$A:$A,0)),0)+IFERROR(INDEX(July!$AJ:$AJ,MATCH($A49,July!$A:$A,0)),0)+IFERROR(INDEX(August!$AJ:$AJ,MATCH($A49,August!$A:$A,0)),0)+IFERROR(INDEX(September!$AI:$AI,MATCH($A49,September!$A:$A,0)),0)+IFERROR(INDEX(October!$AJ:$AJ,MATCH($A49,October!$A:$A,0)),0)+IFERROR(INDEX(November!$AI:$AI,MATCH($A49,November!$A:$A,0)),0)+IFERROR(INDEX(December!$AJ:$AJ,MATCH($A49,December!$A:$A,0)),0)</f>
        <v>31</v>
      </c>
      <c r="R49" s="8">
        <f>IFERROR(INDEX(January!$AK:$AK,MATCH($A49,January!$A:$A,0)),0)+IFERROR(INDEX(February!$AH:$AH,MATCH($A49,February!$A:$A,0)),0)+IFERROR(INDEX(March!$AK:$AK,MATCH($A49,March!$A:$A,0)),0)+IFERROR(INDEX(April!$AJ:$AJ,MATCH($A49,April!$A:$A,0)),0)+IFERROR(INDEX(May!$AK:$AK,MATCH($A49,May!$A:$A,0)),0)+IFERROR(INDEX(June!$AJ:$AJ,MATCH($A49,June!$A:$A,0)),0)+IFERROR(INDEX(July!$AK:$AK,MATCH($A49,July!$A:$A,0)),0)+IFERROR(INDEX(August!$AK:$AK,MATCH($A49,August!$A:$A,0)),0)+IFERROR(INDEX(September!$AJ:$AJ,MATCH($A49,September!$A:$A,0)),0)+IFERROR(INDEX(October!$AK:$AK,MATCH($A49,October!$A:$A,0)),0)+IFERROR(INDEX(November!$AJ:$AJ,MATCH($A49,November!$A:$A,0)),0)+IFERROR(INDEX(December!$AK:$AK,MATCH($A49,December!$A:$A,0)),0)</f>
        <v>38</v>
      </c>
      <c r="S49" s="35">
        <f t="shared" si="10"/>
        <v>0.88122605363984674</v>
      </c>
      <c r="T49" s="38"/>
      <c r="U49" s="51">
        <f>IFERROR(INDEX(January!$AQ:$AQ,MATCH($A49,January!$A:$A,0)),0)+IFERROR(INDEX(February!$AN:$AN,MATCH($A49,February!$A:$A,0)),0)+IFERROR(INDEX(March!$AQ:$AQ,MATCH($A49,March!$A:$A,0)),0)+IFERROR(INDEX(April!$AP:$AP,MATCH($A49,April!$A:$A,0)),0)+IFERROR(INDEX(May!$AQ:$AQ,MATCH($A49,May!$A:$A,0)),0)+IFERROR(INDEX(June!$AP:$AP,MATCH($A49,June!$A:$A,0)),0)+IFERROR(INDEX(July!$AQ:$AQ,MATCH($A49,July!$A:$A,0)),0)+IFERROR(INDEX(August!$AQ:$AQ,MATCH($A49,August!$A:$A,0)),0)+IFERROR(INDEX(September!$AP:$AP,MATCH($A49,September!$A:$A,0)),0)+IFERROR(INDEX(October!$AQ:$AQ,MATCH($A49,October!$A:$A,0)),0)+IFERROR(INDEX(November!$AP:$AP,MATCH($A49,November!$A:$A,0)),0)+IFERROR(INDEX(December!$AQ:$AQ,MATCH($A49,December!$A:$A,0)),0)</f>
        <v>288</v>
      </c>
      <c r="V49" s="52">
        <f>IFERROR(INDEX(January!$AJ:$AJ,MATCH($A49,January!$A:$A,0)),0)+IFERROR(INDEX(February!$AG:$AG,MATCH($A49,February!$A:$A,0)),0)+IFERROR(INDEX(March!$AJ:$AJ,MATCH($A49,March!$A:$A,0)),0)+IFERROR(INDEX(April!$AI:$AI,MATCH($A49,April!$A:$A,0)),0)+IFERROR(INDEX(May!$AJ:$AJ,MATCH($A49,May!$A:$A,0)),0)+IFERROR(INDEX(June!$AI:$AI,MATCH($A49,June!$A:$A,0)),0)+IFERROR(INDEX(July!$AJ:$AJ,MATCH($A49,July!$A:$A,0)),0)+IFERROR(INDEX(August!$AJ:$AJ,MATCH($A49,August!$A:$A,0)),0)+IFERROR(INDEX(September!$AI:$AI,MATCH($A49,September!$A:$A,0)),0)+IFERROR(INDEX(October!$AJ:$AJ,MATCH($A49,October!$A:$A,0)),0)+IFERROR(INDEX(November!$AI:$AI,MATCH($A49,November!$A:$A,0)),0)+IFERROR(INDEX(December!$AJ:$AJ,MATCH($A49,December!$A:$A,0)),0)</f>
        <v>31</v>
      </c>
      <c r="W49" s="53">
        <f>IFERROR(INDEX(January!$AO:$AO,MATCH($A49,January!$A:$A,0)),0)+IFERROR(INDEX(February!$AL:$AL,MATCH($A49,February!$A:$A,0)),0)+IFERROR(INDEX(March!$AO:$AO,MATCH($A49,March!$A:$A,0)),0)+IFERROR(INDEX(April!$AN:$AN,MATCH($A49,April!$A:$A,0)),0)+IFERROR(INDEX(May!$AO:$AO,MATCH($A49,May!$A:$A,0)),0)+IFERROR(INDEX(June!$AN:$AN,MATCH($A49,June!$A:$A,0)),0)+IFERROR(INDEX(July!$AO:$AO,MATCH($A49,July!$A:$A,0)),0)+IFERROR(INDEX(August!$AO:$AO,MATCH($A49,August!$A:$A,0)),0)+IFERROR(INDEX(September!$AN:$AN,MATCH($A49,September!$A:$A,0)),0)+IFERROR(INDEX(October!$AO:$AO,MATCH($A49,October!$A:$A,0)),0)+IFERROR(INDEX(November!$AN:$AN,MATCH($A49,November!$A:$A,0)),0)+IFERROR(INDEX(December!$AO:$AO,MATCH($A49,December!$A:$A,0)),0)</f>
        <v>4</v>
      </c>
      <c r="X49" s="53">
        <f t="shared" si="11"/>
        <v>2</v>
      </c>
      <c r="Y49" s="53">
        <f>(IFERROR(INDEX(January!$AL:$AL,MATCH($A49,January!$A:$A,0)),0)+IFERROR(INDEX(February!$AI:$AI,MATCH($A49,February!$A:$A,0)),0)+IFERROR(INDEX(March!$AL:$AL,MATCH($A49,March!$A:$A,0)),0)+IFERROR(INDEX(April!$AK:$AK,MATCH($A49,April!$A:$A,0)),0)+IFERROR(INDEX(May!$AL:$AL,MATCH($A49,May!$A:$A,0)),0)+IFERROR(INDEX(June!$AK:$AK,MATCH($A49,June!$A:$A,0)),0)+IFERROR(INDEX(July!$AL:$AL,MATCH($A49,July!$A:$A,0)),0)+IFERROR(INDEX(August!$AL:$AL,MATCH($A49,August!$A:$A,0)),0)+IFERROR(INDEX(September!$AK:$AK,MATCH($A49,September!$A:$A,0)),0)+IFERROR(INDEX(October!$AL:$AL,MATCH($A49,October!$A:$A,0)),0)+IFERROR(INDEX(November!$AK:$AK,MATCH($A49,November!$A:$A,0)),0)+IFERROR(INDEX(December!$AL:$AL,MATCH($A49,December!$A:$A,0)),0))*0.5</f>
        <v>22</v>
      </c>
      <c r="Z49" s="54">
        <f>IFERROR(INDEX(January!$AK:$AK,MATCH($A49,January!$A:$A,0)),0)+IFERROR(INDEX(February!$AH:$AH,MATCH($A49,February!$A:$A,0)),0)+IFERROR(INDEX(March!$AK:$AK,MATCH($A49,March!$A:$A,0)),0)+IFERROR(INDEX(April!$AJ:$AJ,MATCH($A49,April!$A:$A,0)),0)+IFERROR(INDEX(May!$AK:$AK,MATCH($A49,May!$A:$A,0)),0)+IFERROR(INDEX(June!$AJ:$AJ,MATCH($A49,June!$A:$A,0)),0)+IFERROR(INDEX(July!$AK:$AK,MATCH($A49,July!$A:$A,0)),0)+IFERROR(INDEX(August!$AK:$AK,MATCH($A49,August!$A:$A,0)),0)+IFERROR(INDEX(September!$AJ:$AJ,MATCH($A49,September!$A:$A,0)),0)+IFERROR(INDEX(October!$AK:$AK,MATCH($A49,October!$A:$A,0)),0)+IFERROR(INDEX(November!$AJ:$AJ,MATCH($A49,November!$A:$A,0)),0)+IFERROR(INDEX(December!$AK:$AK,MATCH($A49,December!$A:$A,0)),0)</f>
        <v>38</v>
      </c>
      <c r="AA49" s="51">
        <f t="shared" si="12"/>
        <v>60</v>
      </c>
      <c r="AB49" s="55">
        <v>17</v>
      </c>
      <c r="AC49" s="56">
        <f t="shared" si="13"/>
        <v>77</v>
      </c>
      <c r="AD49" s="57"/>
      <c r="AE49" s="58">
        <f t="shared" si="14"/>
        <v>77</v>
      </c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</row>
    <row r="50" spans="1:49" ht="22" customHeight="1" x14ac:dyDescent="0.35">
      <c r="A50" s="8" t="s">
        <v>125</v>
      </c>
      <c r="B50" s="8" t="s">
        <v>126</v>
      </c>
      <c r="C50" s="8" t="s">
        <v>104</v>
      </c>
      <c r="D50" s="10">
        <v>28</v>
      </c>
      <c r="E50" s="11">
        <v>19</v>
      </c>
      <c r="F50" s="10">
        <v>31</v>
      </c>
      <c r="G50" s="10">
        <v>20</v>
      </c>
      <c r="H50" s="10">
        <v>28</v>
      </c>
      <c r="I50" s="10">
        <v>28</v>
      </c>
      <c r="J50" s="10">
        <v>31</v>
      </c>
      <c r="K50" s="10">
        <v>31</v>
      </c>
      <c r="L50" s="10">
        <v>27</v>
      </c>
      <c r="M50" s="11">
        <v>11</v>
      </c>
      <c r="N50" s="11">
        <v>17</v>
      </c>
      <c r="O50" s="10">
        <v>24</v>
      </c>
      <c r="P50" s="8">
        <f>IFERROR(INDEX(January!$AI:$AI,MATCH($A50,January!$A:$A,0)),0)+IFERROR(INDEX(February!$AF:$AF,MATCH($A50,February!$A:$A,0)),0)+IFERROR(INDEX(March!$AI:$AI,MATCH($A50,March!$A:$A,0)),0)+IFERROR(INDEX(April!$AH:$AH,MATCH($A50,April!$A:$A,0)),0)+IFERROR(INDEX(May!$AI:$AI,MATCH($A50,May!$A:$A,0)),0)+IFERROR(INDEX(June!$AH:$AH,MATCH($A50,June!$A:$A,0)),0)+IFERROR(INDEX(July!$AI:$AI,MATCH($A50,July!$A:$A,0)),0)+IFERROR(INDEX(August!$AI:$AI,MATCH($A50,August!$A:$A,0)),0)+IFERROR(INDEX(September!$AH:$AH,MATCH($A50,September!$A:$A,0)),0)+IFERROR(INDEX(October!$AI:$AI,MATCH($A50,October!$A:$A,0)),0)+IFERROR(INDEX(November!$AH:$AH,MATCH($A50,November!$A:$A,0)),0)+IFERROR(INDEX(December!$AI:$AI,MATCH($A50,December!$A:$A,0)),0)</f>
        <v>216</v>
      </c>
      <c r="Q50" s="8">
        <f>IFERROR(INDEX(January!$AJ:$AJ,MATCH($A50,January!$A:$A,0)),0)+IFERROR(INDEX(February!$AG:$AG,MATCH($A50,February!$A:$A,0)),0)+IFERROR(INDEX(March!$AJ:$AJ,MATCH($A50,March!$A:$A,0)),0)+IFERROR(INDEX(April!$AI:$AI,MATCH($A50,April!$A:$A,0)),0)+IFERROR(INDEX(May!$AJ:$AJ,MATCH($A50,May!$A:$A,0)),0)+IFERROR(INDEX(June!$AI:$AI,MATCH($A50,June!$A:$A,0)),0)+IFERROR(INDEX(July!$AJ:$AJ,MATCH($A50,July!$A:$A,0)),0)+IFERROR(INDEX(August!$AJ:$AJ,MATCH($A50,August!$A:$A,0)),0)+IFERROR(INDEX(September!$AI:$AI,MATCH($A50,September!$A:$A,0)),0)+IFERROR(INDEX(October!$AJ:$AJ,MATCH($A50,October!$A:$A,0)),0)+IFERROR(INDEX(November!$AI:$AI,MATCH($A50,November!$A:$A,0)),0)+IFERROR(INDEX(December!$AJ:$AJ,MATCH($A50,December!$A:$A,0)),0)</f>
        <v>45</v>
      </c>
      <c r="R50" s="8">
        <f>IFERROR(INDEX(January!$AK:$AK,MATCH($A50,January!$A:$A,0)),0)+IFERROR(INDEX(February!$AH:$AH,MATCH($A50,February!$A:$A,0)),0)+IFERROR(INDEX(March!$AK:$AK,MATCH($A50,March!$A:$A,0)),0)+IFERROR(INDEX(April!$AJ:$AJ,MATCH($A50,April!$A:$A,0)),0)+IFERROR(INDEX(May!$AK:$AK,MATCH($A50,May!$A:$A,0)),0)+IFERROR(INDEX(June!$AJ:$AJ,MATCH($A50,June!$A:$A,0)),0)+IFERROR(INDEX(July!$AK:$AK,MATCH($A50,July!$A:$A,0)),0)+IFERROR(INDEX(August!$AK:$AK,MATCH($A50,August!$A:$A,0)),0)+IFERROR(INDEX(September!$AJ:$AJ,MATCH($A50,September!$A:$A,0)),0)+IFERROR(INDEX(October!$AK:$AK,MATCH($A50,October!$A:$A,0)),0)+IFERROR(INDEX(November!$AJ:$AJ,MATCH($A50,November!$A:$A,0)),0)+IFERROR(INDEX(December!$AK:$AK,MATCH($A50,December!$A:$A,0)),0)</f>
        <v>39</v>
      </c>
      <c r="S50" s="35">
        <f t="shared" si="10"/>
        <v>0.82758620689655171</v>
      </c>
      <c r="T50" s="38"/>
      <c r="U50" s="51">
        <f>IFERROR(INDEX(January!$AQ:$AQ,MATCH($A50,January!$A:$A,0)),0)+IFERROR(INDEX(February!$AN:$AN,MATCH($A50,February!$A:$A,0)),0)+IFERROR(INDEX(March!$AQ:$AQ,MATCH($A50,March!$A:$A,0)),0)+IFERROR(INDEX(April!$AP:$AP,MATCH($A50,April!$A:$A,0)),0)+IFERROR(INDEX(May!$AQ:$AQ,MATCH($A50,May!$A:$A,0)),0)+IFERROR(INDEX(June!$AP:$AP,MATCH($A50,June!$A:$A,0)),0)+IFERROR(INDEX(July!$AQ:$AQ,MATCH($A50,July!$A:$A,0)),0)+IFERROR(INDEX(August!$AQ:$AQ,MATCH($A50,August!$A:$A,0)),0)+IFERROR(INDEX(September!$AP:$AP,MATCH($A50,September!$A:$A,0)),0)+IFERROR(INDEX(October!$AQ:$AQ,MATCH($A50,October!$A:$A,0)),0)+IFERROR(INDEX(November!$AP:$AP,MATCH($A50,November!$A:$A,0)),0)+IFERROR(INDEX(December!$AQ:$AQ,MATCH($A50,December!$A:$A,0)),0)</f>
        <v>274</v>
      </c>
      <c r="V50" s="52">
        <f>IFERROR(INDEX(January!$AJ:$AJ,MATCH($A50,January!$A:$A,0)),0)+IFERROR(INDEX(February!$AG:$AG,MATCH($A50,February!$A:$A,0)),0)+IFERROR(INDEX(March!$AJ:$AJ,MATCH($A50,March!$A:$A,0)),0)+IFERROR(INDEX(April!$AI:$AI,MATCH($A50,April!$A:$A,0)),0)+IFERROR(INDEX(May!$AJ:$AJ,MATCH($A50,May!$A:$A,0)),0)+IFERROR(INDEX(June!$AI:$AI,MATCH($A50,June!$A:$A,0)),0)+IFERROR(INDEX(July!$AJ:$AJ,MATCH($A50,July!$A:$A,0)),0)+IFERROR(INDEX(August!$AJ:$AJ,MATCH($A50,August!$A:$A,0)),0)+IFERROR(INDEX(September!$AI:$AI,MATCH($A50,September!$A:$A,0)),0)+IFERROR(INDEX(October!$AJ:$AJ,MATCH($A50,October!$A:$A,0)),0)+IFERROR(INDEX(November!$AI:$AI,MATCH($A50,November!$A:$A,0)),0)+IFERROR(INDEX(December!$AJ:$AJ,MATCH($A50,December!$A:$A,0)),0)</f>
        <v>45</v>
      </c>
      <c r="W50" s="53">
        <f>IFERROR(INDEX(January!$AO:$AO,MATCH($A50,January!$A:$A,0)),0)+IFERROR(INDEX(February!$AL:$AL,MATCH($A50,February!$A:$A,0)),0)+IFERROR(INDEX(March!$AO:$AO,MATCH($A50,March!$A:$A,0)),0)+IFERROR(INDEX(April!$AN:$AN,MATCH($A50,April!$A:$A,0)),0)+IFERROR(INDEX(May!$AO:$AO,MATCH($A50,May!$A:$A,0)),0)+IFERROR(INDEX(June!$AN:$AN,MATCH($A50,June!$A:$A,0)),0)+IFERROR(INDEX(July!$AO:$AO,MATCH($A50,July!$A:$A,0)),0)+IFERROR(INDEX(August!$AO:$AO,MATCH($A50,August!$A:$A,0)),0)+IFERROR(INDEX(September!$AN:$AN,MATCH($A50,September!$A:$A,0)),0)+IFERROR(INDEX(October!$AO:$AO,MATCH($A50,October!$A:$A,0)),0)+IFERROR(INDEX(November!$AN:$AN,MATCH($A50,November!$A:$A,0)),0)+IFERROR(INDEX(December!$AO:$AO,MATCH($A50,December!$A:$A,0)),0)</f>
        <v>2</v>
      </c>
      <c r="X50" s="53">
        <f t="shared" si="11"/>
        <v>1</v>
      </c>
      <c r="Y50" s="53">
        <f>(IFERROR(INDEX(January!$AL:$AL,MATCH($A50,January!$A:$A,0)),0)+IFERROR(INDEX(February!$AI:$AI,MATCH($A50,February!$A:$A,0)),0)+IFERROR(INDEX(March!$AL:$AL,MATCH($A50,March!$A:$A,0)),0)+IFERROR(INDEX(April!$AK:$AK,MATCH($A50,April!$A:$A,0)),0)+IFERROR(INDEX(May!$AL:$AL,MATCH($A50,May!$A:$A,0)),0)+IFERROR(INDEX(June!$AK:$AK,MATCH($A50,June!$A:$A,0)),0)+IFERROR(INDEX(July!$AL:$AL,MATCH($A50,July!$A:$A,0)),0)+IFERROR(INDEX(August!$AL:$AL,MATCH($A50,August!$A:$A,0)),0)+IFERROR(INDEX(September!$AK:$AK,MATCH($A50,September!$A:$A,0)),0)+IFERROR(INDEX(October!$AL:$AL,MATCH($A50,October!$A:$A,0)),0)+IFERROR(INDEX(November!$AK:$AK,MATCH($A50,November!$A:$A,0)),0)+IFERROR(INDEX(December!$AL:$AL,MATCH($A50,December!$A:$A,0)),0))*0.5</f>
        <v>20</v>
      </c>
      <c r="Z50" s="54">
        <f>IFERROR(INDEX(January!$AK:$AK,MATCH($A50,January!$A:$A,0)),0)+IFERROR(INDEX(February!$AH:$AH,MATCH($A50,February!$A:$A,0)),0)+IFERROR(INDEX(March!$AK:$AK,MATCH($A50,March!$A:$A,0)),0)+IFERROR(INDEX(April!$AJ:$AJ,MATCH($A50,April!$A:$A,0)),0)+IFERROR(INDEX(May!$AK:$AK,MATCH($A50,May!$A:$A,0)),0)+IFERROR(INDEX(June!$AJ:$AJ,MATCH($A50,June!$A:$A,0)),0)+IFERROR(INDEX(July!$AK:$AK,MATCH($A50,July!$A:$A,0)),0)+IFERROR(INDEX(August!$AK:$AK,MATCH($A50,August!$A:$A,0)),0)+IFERROR(INDEX(September!$AJ:$AJ,MATCH($A50,September!$A:$A,0)),0)+IFERROR(INDEX(October!$AK:$AK,MATCH($A50,October!$A:$A,0)),0)+IFERROR(INDEX(November!$AJ:$AJ,MATCH($A50,November!$A:$A,0)),0)+IFERROR(INDEX(December!$AK:$AK,MATCH($A50,December!$A:$A,0)),0)</f>
        <v>39</v>
      </c>
      <c r="AA50" s="51">
        <f t="shared" si="12"/>
        <v>59</v>
      </c>
      <c r="AB50" s="55">
        <v>17</v>
      </c>
      <c r="AC50" s="56">
        <f t="shared" si="13"/>
        <v>76</v>
      </c>
      <c r="AD50" s="57"/>
      <c r="AE50" s="58">
        <f t="shared" si="14"/>
        <v>76</v>
      </c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</row>
    <row r="51" spans="1:49" ht="22" customHeight="1" x14ac:dyDescent="0.35">
      <c r="A51" s="8" t="s">
        <v>127</v>
      </c>
      <c r="B51" s="8" t="s">
        <v>128</v>
      </c>
      <c r="C51" s="8" t="s">
        <v>104</v>
      </c>
      <c r="D51" s="11">
        <v>18</v>
      </c>
      <c r="E51" s="10">
        <v>24</v>
      </c>
      <c r="F51" s="11">
        <v>15</v>
      </c>
      <c r="G51" s="11">
        <v>10</v>
      </c>
      <c r="H51" s="11">
        <v>17</v>
      </c>
      <c r="I51" s="11">
        <v>18</v>
      </c>
      <c r="J51" s="10">
        <v>31</v>
      </c>
      <c r="K51" s="10">
        <v>27</v>
      </c>
      <c r="L51" s="10">
        <v>27</v>
      </c>
      <c r="M51" s="10">
        <v>31</v>
      </c>
      <c r="N51" s="10">
        <v>20</v>
      </c>
      <c r="O51" s="10">
        <v>30</v>
      </c>
      <c r="P51" s="8">
        <f>IFERROR(INDEX(January!$AI:$AI,MATCH($A51,January!$A:$A,0)),0)+IFERROR(INDEX(February!$AF:$AF,MATCH($A51,February!$A:$A,0)),0)+IFERROR(INDEX(March!$AI:$AI,MATCH($A51,March!$A:$A,0)),0)+IFERROR(INDEX(April!$AH:$AH,MATCH($A51,April!$A:$A,0)),0)+IFERROR(INDEX(May!$AI:$AI,MATCH($A51,May!$A:$A,0)),0)+IFERROR(INDEX(June!$AH:$AH,MATCH($A51,June!$A:$A,0)),0)+IFERROR(INDEX(July!$AI:$AI,MATCH($A51,July!$A:$A,0)),0)+IFERROR(INDEX(August!$AI:$AI,MATCH($A51,August!$A:$A,0)),0)+IFERROR(INDEX(September!$AH:$AH,MATCH($A51,September!$A:$A,0)),0)+IFERROR(INDEX(October!$AI:$AI,MATCH($A51,October!$A:$A,0)),0)+IFERROR(INDEX(November!$AH:$AH,MATCH($A51,November!$A:$A,0)),0)+IFERROR(INDEX(December!$AI:$AI,MATCH($A51,December!$A:$A,0)),0)</f>
        <v>191</v>
      </c>
      <c r="Q51" s="8">
        <f>IFERROR(INDEX(January!$AJ:$AJ,MATCH($A51,January!$A:$A,0)),0)+IFERROR(INDEX(February!$AG:$AG,MATCH($A51,February!$A:$A,0)),0)+IFERROR(INDEX(March!$AJ:$AJ,MATCH($A51,March!$A:$A,0)),0)+IFERROR(INDEX(April!$AI:$AI,MATCH($A51,April!$A:$A,0)),0)+IFERROR(INDEX(May!$AJ:$AJ,MATCH($A51,May!$A:$A,0)),0)+IFERROR(INDEX(June!$AI:$AI,MATCH($A51,June!$A:$A,0)),0)+IFERROR(INDEX(July!$AJ:$AJ,MATCH($A51,July!$A:$A,0)),0)+IFERROR(INDEX(August!$AJ:$AJ,MATCH($A51,August!$A:$A,0)),0)+IFERROR(INDEX(September!$AI:$AI,MATCH($A51,September!$A:$A,0)),0)+IFERROR(INDEX(October!$AJ:$AJ,MATCH($A51,October!$A:$A,0)),0)+IFERROR(INDEX(November!$AI:$AI,MATCH($A51,November!$A:$A,0)),0)+IFERROR(INDEX(December!$AJ:$AJ,MATCH($A51,December!$A:$A,0)),0)</f>
        <v>70</v>
      </c>
      <c r="R51" s="8">
        <f>IFERROR(INDEX(January!$AK:$AK,MATCH($A51,January!$A:$A,0)),0)+IFERROR(INDEX(February!$AH:$AH,MATCH($A51,February!$A:$A,0)),0)+IFERROR(INDEX(March!$AK:$AK,MATCH($A51,March!$A:$A,0)),0)+IFERROR(INDEX(April!$AJ:$AJ,MATCH($A51,April!$A:$A,0)),0)+IFERROR(INDEX(May!$AK:$AK,MATCH($A51,May!$A:$A,0)),0)+IFERROR(INDEX(June!$AJ:$AJ,MATCH($A51,June!$A:$A,0)),0)+IFERROR(INDEX(July!$AK:$AK,MATCH($A51,July!$A:$A,0)),0)+IFERROR(INDEX(August!$AK:$AK,MATCH($A51,August!$A:$A,0)),0)+IFERROR(INDEX(September!$AJ:$AJ,MATCH($A51,September!$A:$A,0)),0)+IFERROR(INDEX(October!$AK:$AK,MATCH($A51,October!$A:$A,0)),0)+IFERROR(INDEX(November!$AJ:$AJ,MATCH($A51,November!$A:$A,0)),0)+IFERROR(INDEX(December!$AK:$AK,MATCH($A51,December!$A:$A,0)),0)</f>
        <v>39</v>
      </c>
      <c r="S51" s="35">
        <f t="shared" si="10"/>
        <v>0.73180076628352486</v>
      </c>
      <c r="T51" s="38"/>
      <c r="U51" s="51">
        <f>IFERROR(INDEX(January!$AQ:$AQ,MATCH($A51,January!$A:$A,0)),0)+IFERROR(INDEX(February!$AN:$AN,MATCH($A51,February!$A:$A,0)),0)+IFERROR(INDEX(March!$AQ:$AQ,MATCH($A51,March!$A:$A,0)),0)+IFERROR(INDEX(April!$AP:$AP,MATCH($A51,April!$A:$A,0)),0)+IFERROR(INDEX(May!$AQ:$AQ,MATCH($A51,May!$A:$A,0)),0)+IFERROR(INDEX(June!$AP:$AP,MATCH($A51,June!$A:$A,0)),0)+IFERROR(INDEX(July!$AQ:$AQ,MATCH($A51,July!$A:$A,0)),0)+IFERROR(INDEX(August!$AQ:$AQ,MATCH($A51,August!$A:$A,0)),0)+IFERROR(INDEX(September!$AP:$AP,MATCH($A51,September!$A:$A,0)),0)+IFERROR(INDEX(October!$AQ:$AQ,MATCH($A51,October!$A:$A,0)),0)+IFERROR(INDEX(November!$AP:$AP,MATCH($A51,November!$A:$A,0)),0)+IFERROR(INDEX(December!$AQ:$AQ,MATCH($A51,December!$A:$A,0)),0)</f>
        <v>247</v>
      </c>
      <c r="V51" s="52">
        <f>IFERROR(INDEX(January!$AJ:$AJ,MATCH($A51,January!$A:$A,0)),0)+IFERROR(INDEX(February!$AG:$AG,MATCH($A51,February!$A:$A,0)),0)+IFERROR(INDEX(March!$AJ:$AJ,MATCH($A51,March!$A:$A,0)),0)+IFERROR(INDEX(April!$AI:$AI,MATCH($A51,April!$A:$A,0)),0)+IFERROR(INDEX(May!$AJ:$AJ,MATCH($A51,May!$A:$A,0)),0)+IFERROR(INDEX(June!$AI:$AI,MATCH($A51,June!$A:$A,0)),0)+IFERROR(INDEX(July!$AJ:$AJ,MATCH($A51,July!$A:$A,0)),0)+IFERROR(INDEX(August!$AJ:$AJ,MATCH($A51,August!$A:$A,0)),0)+IFERROR(INDEX(September!$AI:$AI,MATCH($A51,September!$A:$A,0)),0)+IFERROR(INDEX(October!$AJ:$AJ,MATCH($A51,October!$A:$A,0)),0)+IFERROR(INDEX(November!$AI:$AI,MATCH($A51,November!$A:$A,0)),0)+IFERROR(INDEX(December!$AJ:$AJ,MATCH($A51,December!$A:$A,0)),0)</f>
        <v>70</v>
      </c>
      <c r="W51" s="53">
        <f>IFERROR(INDEX(January!$AO:$AO,MATCH($A51,January!$A:$A,0)),0)+IFERROR(INDEX(February!$AL:$AL,MATCH($A51,February!$A:$A,0)),0)+IFERROR(INDEX(March!$AO:$AO,MATCH($A51,March!$A:$A,0)),0)+IFERROR(INDEX(April!$AN:$AN,MATCH($A51,April!$A:$A,0)),0)+IFERROR(INDEX(May!$AO:$AO,MATCH($A51,May!$A:$A,0)),0)+IFERROR(INDEX(June!$AN:$AN,MATCH($A51,June!$A:$A,0)),0)+IFERROR(INDEX(July!$AO:$AO,MATCH($A51,July!$A:$A,0)),0)+IFERROR(INDEX(August!$AO:$AO,MATCH($A51,August!$A:$A,0)),0)+IFERROR(INDEX(September!$AN:$AN,MATCH($A51,September!$A:$A,0)),0)+IFERROR(INDEX(October!$AO:$AO,MATCH($A51,October!$A:$A,0)),0)+IFERROR(INDEX(November!$AN:$AN,MATCH($A51,November!$A:$A,0)),0)+IFERROR(INDEX(December!$AO:$AO,MATCH($A51,December!$A:$A,0)),0)</f>
        <v>4</v>
      </c>
      <c r="X51" s="53">
        <f t="shared" si="11"/>
        <v>2</v>
      </c>
      <c r="Y51" s="53">
        <f>(IFERROR(INDEX(January!$AL:$AL,MATCH($A51,January!$A:$A,0)),0)+IFERROR(INDEX(February!$AI:$AI,MATCH($A51,February!$A:$A,0)),0)+IFERROR(INDEX(March!$AL:$AL,MATCH($A51,March!$A:$A,0)),0)+IFERROR(INDEX(April!$AK:$AK,MATCH($A51,April!$A:$A,0)),0)+IFERROR(INDEX(May!$AL:$AL,MATCH($A51,May!$A:$A,0)),0)+IFERROR(INDEX(June!$AK:$AK,MATCH($A51,June!$A:$A,0)),0)+IFERROR(INDEX(July!$AL:$AL,MATCH($A51,July!$A:$A,0)),0)+IFERROR(INDEX(August!$AL:$AL,MATCH($A51,August!$A:$A,0)),0)+IFERROR(INDEX(September!$AK:$AK,MATCH($A51,September!$A:$A,0)),0)+IFERROR(INDEX(October!$AL:$AL,MATCH($A51,October!$A:$A,0)),0)+IFERROR(INDEX(November!$AK:$AK,MATCH($A51,November!$A:$A,0)),0)+IFERROR(INDEX(December!$AL:$AL,MATCH($A51,December!$A:$A,0)),0))*0.5</f>
        <v>19</v>
      </c>
      <c r="Z51" s="54">
        <f>IFERROR(INDEX(January!$AK:$AK,MATCH($A51,January!$A:$A,0)),0)+IFERROR(INDEX(February!$AH:$AH,MATCH($A51,February!$A:$A,0)),0)+IFERROR(INDEX(March!$AK:$AK,MATCH($A51,March!$A:$A,0)),0)+IFERROR(INDEX(April!$AJ:$AJ,MATCH($A51,April!$A:$A,0)),0)+IFERROR(INDEX(May!$AK:$AK,MATCH($A51,May!$A:$A,0)),0)+IFERROR(INDEX(June!$AJ:$AJ,MATCH($A51,June!$A:$A,0)),0)+IFERROR(INDEX(July!$AK:$AK,MATCH($A51,July!$A:$A,0)),0)+IFERROR(INDEX(August!$AK:$AK,MATCH($A51,August!$A:$A,0)),0)+IFERROR(INDEX(September!$AJ:$AJ,MATCH($A51,September!$A:$A,0)),0)+IFERROR(INDEX(October!$AK:$AK,MATCH($A51,October!$A:$A,0)),0)+IFERROR(INDEX(November!$AJ:$AJ,MATCH($A51,November!$A:$A,0)),0)+IFERROR(INDEX(December!$AK:$AK,MATCH($A51,December!$A:$A,0)),0)</f>
        <v>39</v>
      </c>
      <c r="AA51" s="51">
        <f t="shared" si="12"/>
        <v>58</v>
      </c>
      <c r="AB51" s="55">
        <v>17</v>
      </c>
      <c r="AC51" s="56">
        <f t="shared" si="13"/>
        <v>75</v>
      </c>
      <c r="AD51" s="57"/>
      <c r="AE51" s="58">
        <f t="shared" si="14"/>
        <v>75</v>
      </c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</row>
    <row r="52" spans="1:49" ht="22" customHeight="1" x14ac:dyDescent="0.35">
      <c r="A52" s="8" t="s">
        <v>129</v>
      </c>
      <c r="B52" s="8" t="s">
        <v>130</v>
      </c>
      <c r="C52" s="8" t="s">
        <v>104</v>
      </c>
      <c r="D52" s="10">
        <v>22</v>
      </c>
      <c r="E52" s="10">
        <v>21</v>
      </c>
      <c r="F52" s="10">
        <v>24</v>
      </c>
      <c r="G52" s="11">
        <v>14</v>
      </c>
      <c r="H52" s="11">
        <v>12</v>
      </c>
      <c r="I52" s="10">
        <v>25</v>
      </c>
      <c r="J52" s="10">
        <v>29</v>
      </c>
      <c r="K52" s="10">
        <v>31</v>
      </c>
      <c r="L52" s="10">
        <v>21</v>
      </c>
      <c r="M52" s="11">
        <v>8</v>
      </c>
      <c r="N52" s="11">
        <v>17</v>
      </c>
      <c r="O52" s="10">
        <v>21</v>
      </c>
      <c r="P52" s="8">
        <f>IFERROR(INDEX(January!$AI:$AI,MATCH($A52,January!$A:$A,0)),0)+IFERROR(INDEX(February!$AF:$AF,MATCH($A52,February!$A:$A,0)),0)+IFERROR(INDEX(March!$AI:$AI,MATCH($A52,March!$A:$A,0)),0)+IFERROR(INDEX(April!$AH:$AH,MATCH($A52,April!$A:$A,0)),0)+IFERROR(INDEX(May!$AI:$AI,MATCH($A52,May!$A:$A,0)),0)+IFERROR(INDEX(June!$AH:$AH,MATCH($A52,June!$A:$A,0)),0)+IFERROR(INDEX(July!$AI:$AI,MATCH($A52,July!$A:$A,0)),0)+IFERROR(INDEX(August!$AI:$AI,MATCH($A52,August!$A:$A,0)),0)+IFERROR(INDEX(September!$AH:$AH,MATCH($A52,September!$A:$A,0)),0)+IFERROR(INDEX(October!$AI:$AI,MATCH($A52,October!$A:$A,0)),0)+IFERROR(INDEX(November!$AH:$AH,MATCH($A52,November!$A:$A,0)),0)+IFERROR(INDEX(December!$AI:$AI,MATCH($A52,December!$A:$A,0)),0)</f>
        <v>178</v>
      </c>
      <c r="Q52" s="8">
        <f>IFERROR(INDEX(January!$AJ:$AJ,MATCH($A52,January!$A:$A,0)),0)+IFERROR(INDEX(February!$AG:$AG,MATCH($A52,February!$A:$A,0)),0)+IFERROR(INDEX(March!$AJ:$AJ,MATCH($A52,March!$A:$A,0)),0)+IFERROR(INDEX(April!$AI:$AI,MATCH($A52,April!$A:$A,0)),0)+IFERROR(INDEX(May!$AJ:$AJ,MATCH($A52,May!$A:$A,0)),0)+IFERROR(INDEX(June!$AI:$AI,MATCH($A52,June!$A:$A,0)),0)+IFERROR(INDEX(July!$AJ:$AJ,MATCH($A52,July!$A:$A,0)),0)+IFERROR(INDEX(August!$AJ:$AJ,MATCH($A52,August!$A:$A,0)),0)+IFERROR(INDEX(September!$AI:$AI,MATCH($A52,September!$A:$A,0)),0)+IFERROR(INDEX(October!$AJ:$AJ,MATCH($A52,October!$A:$A,0)),0)+IFERROR(INDEX(November!$AI:$AI,MATCH($A52,November!$A:$A,0)),0)+IFERROR(INDEX(December!$AJ:$AJ,MATCH($A52,December!$A:$A,0)),0)</f>
        <v>83</v>
      </c>
      <c r="R52" s="8">
        <f>IFERROR(INDEX(January!$AK:$AK,MATCH($A52,January!$A:$A,0)),0)+IFERROR(INDEX(February!$AH:$AH,MATCH($A52,February!$A:$A,0)),0)+IFERROR(INDEX(March!$AK:$AK,MATCH($A52,March!$A:$A,0)),0)+IFERROR(INDEX(April!$AJ:$AJ,MATCH($A52,April!$A:$A,0)),0)+IFERROR(INDEX(May!$AK:$AK,MATCH($A52,May!$A:$A,0)),0)+IFERROR(INDEX(June!$AJ:$AJ,MATCH($A52,June!$A:$A,0)),0)+IFERROR(INDEX(July!$AK:$AK,MATCH($A52,July!$A:$A,0)),0)+IFERROR(INDEX(August!$AK:$AK,MATCH($A52,August!$A:$A,0)),0)+IFERROR(INDEX(September!$AJ:$AJ,MATCH($A52,September!$A:$A,0)),0)+IFERROR(INDEX(October!$AK:$AK,MATCH($A52,October!$A:$A,0)),0)+IFERROR(INDEX(November!$AJ:$AJ,MATCH($A52,November!$A:$A,0)),0)+IFERROR(INDEX(December!$AK:$AK,MATCH($A52,December!$A:$A,0)),0)</f>
        <v>31</v>
      </c>
      <c r="S52" s="35">
        <f t="shared" si="10"/>
        <v>0.68199233716475094</v>
      </c>
      <c r="T52" s="38"/>
      <c r="U52" s="51">
        <f>IFERROR(INDEX(January!$AQ:$AQ,MATCH($A52,January!$A:$A,0)),0)+IFERROR(INDEX(February!$AN:$AN,MATCH($A52,February!$A:$A,0)),0)+IFERROR(INDEX(March!$AQ:$AQ,MATCH($A52,March!$A:$A,0)),0)+IFERROR(INDEX(April!$AP:$AP,MATCH($A52,April!$A:$A,0)),0)+IFERROR(INDEX(May!$AQ:$AQ,MATCH($A52,May!$A:$A,0)),0)+IFERROR(INDEX(June!$AP:$AP,MATCH($A52,June!$A:$A,0)),0)+IFERROR(INDEX(July!$AQ:$AQ,MATCH($A52,July!$A:$A,0)),0)+IFERROR(INDEX(August!$AQ:$AQ,MATCH($A52,August!$A:$A,0)),0)+IFERROR(INDEX(September!$AP:$AP,MATCH($A52,September!$A:$A,0)),0)+IFERROR(INDEX(October!$AQ:$AQ,MATCH($A52,October!$A:$A,0)),0)+IFERROR(INDEX(November!$AP:$AP,MATCH($A52,November!$A:$A,0)),0)+IFERROR(INDEX(December!$AQ:$AQ,MATCH($A52,December!$A:$A,0)),0)</f>
        <v>225.5</v>
      </c>
      <c r="V52" s="52">
        <f>IFERROR(INDEX(January!$AJ:$AJ,MATCH($A52,January!$A:$A,0)),0)+IFERROR(INDEX(February!$AG:$AG,MATCH($A52,February!$A:$A,0)),0)+IFERROR(INDEX(March!$AJ:$AJ,MATCH($A52,March!$A:$A,0)),0)+IFERROR(INDEX(April!$AI:$AI,MATCH($A52,April!$A:$A,0)),0)+IFERROR(INDEX(May!$AJ:$AJ,MATCH($A52,May!$A:$A,0)),0)+IFERROR(INDEX(June!$AI:$AI,MATCH($A52,June!$A:$A,0)),0)+IFERROR(INDEX(July!$AJ:$AJ,MATCH($A52,July!$A:$A,0)),0)+IFERROR(INDEX(August!$AJ:$AJ,MATCH($A52,August!$A:$A,0)),0)+IFERROR(INDEX(September!$AI:$AI,MATCH($A52,September!$A:$A,0)),0)+IFERROR(INDEX(October!$AJ:$AJ,MATCH($A52,October!$A:$A,0)),0)+IFERROR(INDEX(November!$AI:$AI,MATCH($A52,November!$A:$A,0)),0)+IFERROR(INDEX(December!$AJ:$AJ,MATCH($A52,December!$A:$A,0)),0)</f>
        <v>83</v>
      </c>
      <c r="W52" s="53">
        <f>IFERROR(INDEX(January!$AO:$AO,MATCH($A52,January!$A:$A,0)),0)+IFERROR(INDEX(February!$AL:$AL,MATCH($A52,February!$A:$A,0)),0)+IFERROR(INDEX(March!$AO:$AO,MATCH($A52,March!$A:$A,0)),0)+IFERROR(INDEX(April!$AN:$AN,MATCH($A52,April!$A:$A,0)),0)+IFERROR(INDEX(May!$AO:$AO,MATCH($A52,May!$A:$A,0)),0)+IFERROR(INDEX(June!$AN:$AN,MATCH($A52,June!$A:$A,0)),0)+IFERROR(INDEX(July!$AO:$AO,MATCH($A52,July!$A:$A,0)),0)+IFERROR(INDEX(August!$AO:$AO,MATCH($A52,August!$A:$A,0)),0)+IFERROR(INDEX(September!$AN:$AN,MATCH($A52,September!$A:$A,0)),0)+IFERROR(INDEX(October!$AO:$AO,MATCH($A52,October!$A:$A,0)),0)+IFERROR(INDEX(November!$AN:$AN,MATCH($A52,November!$A:$A,0)),0)+IFERROR(INDEX(December!$AO:$AO,MATCH($A52,December!$A:$A,0)),0)</f>
        <v>3</v>
      </c>
      <c r="X52" s="53">
        <f t="shared" si="11"/>
        <v>1.5</v>
      </c>
      <c r="Y52" s="53">
        <f>(IFERROR(INDEX(January!$AL:$AL,MATCH($A52,January!$A:$A,0)),0)+IFERROR(INDEX(February!$AI:$AI,MATCH($A52,February!$A:$A,0)),0)+IFERROR(INDEX(March!$AL:$AL,MATCH($A52,March!$A:$A,0)),0)+IFERROR(INDEX(April!$AK:$AK,MATCH($A52,April!$A:$A,0)),0)+IFERROR(INDEX(May!$AL:$AL,MATCH($A52,May!$A:$A,0)),0)+IFERROR(INDEX(June!$AK:$AK,MATCH($A52,June!$A:$A,0)),0)+IFERROR(INDEX(July!$AL:$AL,MATCH($A52,July!$A:$A,0)),0)+IFERROR(INDEX(August!$AL:$AL,MATCH($A52,August!$A:$A,0)),0)+IFERROR(INDEX(September!$AK:$AK,MATCH($A52,September!$A:$A,0)),0)+IFERROR(INDEX(October!$AL:$AL,MATCH($A52,October!$A:$A,0)),0)+IFERROR(INDEX(November!$AK:$AK,MATCH($A52,November!$A:$A,0)),0)+IFERROR(INDEX(December!$AL:$AL,MATCH($A52,December!$A:$A,0)),0))*0.5</f>
        <v>18</v>
      </c>
      <c r="Z52" s="54">
        <f>IFERROR(INDEX(January!$AK:$AK,MATCH($A52,January!$A:$A,0)),0)+IFERROR(INDEX(February!$AH:$AH,MATCH($A52,February!$A:$A,0)),0)+IFERROR(INDEX(March!$AK:$AK,MATCH($A52,March!$A:$A,0)),0)+IFERROR(INDEX(April!$AJ:$AJ,MATCH($A52,April!$A:$A,0)),0)+IFERROR(INDEX(May!$AK:$AK,MATCH($A52,May!$A:$A,0)),0)+IFERROR(INDEX(June!$AJ:$AJ,MATCH($A52,June!$A:$A,0)),0)+IFERROR(INDEX(July!$AK:$AK,MATCH($A52,July!$A:$A,0)),0)+IFERROR(INDEX(August!$AK:$AK,MATCH($A52,August!$A:$A,0)),0)+IFERROR(INDEX(September!$AJ:$AJ,MATCH($A52,September!$A:$A,0)),0)+IFERROR(INDEX(October!$AK:$AK,MATCH($A52,October!$A:$A,0)),0)+IFERROR(INDEX(November!$AJ:$AJ,MATCH($A52,November!$A:$A,0)),0)+IFERROR(INDEX(December!$AK:$AK,MATCH($A52,December!$A:$A,0)),0)</f>
        <v>31</v>
      </c>
      <c r="AA52" s="51">
        <f t="shared" si="12"/>
        <v>49</v>
      </c>
      <c r="AB52" s="55">
        <v>17</v>
      </c>
      <c r="AC52" s="56">
        <f t="shared" si="13"/>
        <v>66</v>
      </c>
      <c r="AD52" s="57"/>
      <c r="AE52" s="58">
        <f t="shared" si="14"/>
        <v>66</v>
      </c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</row>
    <row r="53" spans="1:49" ht="22" customHeight="1" x14ac:dyDescent="0.35">
      <c r="A53" s="8" t="s">
        <v>131</v>
      </c>
      <c r="B53" s="8" t="s">
        <v>132</v>
      </c>
      <c r="C53" s="8" t="s">
        <v>104</v>
      </c>
      <c r="D53" s="10">
        <v>26</v>
      </c>
      <c r="E53" s="10">
        <v>26</v>
      </c>
      <c r="F53" s="11">
        <v>14</v>
      </c>
      <c r="G53" s="11">
        <v>14</v>
      </c>
      <c r="H53" s="10">
        <v>23</v>
      </c>
      <c r="I53" s="11">
        <v>16</v>
      </c>
      <c r="J53" s="10">
        <v>28</v>
      </c>
      <c r="K53" s="10">
        <v>27</v>
      </c>
      <c r="L53" s="10">
        <v>27</v>
      </c>
      <c r="M53" s="11">
        <v>8</v>
      </c>
      <c r="N53" s="11">
        <v>17</v>
      </c>
      <c r="O53" s="10">
        <v>23</v>
      </c>
      <c r="P53" s="8">
        <f>IFERROR(INDEX(January!$AI:$AI,MATCH($A53,January!$A:$A,0)),0)+IFERROR(INDEX(February!$AF:$AF,MATCH($A53,February!$A:$A,0)),0)+IFERROR(INDEX(March!$AI:$AI,MATCH($A53,March!$A:$A,0)),0)+IFERROR(INDEX(April!$AH:$AH,MATCH($A53,April!$A:$A,0)),0)+IFERROR(INDEX(May!$AI:$AI,MATCH($A53,May!$A:$A,0)),0)+IFERROR(INDEX(June!$AH:$AH,MATCH($A53,June!$A:$A,0)),0)+IFERROR(INDEX(July!$AI:$AI,MATCH($A53,July!$A:$A,0)),0)+IFERROR(INDEX(August!$AI:$AI,MATCH($A53,August!$A:$A,0)),0)+IFERROR(INDEX(September!$AH:$AH,MATCH($A53,September!$A:$A,0)),0)+IFERROR(INDEX(October!$AI:$AI,MATCH($A53,October!$A:$A,0)),0)+IFERROR(INDEX(November!$AH:$AH,MATCH($A53,November!$A:$A,0)),0)+IFERROR(INDEX(December!$AI:$AI,MATCH($A53,December!$A:$A,0)),0)</f>
        <v>181</v>
      </c>
      <c r="Q53" s="8">
        <f>IFERROR(INDEX(January!$AJ:$AJ,MATCH($A53,January!$A:$A,0)),0)+IFERROR(INDEX(February!$AG:$AG,MATCH($A53,February!$A:$A,0)),0)+IFERROR(INDEX(March!$AJ:$AJ,MATCH($A53,March!$A:$A,0)),0)+IFERROR(INDEX(April!$AI:$AI,MATCH($A53,April!$A:$A,0)),0)+IFERROR(INDEX(May!$AJ:$AJ,MATCH($A53,May!$A:$A,0)),0)+IFERROR(INDEX(June!$AI:$AI,MATCH($A53,June!$A:$A,0)),0)+IFERROR(INDEX(July!$AJ:$AJ,MATCH($A53,July!$A:$A,0)),0)+IFERROR(INDEX(August!$AJ:$AJ,MATCH($A53,August!$A:$A,0)),0)+IFERROR(INDEX(September!$AI:$AI,MATCH($A53,September!$A:$A,0)),0)+IFERROR(INDEX(October!$AJ:$AJ,MATCH($A53,October!$A:$A,0)),0)+IFERROR(INDEX(November!$AI:$AI,MATCH($A53,November!$A:$A,0)),0)+IFERROR(INDEX(December!$AJ:$AJ,MATCH($A53,December!$A:$A,0)),0)</f>
        <v>80</v>
      </c>
      <c r="R53" s="8">
        <f>IFERROR(INDEX(January!$AK:$AK,MATCH($A53,January!$A:$A,0)),0)+IFERROR(INDEX(February!$AH:$AH,MATCH($A53,February!$A:$A,0)),0)+IFERROR(INDEX(March!$AK:$AK,MATCH($A53,March!$A:$A,0)),0)+IFERROR(INDEX(April!$AJ:$AJ,MATCH($A53,April!$A:$A,0)),0)+IFERROR(INDEX(May!$AK:$AK,MATCH($A53,May!$A:$A,0)),0)+IFERROR(INDEX(June!$AJ:$AJ,MATCH($A53,June!$A:$A,0)),0)+IFERROR(INDEX(July!$AK:$AK,MATCH($A53,July!$A:$A,0)),0)+IFERROR(INDEX(August!$AK:$AK,MATCH($A53,August!$A:$A,0)),0)+IFERROR(INDEX(September!$AJ:$AJ,MATCH($A53,September!$A:$A,0)),0)+IFERROR(INDEX(October!$AK:$AK,MATCH($A53,October!$A:$A,0)),0)+IFERROR(INDEX(November!$AJ:$AJ,MATCH($A53,November!$A:$A,0)),0)+IFERROR(INDEX(December!$AK:$AK,MATCH($A53,December!$A:$A,0)),0)</f>
        <v>32</v>
      </c>
      <c r="S53" s="35">
        <f t="shared" si="10"/>
        <v>0.69348659003831414</v>
      </c>
      <c r="T53" s="38"/>
      <c r="U53" s="51">
        <f>IFERROR(INDEX(January!$AQ:$AQ,MATCH($A53,January!$A:$A,0)),0)+IFERROR(INDEX(February!$AN:$AN,MATCH($A53,February!$A:$A,0)),0)+IFERROR(INDEX(March!$AQ:$AQ,MATCH($A53,March!$A:$A,0)),0)+IFERROR(INDEX(April!$AP:$AP,MATCH($A53,April!$A:$A,0)),0)+IFERROR(INDEX(May!$AQ:$AQ,MATCH($A53,May!$A:$A,0)),0)+IFERROR(INDEX(June!$AP:$AP,MATCH($A53,June!$A:$A,0)),0)+IFERROR(INDEX(July!$AQ:$AQ,MATCH($A53,July!$A:$A,0)),0)+IFERROR(INDEX(August!$AQ:$AQ,MATCH($A53,August!$A:$A,0)),0)+IFERROR(INDEX(September!$AP:$AP,MATCH($A53,September!$A:$A,0)),0)+IFERROR(INDEX(October!$AQ:$AQ,MATCH($A53,October!$A:$A,0)),0)+IFERROR(INDEX(November!$AP:$AP,MATCH($A53,November!$A:$A,0)),0)+IFERROR(INDEX(December!$AQ:$AQ,MATCH($A53,December!$A:$A,0)),0)</f>
        <v>230.5</v>
      </c>
      <c r="V53" s="52">
        <f>IFERROR(INDEX(January!$AJ:$AJ,MATCH($A53,January!$A:$A,0)),0)+IFERROR(INDEX(February!$AG:$AG,MATCH($A53,February!$A:$A,0)),0)+IFERROR(INDEX(March!$AJ:$AJ,MATCH($A53,March!$A:$A,0)),0)+IFERROR(INDEX(April!$AI:$AI,MATCH($A53,April!$A:$A,0)),0)+IFERROR(INDEX(May!$AJ:$AJ,MATCH($A53,May!$A:$A,0)),0)+IFERROR(INDEX(June!$AI:$AI,MATCH($A53,June!$A:$A,0)),0)+IFERROR(INDEX(July!$AJ:$AJ,MATCH($A53,July!$A:$A,0)),0)+IFERROR(INDEX(August!$AJ:$AJ,MATCH($A53,August!$A:$A,0)),0)+IFERROR(INDEX(September!$AI:$AI,MATCH($A53,September!$A:$A,0)),0)+IFERROR(INDEX(October!$AJ:$AJ,MATCH($A53,October!$A:$A,0)),0)+IFERROR(INDEX(November!$AI:$AI,MATCH($A53,November!$A:$A,0)),0)+IFERROR(INDEX(December!$AJ:$AJ,MATCH($A53,December!$A:$A,0)),0)</f>
        <v>80</v>
      </c>
      <c r="W53" s="53">
        <f>IFERROR(INDEX(January!$AO:$AO,MATCH($A53,January!$A:$A,0)),0)+IFERROR(INDEX(February!$AL:$AL,MATCH($A53,February!$A:$A,0)),0)+IFERROR(INDEX(March!$AO:$AO,MATCH($A53,March!$A:$A,0)),0)+IFERROR(INDEX(April!$AN:$AN,MATCH($A53,April!$A:$A,0)),0)+IFERROR(INDEX(May!$AO:$AO,MATCH($A53,May!$A:$A,0)),0)+IFERROR(INDEX(June!$AN:$AN,MATCH($A53,June!$A:$A,0)),0)+IFERROR(INDEX(July!$AO:$AO,MATCH($A53,July!$A:$A,0)),0)+IFERROR(INDEX(August!$AO:$AO,MATCH($A53,August!$A:$A,0)),0)+IFERROR(INDEX(September!$AN:$AN,MATCH($A53,September!$A:$A,0)),0)+IFERROR(INDEX(October!$AO:$AO,MATCH($A53,October!$A:$A,0)),0)+IFERROR(INDEX(November!$AN:$AN,MATCH($A53,November!$A:$A,0)),0)+IFERROR(INDEX(December!$AO:$AO,MATCH($A53,December!$A:$A,0)),0)</f>
        <v>1</v>
      </c>
      <c r="X53" s="53">
        <f t="shared" si="11"/>
        <v>0.5</v>
      </c>
      <c r="Y53" s="53">
        <f>(IFERROR(INDEX(January!$AL:$AL,MATCH($A53,January!$A:$A,0)),0)+IFERROR(INDEX(February!$AI:$AI,MATCH($A53,February!$A:$A,0)),0)+IFERROR(INDEX(March!$AL:$AL,MATCH($A53,March!$A:$A,0)),0)+IFERROR(INDEX(April!$AK:$AK,MATCH($A53,April!$A:$A,0)),0)+IFERROR(INDEX(May!$AL:$AL,MATCH($A53,May!$A:$A,0)),0)+IFERROR(INDEX(June!$AK:$AK,MATCH($A53,June!$A:$A,0)),0)+IFERROR(INDEX(July!$AL:$AL,MATCH($A53,July!$A:$A,0)),0)+IFERROR(INDEX(August!$AL:$AL,MATCH($A53,August!$A:$A,0)),0)+IFERROR(INDEX(September!$AK:$AK,MATCH($A53,September!$A:$A,0)),0)+IFERROR(INDEX(October!$AL:$AL,MATCH($A53,October!$A:$A,0)),0)+IFERROR(INDEX(November!$AK:$AK,MATCH($A53,November!$A:$A,0)),0)+IFERROR(INDEX(December!$AL:$AL,MATCH($A53,December!$A:$A,0)),0))*0.5</f>
        <v>18</v>
      </c>
      <c r="Z53" s="54">
        <f>IFERROR(INDEX(January!$AK:$AK,MATCH($A53,January!$A:$A,0)),0)+IFERROR(INDEX(February!$AH:$AH,MATCH($A53,February!$A:$A,0)),0)+IFERROR(INDEX(March!$AK:$AK,MATCH($A53,March!$A:$A,0)),0)+IFERROR(INDEX(April!$AJ:$AJ,MATCH($A53,April!$A:$A,0)),0)+IFERROR(INDEX(May!$AK:$AK,MATCH($A53,May!$A:$A,0)),0)+IFERROR(INDEX(June!$AJ:$AJ,MATCH($A53,June!$A:$A,0)),0)+IFERROR(INDEX(July!$AK:$AK,MATCH($A53,July!$A:$A,0)),0)+IFERROR(INDEX(August!$AK:$AK,MATCH($A53,August!$A:$A,0)),0)+IFERROR(INDEX(September!$AJ:$AJ,MATCH($A53,September!$A:$A,0)),0)+IFERROR(INDEX(October!$AK:$AK,MATCH($A53,October!$A:$A,0)),0)+IFERROR(INDEX(November!$AJ:$AJ,MATCH($A53,November!$A:$A,0)),0)+IFERROR(INDEX(December!$AK:$AK,MATCH($A53,December!$A:$A,0)),0)</f>
        <v>32</v>
      </c>
      <c r="AA53" s="51">
        <f t="shared" si="12"/>
        <v>50</v>
      </c>
      <c r="AB53" s="55">
        <v>17</v>
      </c>
      <c r="AC53" s="56">
        <f t="shared" si="13"/>
        <v>67</v>
      </c>
      <c r="AD53" s="57"/>
      <c r="AE53" s="58">
        <f t="shared" si="14"/>
        <v>67</v>
      </c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</row>
    <row r="54" spans="1:49" ht="22" customHeight="1" x14ac:dyDescent="0.35">
      <c r="A54" s="8" t="s">
        <v>133</v>
      </c>
      <c r="B54" s="8" t="s">
        <v>134</v>
      </c>
      <c r="C54" s="8" t="s">
        <v>104</v>
      </c>
      <c r="D54" s="10">
        <v>30</v>
      </c>
      <c r="E54" s="10">
        <v>24</v>
      </c>
      <c r="F54" s="10">
        <v>27</v>
      </c>
      <c r="G54" s="11">
        <v>11</v>
      </c>
      <c r="H54" s="11">
        <v>9</v>
      </c>
      <c r="I54" s="10">
        <v>22</v>
      </c>
      <c r="J54" s="10">
        <v>29</v>
      </c>
      <c r="K54" s="10">
        <v>27</v>
      </c>
      <c r="L54" s="10">
        <v>22</v>
      </c>
      <c r="M54" s="11">
        <v>9</v>
      </c>
      <c r="N54" s="11">
        <v>14</v>
      </c>
      <c r="O54" s="10">
        <v>21</v>
      </c>
      <c r="P54" s="8">
        <f>IFERROR(INDEX(January!$AI:$AI,MATCH($A54,January!$A:$A,0)),0)+IFERROR(INDEX(February!$AF:$AF,MATCH($A54,February!$A:$A,0)),0)+IFERROR(INDEX(March!$AI:$AI,MATCH($A54,March!$A:$A,0)),0)+IFERROR(INDEX(April!$AH:$AH,MATCH($A54,April!$A:$A,0)),0)+IFERROR(INDEX(May!$AI:$AI,MATCH($A54,May!$A:$A,0)),0)+IFERROR(INDEX(June!$AH:$AH,MATCH($A54,June!$A:$A,0)),0)+IFERROR(INDEX(July!$AI:$AI,MATCH($A54,July!$A:$A,0)),0)+IFERROR(INDEX(August!$AI:$AI,MATCH($A54,August!$A:$A,0)),0)+IFERROR(INDEX(September!$AH:$AH,MATCH($A54,September!$A:$A,0)),0)+IFERROR(INDEX(October!$AI:$AI,MATCH($A54,October!$A:$A,0)),0)+IFERROR(INDEX(November!$AH:$AH,MATCH($A54,November!$A:$A,0)),0)+IFERROR(INDEX(December!$AI:$AI,MATCH($A54,December!$A:$A,0)),0)</f>
        <v>177</v>
      </c>
      <c r="Q54" s="8">
        <f>IFERROR(INDEX(January!$AJ:$AJ,MATCH($A54,January!$A:$A,0)),0)+IFERROR(INDEX(February!$AG:$AG,MATCH($A54,February!$A:$A,0)),0)+IFERROR(INDEX(March!$AJ:$AJ,MATCH($A54,March!$A:$A,0)),0)+IFERROR(INDEX(April!$AI:$AI,MATCH($A54,April!$A:$A,0)),0)+IFERROR(INDEX(May!$AJ:$AJ,MATCH($A54,May!$A:$A,0)),0)+IFERROR(INDEX(June!$AI:$AI,MATCH($A54,June!$A:$A,0)),0)+IFERROR(INDEX(July!$AJ:$AJ,MATCH($A54,July!$A:$A,0)),0)+IFERROR(INDEX(August!$AJ:$AJ,MATCH($A54,August!$A:$A,0)),0)+IFERROR(INDEX(September!$AI:$AI,MATCH($A54,September!$A:$A,0)),0)+IFERROR(INDEX(October!$AJ:$AJ,MATCH($A54,October!$A:$A,0)),0)+IFERROR(INDEX(November!$AI:$AI,MATCH($A54,November!$A:$A,0)),0)+IFERROR(INDEX(December!$AJ:$AJ,MATCH($A54,December!$A:$A,0)),0)</f>
        <v>84</v>
      </c>
      <c r="R54" s="8">
        <f>IFERROR(INDEX(January!$AK:$AK,MATCH($A54,January!$A:$A,0)),0)+IFERROR(INDEX(February!$AH:$AH,MATCH($A54,February!$A:$A,0)),0)+IFERROR(INDEX(March!$AK:$AK,MATCH($A54,March!$A:$A,0)),0)+IFERROR(INDEX(April!$AJ:$AJ,MATCH($A54,April!$A:$A,0)),0)+IFERROR(INDEX(May!$AK:$AK,MATCH($A54,May!$A:$A,0)),0)+IFERROR(INDEX(June!$AJ:$AJ,MATCH($A54,June!$A:$A,0)),0)+IFERROR(INDEX(July!$AK:$AK,MATCH($A54,July!$A:$A,0)),0)+IFERROR(INDEX(August!$AK:$AK,MATCH($A54,August!$A:$A,0)),0)+IFERROR(INDEX(September!$AJ:$AJ,MATCH($A54,September!$A:$A,0)),0)+IFERROR(INDEX(October!$AK:$AK,MATCH($A54,October!$A:$A,0)),0)+IFERROR(INDEX(November!$AJ:$AJ,MATCH($A54,November!$A:$A,0)),0)+IFERROR(INDEX(December!$AK:$AK,MATCH($A54,December!$A:$A,0)),0)</f>
        <v>34</v>
      </c>
      <c r="S54" s="35">
        <f t="shared" si="10"/>
        <v>0.67816091954022983</v>
      </c>
      <c r="T54" s="38"/>
      <c r="U54" s="51">
        <f>IFERROR(INDEX(January!$AQ:$AQ,MATCH($A54,January!$A:$A,0)),0)+IFERROR(INDEX(February!$AN:$AN,MATCH($A54,February!$A:$A,0)),0)+IFERROR(INDEX(March!$AQ:$AQ,MATCH($A54,March!$A:$A,0)),0)+IFERROR(INDEX(April!$AP:$AP,MATCH($A54,April!$A:$A,0)),0)+IFERROR(INDEX(May!$AQ:$AQ,MATCH($A54,May!$A:$A,0)),0)+IFERROR(INDEX(June!$AP:$AP,MATCH($A54,June!$A:$A,0)),0)+IFERROR(INDEX(July!$AQ:$AQ,MATCH($A54,July!$A:$A,0)),0)+IFERROR(INDEX(August!$AQ:$AQ,MATCH($A54,August!$A:$A,0)),0)+IFERROR(INDEX(September!$AP:$AP,MATCH($A54,September!$A:$A,0)),0)+IFERROR(INDEX(October!$AQ:$AQ,MATCH($A54,October!$A:$A,0)),0)+IFERROR(INDEX(November!$AP:$AP,MATCH($A54,November!$A:$A,0)),0)+IFERROR(INDEX(December!$AQ:$AQ,MATCH($A54,December!$A:$A,0)),0)</f>
        <v>225</v>
      </c>
      <c r="V54" s="52">
        <f>IFERROR(INDEX(January!$AJ:$AJ,MATCH($A54,January!$A:$A,0)),0)+IFERROR(INDEX(February!$AG:$AG,MATCH($A54,February!$A:$A,0)),0)+IFERROR(INDEX(March!$AJ:$AJ,MATCH($A54,March!$A:$A,0)),0)+IFERROR(INDEX(April!$AI:$AI,MATCH($A54,April!$A:$A,0)),0)+IFERROR(INDEX(May!$AJ:$AJ,MATCH($A54,May!$A:$A,0)),0)+IFERROR(INDEX(June!$AI:$AI,MATCH($A54,June!$A:$A,0)),0)+IFERROR(INDEX(July!$AJ:$AJ,MATCH($A54,July!$A:$A,0)),0)+IFERROR(INDEX(August!$AJ:$AJ,MATCH($A54,August!$A:$A,0)),0)+IFERROR(INDEX(September!$AI:$AI,MATCH($A54,September!$A:$A,0)),0)+IFERROR(INDEX(October!$AJ:$AJ,MATCH($A54,October!$A:$A,0)),0)+IFERROR(INDEX(November!$AI:$AI,MATCH($A54,November!$A:$A,0)),0)+IFERROR(INDEX(December!$AJ:$AJ,MATCH($A54,December!$A:$A,0)),0)</f>
        <v>84</v>
      </c>
      <c r="W54" s="53">
        <f>IFERROR(INDEX(January!$AO:$AO,MATCH($A54,January!$A:$A,0)),0)+IFERROR(INDEX(February!$AL:$AL,MATCH($A54,February!$A:$A,0)),0)+IFERROR(INDEX(March!$AO:$AO,MATCH($A54,March!$A:$A,0)),0)+IFERROR(INDEX(April!$AN:$AN,MATCH($A54,April!$A:$A,0)),0)+IFERROR(INDEX(May!$AO:$AO,MATCH($A54,May!$A:$A,0)),0)+IFERROR(INDEX(June!$AN:$AN,MATCH($A54,June!$A:$A,0)),0)+IFERROR(INDEX(July!$AO:$AO,MATCH($A54,July!$A:$A,0)),0)+IFERROR(INDEX(August!$AO:$AO,MATCH($A54,August!$A:$A,0)),0)+IFERROR(INDEX(September!$AN:$AN,MATCH($A54,September!$A:$A,0)),0)+IFERROR(INDEX(October!$AO:$AO,MATCH($A54,October!$A:$A,0)),0)+IFERROR(INDEX(November!$AN:$AN,MATCH($A54,November!$A:$A,0)),0)+IFERROR(INDEX(December!$AO:$AO,MATCH($A54,December!$A:$A,0)),0)</f>
        <v>6</v>
      </c>
      <c r="X54" s="53">
        <f t="shared" si="11"/>
        <v>3</v>
      </c>
      <c r="Y54" s="53">
        <f>(IFERROR(INDEX(January!$AL:$AL,MATCH($A54,January!$A:$A,0)),0)+IFERROR(INDEX(February!$AI:$AI,MATCH($A54,February!$A:$A,0)),0)+IFERROR(INDEX(March!$AL:$AL,MATCH($A54,March!$A:$A,0)),0)+IFERROR(INDEX(April!$AK:$AK,MATCH($A54,April!$A:$A,0)),0)+IFERROR(INDEX(May!$AL:$AL,MATCH($A54,May!$A:$A,0)),0)+IFERROR(INDEX(June!$AK:$AK,MATCH($A54,June!$A:$A,0)),0)+IFERROR(INDEX(July!$AL:$AL,MATCH($A54,July!$A:$A,0)),0)+IFERROR(INDEX(August!$AL:$AL,MATCH($A54,August!$A:$A,0)),0)+IFERROR(INDEX(September!$AK:$AK,MATCH($A54,September!$A:$A,0)),0)+IFERROR(INDEX(October!$AL:$AL,MATCH($A54,October!$A:$A,0)),0)+IFERROR(INDEX(November!$AK:$AK,MATCH($A54,November!$A:$A,0)),0)+IFERROR(INDEX(December!$AL:$AL,MATCH($A54,December!$A:$A,0)),0))*0.5</f>
        <v>17</v>
      </c>
      <c r="Z54" s="54">
        <f>IFERROR(INDEX(January!$AK:$AK,MATCH($A54,January!$A:$A,0)),0)+IFERROR(INDEX(February!$AH:$AH,MATCH($A54,February!$A:$A,0)),0)+IFERROR(INDEX(March!$AK:$AK,MATCH($A54,March!$A:$A,0)),0)+IFERROR(INDEX(April!$AJ:$AJ,MATCH($A54,April!$A:$A,0)),0)+IFERROR(INDEX(May!$AK:$AK,MATCH($A54,May!$A:$A,0)),0)+IFERROR(INDEX(June!$AJ:$AJ,MATCH($A54,June!$A:$A,0)),0)+IFERROR(INDEX(July!$AK:$AK,MATCH($A54,July!$A:$A,0)),0)+IFERROR(INDEX(August!$AK:$AK,MATCH($A54,August!$A:$A,0)),0)+IFERROR(INDEX(September!$AJ:$AJ,MATCH($A54,September!$A:$A,0)),0)+IFERROR(INDEX(October!$AK:$AK,MATCH($A54,October!$A:$A,0)),0)+IFERROR(INDEX(November!$AJ:$AJ,MATCH($A54,November!$A:$A,0)),0)+IFERROR(INDEX(December!$AK:$AK,MATCH($A54,December!$A:$A,0)),0)</f>
        <v>34</v>
      </c>
      <c r="AA54" s="51">
        <f t="shared" si="12"/>
        <v>51</v>
      </c>
      <c r="AB54" s="55">
        <v>17</v>
      </c>
      <c r="AC54" s="56">
        <f t="shared" si="13"/>
        <v>68</v>
      </c>
      <c r="AD54" s="57"/>
      <c r="AE54" s="58">
        <f t="shared" si="14"/>
        <v>68</v>
      </c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</row>
    <row r="55" spans="1:49" ht="22" customHeight="1" x14ac:dyDescent="0.35">
      <c r="A55" s="8" t="s">
        <v>135</v>
      </c>
      <c r="B55" s="8" t="s">
        <v>136</v>
      </c>
      <c r="C55" s="8" t="s">
        <v>104</v>
      </c>
      <c r="D55" s="11">
        <v>19</v>
      </c>
      <c r="E55" s="10">
        <v>28</v>
      </c>
      <c r="F55" s="11">
        <v>19</v>
      </c>
      <c r="G55" s="11">
        <v>9</v>
      </c>
      <c r="H55" s="11">
        <v>17</v>
      </c>
      <c r="I55" s="11">
        <v>17</v>
      </c>
      <c r="J55" s="10">
        <v>20</v>
      </c>
      <c r="K55" s="10">
        <v>27</v>
      </c>
      <c r="L55" s="10">
        <v>26</v>
      </c>
      <c r="M55" s="10">
        <v>31</v>
      </c>
      <c r="N55" s="11">
        <v>12</v>
      </c>
      <c r="O55" s="11">
        <v>17</v>
      </c>
      <c r="P55" s="8">
        <f>IFERROR(INDEX(January!$AI:$AI,MATCH($A55,January!$A:$A,0)),0)+IFERROR(INDEX(February!$AF:$AF,MATCH($A55,February!$A:$A,0)),0)+IFERROR(INDEX(March!$AI:$AI,MATCH($A55,March!$A:$A,0)),0)+IFERROR(INDEX(April!$AH:$AH,MATCH($A55,April!$A:$A,0)),0)+IFERROR(INDEX(May!$AI:$AI,MATCH($A55,May!$A:$A,0)),0)+IFERROR(INDEX(June!$AH:$AH,MATCH($A55,June!$A:$A,0)),0)+IFERROR(INDEX(July!$AI:$AI,MATCH($A55,July!$A:$A,0)),0)+IFERROR(INDEX(August!$AI:$AI,MATCH($A55,August!$A:$A,0)),0)+IFERROR(INDEX(September!$AH:$AH,MATCH($A55,September!$A:$A,0)),0)+IFERROR(INDEX(October!$AI:$AI,MATCH($A55,October!$A:$A,0)),0)+IFERROR(INDEX(November!$AH:$AH,MATCH($A55,November!$A:$A,0)),0)+IFERROR(INDEX(December!$AI:$AI,MATCH($A55,December!$A:$A,0)),0)</f>
        <v>177</v>
      </c>
      <c r="Q55" s="8">
        <f>IFERROR(INDEX(January!$AJ:$AJ,MATCH($A55,January!$A:$A,0)),0)+IFERROR(INDEX(February!$AG:$AG,MATCH($A55,February!$A:$A,0)),0)+IFERROR(INDEX(March!$AJ:$AJ,MATCH($A55,March!$A:$A,0)),0)+IFERROR(INDEX(April!$AI:$AI,MATCH($A55,April!$A:$A,0)),0)+IFERROR(INDEX(May!$AJ:$AJ,MATCH($A55,May!$A:$A,0)),0)+IFERROR(INDEX(June!$AI:$AI,MATCH($A55,June!$A:$A,0)),0)+IFERROR(INDEX(July!$AJ:$AJ,MATCH($A55,July!$A:$A,0)),0)+IFERROR(INDEX(August!$AJ:$AJ,MATCH($A55,August!$A:$A,0)),0)+IFERROR(INDEX(September!$AI:$AI,MATCH($A55,September!$A:$A,0)),0)+IFERROR(INDEX(October!$AJ:$AJ,MATCH($A55,October!$A:$A,0)),0)+IFERROR(INDEX(November!$AI:$AI,MATCH($A55,November!$A:$A,0)),0)+IFERROR(INDEX(December!$AJ:$AJ,MATCH($A55,December!$A:$A,0)),0)</f>
        <v>84</v>
      </c>
      <c r="R55" s="8">
        <f>IFERROR(INDEX(January!$AK:$AK,MATCH($A55,January!$A:$A,0)),0)+IFERROR(INDEX(February!$AH:$AH,MATCH($A55,February!$A:$A,0)),0)+IFERROR(INDEX(March!$AK:$AK,MATCH($A55,March!$A:$A,0)),0)+IFERROR(INDEX(April!$AJ:$AJ,MATCH($A55,April!$A:$A,0)),0)+IFERROR(INDEX(May!$AK:$AK,MATCH($A55,May!$A:$A,0)),0)+IFERROR(INDEX(June!$AJ:$AJ,MATCH($A55,June!$A:$A,0)),0)+IFERROR(INDEX(July!$AK:$AK,MATCH($A55,July!$A:$A,0)),0)+IFERROR(INDEX(August!$AK:$AK,MATCH($A55,August!$A:$A,0)),0)+IFERROR(INDEX(September!$AJ:$AJ,MATCH($A55,September!$A:$A,0)),0)+IFERROR(INDEX(October!$AK:$AK,MATCH($A55,October!$A:$A,0)),0)+IFERROR(INDEX(November!$AJ:$AJ,MATCH($A55,November!$A:$A,0)),0)+IFERROR(INDEX(December!$AK:$AK,MATCH($A55,December!$A:$A,0)),0)</f>
        <v>33</v>
      </c>
      <c r="S55" s="35">
        <f t="shared" si="10"/>
        <v>0.67816091954022983</v>
      </c>
      <c r="T55" s="38"/>
      <c r="U55" s="51">
        <f>IFERROR(INDEX(January!$AQ:$AQ,MATCH($A55,January!$A:$A,0)),0)+IFERROR(INDEX(February!$AN:$AN,MATCH($A55,February!$A:$A,0)),0)+IFERROR(INDEX(March!$AQ:$AQ,MATCH($A55,March!$A:$A,0)),0)+IFERROR(INDEX(April!$AP:$AP,MATCH($A55,April!$A:$A,0)),0)+IFERROR(INDEX(May!$AQ:$AQ,MATCH($A55,May!$A:$A,0)),0)+IFERROR(INDEX(June!$AP:$AP,MATCH($A55,June!$A:$A,0)),0)+IFERROR(INDEX(July!$AQ:$AQ,MATCH($A55,July!$A:$A,0)),0)+IFERROR(INDEX(August!$AQ:$AQ,MATCH($A55,August!$A:$A,0)),0)+IFERROR(INDEX(September!$AP:$AP,MATCH($A55,September!$A:$A,0)),0)+IFERROR(INDEX(October!$AQ:$AQ,MATCH($A55,October!$A:$A,0)),0)+IFERROR(INDEX(November!$AP:$AP,MATCH($A55,November!$A:$A,0)),0)+IFERROR(INDEX(December!$AQ:$AQ,MATCH($A55,December!$A:$A,0)),0)</f>
        <v>224.5</v>
      </c>
      <c r="V55" s="52">
        <f>IFERROR(INDEX(January!$AJ:$AJ,MATCH($A55,January!$A:$A,0)),0)+IFERROR(INDEX(February!$AG:$AG,MATCH($A55,February!$A:$A,0)),0)+IFERROR(INDEX(March!$AJ:$AJ,MATCH($A55,March!$A:$A,0)),0)+IFERROR(INDEX(April!$AI:$AI,MATCH($A55,April!$A:$A,0)),0)+IFERROR(INDEX(May!$AJ:$AJ,MATCH($A55,May!$A:$A,0)),0)+IFERROR(INDEX(June!$AI:$AI,MATCH($A55,June!$A:$A,0)),0)+IFERROR(INDEX(July!$AJ:$AJ,MATCH($A55,July!$A:$A,0)),0)+IFERROR(INDEX(August!$AJ:$AJ,MATCH($A55,August!$A:$A,0)),0)+IFERROR(INDEX(September!$AI:$AI,MATCH($A55,September!$A:$A,0)),0)+IFERROR(INDEX(October!$AJ:$AJ,MATCH($A55,October!$A:$A,0)),0)+IFERROR(INDEX(November!$AI:$AI,MATCH($A55,November!$A:$A,0)),0)+IFERROR(INDEX(December!$AJ:$AJ,MATCH($A55,December!$A:$A,0)),0)</f>
        <v>84</v>
      </c>
      <c r="W55" s="53">
        <f>IFERROR(INDEX(January!$AO:$AO,MATCH($A55,January!$A:$A,0)),0)+IFERROR(INDEX(February!$AL:$AL,MATCH($A55,February!$A:$A,0)),0)+IFERROR(INDEX(March!$AO:$AO,MATCH($A55,March!$A:$A,0)),0)+IFERROR(INDEX(April!$AN:$AN,MATCH($A55,April!$A:$A,0)),0)+IFERROR(INDEX(May!$AO:$AO,MATCH($A55,May!$A:$A,0)),0)+IFERROR(INDEX(June!$AN:$AN,MATCH($A55,June!$A:$A,0)),0)+IFERROR(INDEX(July!$AO:$AO,MATCH($A55,July!$A:$A,0)),0)+IFERROR(INDEX(August!$AO:$AO,MATCH($A55,August!$A:$A,0)),0)+IFERROR(INDEX(September!$AN:$AN,MATCH($A55,September!$A:$A,0)),0)+IFERROR(INDEX(October!$AO:$AO,MATCH($A55,October!$A:$A,0)),0)+IFERROR(INDEX(November!$AN:$AN,MATCH($A55,November!$A:$A,0)),0)+IFERROR(INDEX(December!$AO:$AO,MATCH($A55,December!$A:$A,0)),0)</f>
        <v>3</v>
      </c>
      <c r="X55" s="53">
        <f t="shared" si="11"/>
        <v>1.5</v>
      </c>
      <c r="Y55" s="53">
        <f>(IFERROR(INDEX(January!$AL:$AL,MATCH($A55,January!$A:$A,0)),0)+IFERROR(INDEX(February!$AI:$AI,MATCH($A55,February!$A:$A,0)),0)+IFERROR(INDEX(March!$AL:$AL,MATCH($A55,March!$A:$A,0)),0)+IFERROR(INDEX(April!$AK:$AK,MATCH($A55,April!$A:$A,0)),0)+IFERROR(INDEX(May!$AL:$AL,MATCH($A55,May!$A:$A,0)),0)+IFERROR(INDEX(June!$AK:$AK,MATCH($A55,June!$A:$A,0)),0)+IFERROR(INDEX(July!$AL:$AL,MATCH($A55,July!$A:$A,0)),0)+IFERROR(INDEX(August!$AL:$AL,MATCH($A55,August!$A:$A,0)),0)+IFERROR(INDEX(September!$AK:$AK,MATCH($A55,September!$A:$A,0)),0)+IFERROR(INDEX(October!$AL:$AL,MATCH($A55,October!$A:$A,0)),0)+IFERROR(INDEX(November!$AK:$AK,MATCH($A55,November!$A:$A,0)),0)+IFERROR(INDEX(December!$AL:$AL,MATCH($A55,December!$A:$A,0)),0))*0.5</f>
        <v>16</v>
      </c>
      <c r="Z55" s="54">
        <f>IFERROR(INDEX(January!$AK:$AK,MATCH($A55,January!$A:$A,0)),0)+IFERROR(INDEX(February!$AH:$AH,MATCH($A55,February!$A:$A,0)),0)+IFERROR(INDEX(March!$AK:$AK,MATCH($A55,March!$A:$A,0)),0)+IFERROR(INDEX(April!$AJ:$AJ,MATCH($A55,April!$A:$A,0)),0)+IFERROR(INDEX(May!$AK:$AK,MATCH($A55,May!$A:$A,0)),0)+IFERROR(INDEX(June!$AJ:$AJ,MATCH($A55,June!$A:$A,0)),0)+IFERROR(INDEX(July!$AK:$AK,MATCH($A55,July!$A:$A,0)),0)+IFERROR(INDEX(August!$AK:$AK,MATCH($A55,August!$A:$A,0)),0)+IFERROR(INDEX(September!$AJ:$AJ,MATCH($A55,September!$A:$A,0)),0)+IFERROR(INDEX(October!$AK:$AK,MATCH($A55,October!$A:$A,0)),0)+IFERROR(INDEX(November!$AJ:$AJ,MATCH($A55,November!$A:$A,0)),0)+IFERROR(INDEX(December!$AK:$AK,MATCH($A55,December!$A:$A,0)),0)</f>
        <v>33</v>
      </c>
      <c r="AA55" s="51">
        <f t="shared" si="12"/>
        <v>49</v>
      </c>
      <c r="AB55" s="55">
        <v>17</v>
      </c>
      <c r="AC55" s="56">
        <f t="shared" si="13"/>
        <v>66</v>
      </c>
      <c r="AD55" s="57"/>
      <c r="AE55" s="58">
        <f t="shared" si="14"/>
        <v>66</v>
      </c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</row>
    <row r="56" spans="1:49" ht="22" customHeight="1" x14ac:dyDescent="0.35">
      <c r="A56" s="8" t="s">
        <v>137</v>
      </c>
      <c r="B56" s="8" t="s">
        <v>138</v>
      </c>
      <c r="C56" s="8" t="s">
        <v>104</v>
      </c>
      <c r="D56" s="10">
        <v>25</v>
      </c>
      <c r="E56" s="11">
        <v>15</v>
      </c>
      <c r="F56" s="10">
        <v>27</v>
      </c>
      <c r="G56" s="11">
        <v>1</v>
      </c>
      <c r="H56" s="11">
        <v>11</v>
      </c>
      <c r="I56" s="10">
        <v>22</v>
      </c>
      <c r="J56" s="10">
        <v>29</v>
      </c>
      <c r="K56" s="10">
        <v>27</v>
      </c>
      <c r="L56" s="10">
        <v>23</v>
      </c>
      <c r="M56" s="10">
        <v>30</v>
      </c>
      <c r="N56" s="11">
        <v>18</v>
      </c>
      <c r="O56" s="10">
        <v>22</v>
      </c>
      <c r="P56" s="8">
        <f>IFERROR(INDEX(January!$AI:$AI,MATCH($A56,January!$A:$A,0)),0)+IFERROR(INDEX(February!$AF:$AF,MATCH($A56,February!$A:$A,0)),0)+IFERROR(INDEX(March!$AI:$AI,MATCH($A56,March!$A:$A,0)),0)+IFERROR(INDEX(April!$AH:$AH,MATCH($A56,April!$A:$A,0)),0)+IFERROR(INDEX(May!$AI:$AI,MATCH($A56,May!$A:$A,0)),0)+IFERROR(INDEX(June!$AH:$AH,MATCH($A56,June!$A:$A,0)),0)+IFERROR(INDEX(July!$AI:$AI,MATCH($A56,July!$A:$A,0)),0)+IFERROR(INDEX(August!$AI:$AI,MATCH($A56,August!$A:$A,0)),0)+IFERROR(INDEX(September!$AH:$AH,MATCH($A56,September!$A:$A,0)),0)+IFERROR(INDEX(October!$AI:$AI,MATCH($A56,October!$A:$A,0)),0)+IFERROR(INDEX(November!$AH:$AH,MATCH($A56,November!$A:$A,0)),0)+IFERROR(INDEX(December!$AI:$AI,MATCH($A56,December!$A:$A,0)),0)</f>
        <v>177</v>
      </c>
      <c r="Q56" s="8">
        <f>IFERROR(INDEX(January!$AJ:$AJ,MATCH($A56,January!$A:$A,0)),0)+IFERROR(INDEX(February!$AG:$AG,MATCH($A56,February!$A:$A,0)),0)+IFERROR(INDEX(March!$AJ:$AJ,MATCH($A56,March!$A:$A,0)),0)+IFERROR(INDEX(April!$AI:$AI,MATCH($A56,April!$A:$A,0)),0)+IFERROR(INDEX(May!$AJ:$AJ,MATCH($A56,May!$A:$A,0)),0)+IFERROR(INDEX(June!$AI:$AI,MATCH($A56,June!$A:$A,0)),0)+IFERROR(INDEX(July!$AJ:$AJ,MATCH($A56,July!$A:$A,0)),0)+IFERROR(INDEX(August!$AJ:$AJ,MATCH($A56,August!$A:$A,0)),0)+IFERROR(INDEX(September!$AI:$AI,MATCH($A56,September!$A:$A,0)),0)+IFERROR(INDEX(October!$AJ:$AJ,MATCH($A56,October!$A:$A,0)),0)+IFERROR(INDEX(November!$AI:$AI,MATCH($A56,November!$A:$A,0)),0)+IFERROR(INDEX(December!$AJ:$AJ,MATCH($A56,December!$A:$A,0)),0)</f>
        <v>84</v>
      </c>
      <c r="R56" s="8">
        <f>IFERROR(INDEX(January!$AK:$AK,MATCH($A56,January!$A:$A,0)),0)+IFERROR(INDEX(February!$AH:$AH,MATCH($A56,February!$A:$A,0)),0)+IFERROR(INDEX(March!$AK:$AK,MATCH($A56,March!$A:$A,0)),0)+IFERROR(INDEX(April!$AJ:$AJ,MATCH($A56,April!$A:$A,0)),0)+IFERROR(INDEX(May!$AK:$AK,MATCH($A56,May!$A:$A,0)),0)+IFERROR(INDEX(June!$AJ:$AJ,MATCH($A56,June!$A:$A,0)),0)+IFERROR(INDEX(July!$AK:$AK,MATCH($A56,July!$A:$A,0)),0)+IFERROR(INDEX(August!$AK:$AK,MATCH($A56,August!$A:$A,0)),0)+IFERROR(INDEX(September!$AJ:$AJ,MATCH($A56,September!$A:$A,0)),0)+IFERROR(INDEX(October!$AK:$AK,MATCH($A56,October!$A:$A,0)),0)+IFERROR(INDEX(November!$AJ:$AJ,MATCH($A56,November!$A:$A,0)),0)+IFERROR(INDEX(December!$AK:$AK,MATCH($A56,December!$A:$A,0)),0)</f>
        <v>37</v>
      </c>
      <c r="S56" s="35">
        <f t="shared" si="10"/>
        <v>0.67816091954022983</v>
      </c>
      <c r="T56" s="38"/>
      <c r="U56" s="51">
        <f>IFERROR(INDEX(January!$AQ:$AQ,MATCH($A56,January!$A:$A,0)),0)+IFERROR(INDEX(February!$AN:$AN,MATCH($A56,February!$A:$A,0)),0)+IFERROR(INDEX(March!$AQ:$AQ,MATCH($A56,March!$A:$A,0)),0)+IFERROR(INDEX(April!$AP:$AP,MATCH($A56,April!$A:$A,0)),0)+IFERROR(INDEX(May!$AQ:$AQ,MATCH($A56,May!$A:$A,0)),0)+IFERROR(INDEX(June!$AP:$AP,MATCH($A56,June!$A:$A,0)),0)+IFERROR(INDEX(July!$AQ:$AQ,MATCH($A56,July!$A:$A,0)),0)+IFERROR(INDEX(August!$AQ:$AQ,MATCH($A56,August!$A:$A,0)),0)+IFERROR(INDEX(September!$AP:$AP,MATCH($A56,September!$A:$A,0)),0)+IFERROR(INDEX(October!$AQ:$AQ,MATCH($A56,October!$A:$A,0)),0)+IFERROR(INDEX(November!$AP:$AP,MATCH($A56,November!$A:$A,0)),0)+IFERROR(INDEX(December!$AQ:$AQ,MATCH($A56,December!$A:$A,0)),0)</f>
        <v>231</v>
      </c>
      <c r="V56" s="52">
        <f>IFERROR(INDEX(January!$AJ:$AJ,MATCH($A56,January!$A:$A,0)),0)+IFERROR(INDEX(February!$AG:$AG,MATCH($A56,February!$A:$A,0)),0)+IFERROR(INDEX(March!$AJ:$AJ,MATCH($A56,March!$A:$A,0)),0)+IFERROR(INDEX(April!$AI:$AI,MATCH($A56,April!$A:$A,0)),0)+IFERROR(INDEX(May!$AJ:$AJ,MATCH($A56,May!$A:$A,0)),0)+IFERROR(INDEX(June!$AI:$AI,MATCH($A56,June!$A:$A,0)),0)+IFERROR(INDEX(July!$AJ:$AJ,MATCH($A56,July!$A:$A,0)),0)+IFERROR(INDEX(August!$AJ:$AJ,MATCH($A56,August!$A:$A,0)),0)+IFERROR(INDEX(September!$AI:$AI,MATCH($A56,September!$A:$A,0)),0)+IFERROR(INDEX(October!$AJ:$AJ,MATCH($A56,October!$A:$A,0)),0)+IFERROR(INDEX(November!$AI:$AI,MATCH($A56,November!$A:$A,0)),0)+IFERROR(INDEX(December!$AJ:$AJ,MATCH($A56,December!$A:$A,0)),0)</f>
        <v>84</v>
      </c>
      <c r="W56" s="53">
        <f>IFERROR(INDEX(January!$AO:$AO,MATCH($A56,January!$A:$A,0)),0)+IFERROR(INDEX(February!$AL:$AL,MATCH($A56,February!$A:$A,0)),0)+IFERROR(INDEX(March!$AO:$AO,MATCH($A56,March!$A:$A,0)),0)+IFERROR(INDEX(April!$AN:$AN,MATCH($A56,April!$A:$A,0)),0)+IFERROR(INDEX(May!$AO:$AO,MATCH($A56,May!$A:$A,0)),0)+IFERROR(INDEX(June!$AN:$AN,MATCH($A56,June!$A:$A,0)),0)+IFERROR(INDEX(July!$AO:$AO,MATCH($A56,July!$A:$A,0)),0)+IFERROR(INDEX(August!$AO:$AO,MATCH($A56,August!$A:$A,0)),0)+IFERROR(INDEX(September!$AN:$AN,MATCH($A56,September!$A:$A,0)),0)+IFERROR(INDEX(October!$AO:$AO,MATCH($A56,October!$A:$A,0)),0)+IFERROR(INDEX(November!$AN:$AN,MATCH($A56,November!$A:$A,0)),0)+IFERROR(INDEX(December!$AO:$AO,MATCH($A56,December!$A:$A,0)),0)</f>
        <v>2</v>
      </c>
      <c r="X56" s="53">
        <f t="shared" si="11"/>
        <v>1</v>
      </c>
      <c r="Y56" s="53">
        <f>(IFERROR(INDEX(January!$AL:$AL,MATCH($A56,January!$A:$A,0)),0)+IFERROR(INDEX(February!$AI:$AI,MATCH($A56,February!$A:$A,0)),0)+IFERROR(INDEX(March!$AL:$AL,MATCH($A56,March!$A:$A,0)),0)+IFERROR(INDEX(April!$AK:$AK,MATCH($A56,April!$A:$A,0)),0)+IFERROR(INDEX(May!$AL:$AL,MATCH($A56,May!$A:$A,0)),0)+IFERROR(INDEX(June!$AK:$AK,MATCH($A56,June!$A:$A,0)),0)+IFERROR(INDEX(July!$AL:$AL,MATCH($A56,July!$A:$A,0)),0)+IFERROR(INDEX(August!$AL:$AL,MATCH($A56,August!$A:$A,0)),0)+IFERROR(INDEX(September!$AK:$AK,MATCH($A56,September!$A:$A,0)),0)+IFERROR(INDEX(October!$AL:$AL,MATCH($A56,October!$A:$A,0)),0)+IFERROR(INDEX(November!$AK:$AK,MATCH($A56,November!$A:$A,0)),0)+IFERROR(INDEX(December!$AL:$AL,MATCH($A56,December!$A:$A,0)),0))*0.5</f>
        <v>18</v>
      </c>
      <c r="Z56" s="54">
        <f>IFERROR(INDEX(January!$AK:$AK,MATCH($A56,January!$A:$A,0)),0)+IFERROR(INDEX(February!$AH:$AH,MATCH($A56,February!$A:$A,0)),0)+IFERROR(INDEX(March!$AK:$AK,MATCH($A56,March!$A:$A,0)),0)+IFERROR(INDEX(April!$AJ:$AJ,MATCH($A56,April!$A:$A,0)),0)+IFERROR(INDEX(May!$AK:$AK,MATCH($A56,May!$A:$A,0)),0)+IFERROR(INDEX(June!$AJ:$AJ,MATCH($A56,June!$A:$A,0)),0)+IFERROR(INDEX(July!$AK:$AK,MATCH($A56,July!$A:$A,0)),0)+IFERROR(INDEX(August!$AK:$AK,MATCH($A56,August!$A:$A,0)),0)+IFERROR(INDEX(September!$AJ:$AJ,MATCH($A56,September!$A:$A,0)),0)+IFERROR(INDEX(October!$AK:$AK,MATCH($A56,October!$A:$A,0)),0)+IFERROR(INDEX(November!$AJ:$AJ,MATCH($A56,November!$A:$A,0)),0)+IFERROR(INDEX(December!$AK:$AK,MATCH($A56,December!$A:$A,0)),0)</f>
        <v>37</v>
      </c>
      <c r="AA56" s="51">
        <f t="shared" si="12"/>
        <v>55</v>
      </c>
      <c r="AB56" s="55">
        <v>17</v>
      </c>
      <c r="AC56" s="56">
        <f t="shared" si="13"/>
        <v>72</v>
      </c>
      <c r="AD56" s="57"/>
      <c r="AE56" s="58">
        <f t="shared" si="14"/>
        <v>72</v>
      </c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</row>
    <row r="57" spans="1:49" ht="22" customHeight="1" x14ac:dyDescent="0.35">
      <c r="A57" s="8" t="s">
        <v>139</v>
      </c>
      <c r="B57" s="8" t="s">
        <v>140</v>
      </c>
      <c r="C57" s="8" t="s">
        <v>104</v>
      </c>
      <c r="D57" s="10">
        <v>21</v>
      </c>
      <c r="E57" s="10">
        <v>24</v>
      </c>
      <c r="F57" s="10">
        <v>23</v>
      </c>
      <c r="G57" s="11">
        <v>13</v>
      </c>
      <c r="H57" s="11">
        <v>7</v>
      </c>
      <c r="I57" s="11">
        <v>19</v>
      </c>
      <c r="J57" s="10">
        <v>26</v>
      </c>
      <c r="K57" s="10">
        <v>26</v>
      </c>
      <c r="L57" s="10">
        <v>25</v>
      </c>
      <c r="M57" s="10">
        <v>25</v>
      </c>
      <c r="N57" s="11">
        <v>13</v>
      </c>
      <c r="O57" s="11">
        <v>18</v>
      </c>
      <c r="P57" s="8">
        <f>IFERROR(INDEX(January!$AI:$AI,MATCH($A57,January!$A:$A,0)),0)+IFERROR(INDEX(February!$AF:$AF,MATCH($A57,February!$A:$A,0)),0)+IFERROR(INDEX(March!$AI:$AI,MATCH($A57,March!$A:$A,0)),0)+IFERROR(INDEX(April!$AH:$AH,MATCH($A57,April!$A:$A,0)),0)+IFERROR(INDEX(May!$AI:$AI,MATCH($A57,May!$A:$A,0)),0)+IFERROR(INDEX(June!$AH:$AH,MATCH($A57,June!$A:$A,0)),0)+IFERROR(INDEX(July!$AI:$AI,MATCH($A57,July!$A:$A,0)),0)+IFERROR(INDEX(August!$AI:$AI,MATCH($A57,August!$A:$A,0)),0)+IFERROR(INDEX(September!$AH:$AH,MATCH($A57,September!$A:$A,0)),0)+IFERROR(INDEX(October!$AI:$AI,MATCH($A57,October!$A:$A,0)),0)+IFERROR(INDEX(November!$AH:$AH,MATCH($A57,November!$A:$A,0)),0)+IFERROR(INDEX(December!$AI:$AI,MATCH($A57,December!$A:$A,0)),0)</f>
        <v>174</v>
      </c>
      <c r="Q57" s="8">
        <f>IFERROR(INDEX(January!$AJ:$AJ,MATCH($A57,January!$A:$A,0)),0)+IFERROR(INDEX(February!$AG:$AG,MATCH($A57,February!$A:$A,0)),0)+IFERROR(INDEX(March!$AJ:$AJ,MATCH($A57,March!$A:$A,0)),0)+IFERROR(INDEX(April!$AI:$AI,MATCH($A57,April!$A:$A,0)),0)+IFERROR(INDEX(May!$AJ:$AJ,MATCH($A57,May!$A:$A,0)),0)+IFERROR(INDEX(June!$AI:$AI,MATCH($A57,June!$A:$A,0)),0)+IFERROR(INDEX(July!$AJ:$AJ,MATCH($A57,July!$A:$A,0)),0)+IFERROR(INDEX(August!$AJ:$AJ,MATCH($A57,August!$A:$A,0)),0)+IFERROR(INDEX(September!$AI:$AI,MATCH($A57,September!$A:$A,0)),0)+IFERROR(INDEX(October!$AJ:$AJ,MATCH($A57,October!$A:$A,0)),0)+IFERROR(INDEX(November!$AI:$AI,MATCH($A57,November!$A:$A,0)),0)+IFERROR(INDEX(December!$AJ:$AJ,MATCH($A57,December!$A:$A,0)),0)</f>
        <v>87</v>
      </c>
      <c r="R57" s="8">
        <f>IFERROR(INDEX(January!$AK:$AK,MATCH($A57,January!$A:$A,0)),0)+IFERROR(INDEX(February!$AH:$AH,MATCH($A57,February!$A:$A,0)),0)+IFERROR(INDEX(March!$AK:$AK,MATCH($A57,March!$A:$A,0)),0)+IFERROR(INDEX(April!$AJ:$AJ,MATCH($A57,April!$A:$A,0)),0)+IFERROR(INDEX(May!$AK:$AK,MATCH($A57,May!$A:$A,0)),0)+IFERROR(INDEX(June!$AJ:$AJ,MATCH($A57,June!$A:$A,0)),0)+IFERROR(INDEX(July!$AK:$AK,MATCH($A57,July!$A:$A,0)),0)+IFERROR(INDEX(August!$AK:$AK,MATCH($A57,August!$A:$A,0)),0)+IFERROR(INDEX(September!$AJ:$AJ,MATCH($A57,September!$A:$A,0)),0)+IFERROR(INDEX(October!$AK:$AK,MATCH($A57,October!$A:$A,0)),0)+IFERROR(INDEX(November!$AJ:$AJ,MATCH($A57,November!$A:$A,0)),0)+IFERROR(INDEX(December!$AK:$AK,MATCH($A57,December!$A:$A,0)),0)</f>
        <v>33</v>
      </c>
      <c r="S57" s="35">
        <f t="shared" si="10"/>
        <v>0.66666666666666663</v>
      </c>
      <c r="T57" s="38"/>
      <c r="U57" s="51">
        <f>IFERROR(INDEX(January!$AQ:$AQ,MATCH($A57,January!$A:$A,0)),0)+IFERROR(INDEX(February!$AN:$AN,MATCH($A57,February!$A:$A,0)),0)+IFERROR(INDEX(March!$AQ:$AQ,MATCH($A57,March!$A:$A,0)),0)+IFERROR(INDEX(April!$AP:$AP,MATCH($A57,April!$A:$A,0)),0)+IFERROR(INDEX(May!$AQ:$AQ,MATCH($A57,May!$A:$A,0)),0)+IFERROR(INDEX(June!$AP:$AP,MATCH($A57,June!$A:$A,0)),0)+IFERROR(INDEX(July!$AQ:$AQ,MATCH($A57,July!$A:$A,0)),0)+IFERROR(INDEX(August!$AQ:$AQ,MATCH($A57,August!$A:$A,0)),0)+IFERROR(INDEX(September!$AP:$AP,MATCH($A57,September!$A:$A,0)),0)+IFERROR(INDEX(October!$AQ:$AQ,MATCH($A57,October!$A:$A,0)),0)+IFERROR(INDEX(November!$AP:$AP,MATCH($A57,November!$A:$A,0)),0)+IFERROR(INDEX(December!$AQ:$AQ,MATCH($A57,December!$A:$A,0)),0)</f>
        <v>219.5</v>
      </c>
      <c r="V57" s="52">
        <f>IFERROR(INDEX(January!$AJ:$AJ,MATCH($A57,January!$A:$A,0)),0)+IFERROR(INDEX(February!$AG:$AG,MATCH($A57,February!$A:$A,0)),0)+IFERROR(INDEX(March!$AJ:$AJ,MATCH($A57,March!$A:$A,0)),0)+IFERROR(INDEX(April!$AI:$AI,MATCH($A57,April!$A:$A,0)),0)+IFERROR(INDEX(May!$AJ:$AJ,MATCH($A57,May!$A:$A,0)),0)+IFERROR(INDEX(June!$AI:$AI,MATCH($A57,June!$A:$A,0)),0)+IFERROR(INDEX(July!$AJ:$AJ,MATCH($A57,July!$A:$A,0)),0)+IFERROR(INDEX(August!$AJ:$AJ,MATCH($A57,August!$A:$A,0)),0)+IFERROR(INDEX(September!$AI:$AI,MATCH($A57,September!$A:$A,0)),0)+IFERROR(INDEX(October!$AJ:$AJ,MATCH($A57,October!$A:$A,0)),0)+IFERROR(INDEX(November!$AI:$AI,MATCH($A57,November!$A:$A,0)),0)+IFERROR(INDEX(December!$AJ:$AJ,MATCH($A57,December!$A:$A,0)),0)</f>
        <v>87</v>
      </c>
      <c r="W57" s="53">
        <f>IFERROR(INDEX(January!$AO:$AO,MATCH($A57,January!$A:$A,0)),0)+IFERROR(INDEX(February!$AL:$AL,MATCH($A57,February!$A:$A,0)),0)+IFERROR(INDEX(March!$AO:$AO,MATCH($A57,March!$A:$A,0)),0)+IFERROR(INDEX(April!$AN:$AN,MATCH($A57,April!$A:$A,0)),0)+IFERROR(INDEX(May!$AO:$AO,MATCH($A57,May!$A:$A,0)),0)+IFERROR(INDEX(June!$AN:$AN,MATCH($A57,June!$A:$A,0)),0)+IFERROR(INDEX(July!$AO:$AO,MATCH($A57,July!$A:$A,0)),0)+IFERROR(INDEX(August!$AO:$AO,MATCH($A57,August!$A:$A,0)),0)+IFERROR(INDEX(September!$AN:$AN,MATCH($A57,September!$A:$A,0)),0)+IFERROR(INDEX(October!$AO:$AO,MATCH($A57,October!$A:$A,0)),0)+IFERROR(INDEX(November!$AN:$AN,MATCH($A57,November!$A:$A,0)),0)+IFERROR(INDEX(December!$AO:$AO,MATCH($A57,December!$A:$A,0)),0)</f>
        <v>8</v>
      </c>
      <c r="X57" s="53">
        <f t="shared" si="11"/>
        <v>4</v>
      </c>
      <c r="Y57" s="53">
        <f>(IFERROR(INDEX(January!$AL:$AL,MATCH($A57,January!$A:$A,0)),0)+IFERROR(INDEX(February!$AI:$AI,MATCH($A57,February!$A:$A,0)),0)+IFERROR(INDEX(March!$AL:$AL,MATCH($A57,March!$A:$A,0)),0)+IFERROR(INDEX(April!$AK:$AK,MATCH($A57,April!$A:$A,0)),0)+IFERROR(INDEX(May!$AL:$AL,MATCH($A57,May!$A:$A,0)),0)+IFERROR(INDEX(June!$AK:$AK,MATCH($A57,June!$A:$A,0)),0)+IFERROR(INDEX(July!$AL:$AL,MATCH($A57,July!$A:$A,0)),0)+IFERROR(INDEX(August!$AL:$AL,MATCH($A57,August!$A:$A,0)),0)+IFERROR(INDEX(September!$AK:$AK,MATCH($A57,September!$A:$A,0)),0)+IFERROR(INDEX(October!$AL:$AL,MATCH($A57,October!$A:$A,0)),0)+IFERROR(INDEX(November!$AK:$AK,MATCH($A57,November!$A:$A,0)),0)+IFERROR(INDEX(December!$AL:$AL,MATCH($A57,December!$A:$A,0)),0))*0.5</f>
        <v>16.5</v>
      </c>
      <c r="Z57" s="54">
        <f>IFERROR(INDEX(January!$AK:$AK,MATCH($A57,January!$A:$A,0)),0)+IFERROR(INDEX(February!$AH:$AH,MATCH($A57,February!$A:$A,0)),0)+IFERROR(INDEX(March!$AK:$AK,MATCH($A57,March!$A:$A,0)),0)+IFERROR(INDEX(April!$AJ:$AJ,MATCH($A57,April!$A:$A,0)),0)+IFERROR(INDEX(May!$AK:$AK,MATCH($A57,May!$A:$A,0)),0)+IFERROR(INDEX(June!$AJ:$AJ,MATCH($A57,June!$A:$A,0)),0)+IFERROR(INDEX(July!$AK:$AK,MATCH($A57,July!$A:$A,0)),0)+IFERROR(INDEX(August!$AK:$AK,MATCH($A57,August!$A:$A,0)),0)+IFERROR(INDEX(September!$AJ:$AJ,MATCH($A57,September!$A:$A,0)),0)+IFERROR(INDEX(October!$AK:$AK,MATCH($A57,October!$A:$A,0)),0)+IFERROR(INDEX(November!$AJ:$AJ,MATCH($A57,November!$A:$A,0)),0)+IFERROR(INDEX(December!$AK:$AK,MATCH($A57,December!$A:$A,0)),0)</f>
        <v>33</v>
      </c>
      <c r="AA57" s="51">
        <f t="shared" si="12"/>
        <v>49.5</v>
      </c>
      <c r="AB57" s="55">
        <v>17</v>
      </c>
      <c r="AC57" s="56">
        <f t="shared" si="13"/>
        <v>66.5</v>
      </c>
      <c r="AD57" s="57"/>
      <c r="AE57" s="58">
        <f t="shared" si="14"/>
        <v>66.5</v>
      </c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</row>
    <row r="58" spans="1:49" ht="22" customHeight="1" x14ac:dyDescent="0.35">
      <c r="A58" s="8" t="s">
        <v>141</v>
      </c>
      <c r="B58" s="8" t="s">
        <v>142</v>
      </c>
      <c r="C58" s="8" t="s">
        <v>104</v>
      </c>
      <c r="D58" s="10">
        <v>27</v>
      </c>
      <c r="E58" s="10">
        <v>22</v>
      </c>
      <c r="F58" s="11">
        <v>10</v>
      </c>
      <c r="G58" s="11">
        <v>12</v>
      </c>
      <c r="H58" s="11">
        <v>18</v>
      </c>
      <c r="I58" s="10">
        <v>22</v>
      </c>
      <c r="J58" s="10">
        <v>29</v>
      </c>
      <c r="K58" s="10">
        <v>29</v>
      </c>
      <c r="L58" s="10">
        <v>21</v>
      </c>
      <c r="M58" s="10">
        <v>29</v>
      </c>
      <c r="N58" s="10">
        <v>21</v>
      </c>
      <c r="O58" s="11">
        <v>8</v>
      </c>
      <c r="P58" s="8">
        <f>IFERROR(INDEX(January!$AI:$AI,MATCH($A58,January!$A:$A,0)),0)+IFERROR(INDEX(February!$AF:$AF,MATCH($A58,February!$A:$A,0)),0)+IFERROR(INDEX(March!$AI:$AI,MATCH($A58,March!$A:$A,0)),0)+IFERROR(INDEX(April!$AH:$AH,MATCH($A58,April!$A:$A,0)),0)+IFERROR(INDEX(May!$AI:$AI,MATCH($A58,May!$A:$A,0)),0)+IFERROR(INDEX(June!$AH:$AH,MATCH($A58,June!$A:$A,0)),0)+IFERROR(INDEX(July!$AI:$AI,MATCH($A58,July!$A:$A,0)),0)+IFERROR(INDEX(August!$AI:$AI,MATCH($A58,August!$A:$A,0)),0)+IFERROR(INDEX(September!$AH:$AH,MATCH($A58,September!$A:$A,0)),0)+IFERROR(INDEX(October!$AI:$AI,MATCH($A58,October!$A:$A,0)),0)+IFERROR(INDEX(November!$AH:$AH,MATCH($A58,November!$A:$A,0)),0)+IFERROR(INDEX(December!$AI:$AI,MATCH($A58,December!$A:$A,0)),0)</f>
        <v>180</v>
      </c>
      <c r="Q58" s="8">
        <f>IFERROR(INDEX(January!$AJ:$AJ,MATCH($A58,January!$A:$A,0)),0)+IFERROR(INDEX(February!$AG:$AG,MATCH($A58,February!$A:$A,0)),0)+IFERROR(INDEX(March!$AJ:$AJ,MATCH($A58,March!$A:$A,0)),0)+IFERROR(INDEX(April!$AI:$AI,MATCH($A58,April!$A:$A,0)),0)+IFERROR(INDEX(May!$AJ:$AJ,MATCH($A58,May!$A:$A,0)),0)+IFERROR(INDEX(June!$AI:$AI,MATCH($A58,June!$A:$A,0)),0)+IFERROR(INDEX(July!$AJ:$AJ,MATCH($A58,July!$A:$A,0)),0)+IFERROR(INDEX(August!$AJ:$AJ,MATCH($A58,August!$A:$A,0)),0)+IFERROR(INDEX(September!$AI:$AI,MATCH($A58,September!$A:$A,0)),0)+IFERROR(INDEX(October!$AJ:$AJ,MATCH($A58,October!$A:$A,0)),0)+IFERROR(INDEX(November!$AI:$AI,MATCH($A58,November!$A:$A,0)),0)+IFERROR(INDEX(December!$AJ:$AJ,MATCH($A58,December!$A:$A,0)),0)</f>
        <v>81</v>
      </c>
      <c r="R58" s="8">
        <f>IFERROR(INDEX(January!$AK:$AK,MATCH($A58,January!$A:$A,0)),0)+IFERROR(INDEX(February!$AH:$AH,MATCH($A58,February!$A:$A,0)),0)+IFERROR(INDEX(March!$AK:$AK,MATCH($A58,March!$A:$A,0)),0)+IFERROR(INDEX(April!$AJ:$AJ,MATCH($A58,April!$A:$A,0)),0)+IFERROR(INDEX(May!$AK:$AK,MATCH($A58,May!$A:$A,0)),0)+IFERROR(INDEX(June!$AJ:$AJ,MATCH($A58,June!$A:$A,0)),0)+IFERROR(INDEX(July!$AK:$AK,MATCH($A58,July!$A:$A,0)),0)+IFERROR(INDEX(August!$AK:$AK,MATCH($A58,August!$A:$A,0)),0)+IFERROR(INDEX(September!$AJ:$AJ,MATCH($A58,September!$A:$A,0)),0)+IFERROR(INDEX(October!$AK:$AK,MATCH($A58,October!$A:$A,0)),0)+IFERROR(INDEX(November!$AJ:$AJ,MATCH($A58,November!$A:$A,0)),0)+IFERROR(INDEX(December!$AK:$AK,MATCH($A58,December!$A:$A,0)),0)</f>
        <v>31</v>
      </c>
      <c r="S58" s="35">
        <f t="shared" si="10"/>
        <v>0.68965517241379315</v>
      </c>
      <c r="T58" s="38"/>
      <c r="U58" s="51">
        <f>IFERROR(INDEX(January!$AQ:$AQ,MATCH($A58,January!$A:$A,0)),0)+IFERROR(INDEX(February!$AN:$AN,MATCH($A58,February!$A:$A,0)),0)+IFERROR(INDEX(March!$AQ:$AQ,MATCH($A58,March!$A:$A,0)),0)+IFERROR(INDEX(April!$AP:$AP,MATCH($A58,April!$A:$A,0)),0)+IFERROR(INDEX(May!$AQ:$AQ,MATCH($A58,May!$A:$A,0)),0)+IFERROR(INDEX(June!$AP:$AP,MATCH($A58,June!$A:$A,0)),0)+IFERROR(INDEX(July!$AQ:$AQ,MATCH($A58,July!$A:$A,0)),0)+IFERROR(INDEX(August!$AQ:$AQ,MATCH($A58,August!$A:$A,0)),0)+IFERROR(INDEX(September!$AP:$AP,MATCH($A58,September!$A:$A,0)),0)+IFERROR(INDEX(October!$AQ:$AQ,MATCH($A58,October!$A:$A,0)),0)+IFERROR(INDEX(November!$AP:$AP,MATCH($A58,November!$A:$A,0)),0)+IFERROR(INDEX(December!$AQ:$AQ,MATCH($A58,December!$A:$A,0)),0)</f>
        <v>228.5</v>
      </c>
      <c r="V58" s="52">
        <f>IFERROR(INDEX(January!$AJ:$AJ,MATCH($A58,January!$A:$A,0)),0)+IFERROR(INDEX(February!$AG:$AG,MATCH($A58,February!$A:$A,0)),0)+IFERROR(INDEX(March!$AJ:$AJ,MATCH($A58,March!$A:$A,0)),0)+IFERROR(INDEX(April!$AI:$AI,MATCH($A58,April!$A:$A,0)),0)+IFERROR(INDEX(May!$AJ:$AJ,MATCH($A58,May!$A:$A,0)),0)+IFERROR(INDEX(June!$AI:$AI,MATCH($A58,June!$A:$A,0)),0)+IFERROR(INDEX(July!$AJ:$AJ,MATCH($A58,July!$A:$A,0)),0)+IFERROR(INDEX(August!$AJ:$AJ,MATCH($A58,August!$A:$A,0)),0)+IFERROR(INDEX(September!$AI:$AI,MATCH($A58,September!$A:$A,0)),0)+IFERROR(INDEX(October!$AJ:$AJ,MATCH($A58,October!$A:$A,0)),0)+IFERROR(INDEX(November!$AI:$AI,MATCH($A58,November!$A:$A,0)),0)+IFERROR(INDEX(December!$AJ:$AJ,MATCH($A58,December!$A:$A,0)),0)</f>
        <v>81</v>
      </c>
      <c r="W58" s="53">
        <f>IFERROR(INDEX(January!$AO:$AO,MATCH($A58,January!$A:$A,0)),0)+IFERROR(INDEX(February!$AL:$AL,MATCH($A58,February!$A:$A,0)),0)+IFERROR(INDEX(March!$AO:$AO,MATCH($A58,March!$A:$A,0)),0)+IFERROR(INDEX(April!$AN:$AN,MATCH($A58,April!$A:$A,0)),0)+IFERROR(INDEX(May!$AO:$AO,MATCH($A58,May!$A:$A,0)),0)+IFERROR(INDEX(June!$AN:$AN,MATCH($A58,June!$A:$A,0)),0)+IFERROR(INDEX(July!$AO:$AO,MATCH($A58,July!$A:$A,0)),0)+IFERROR(INDEX(August!$AO:$AO,MATCH($A58,August!$A:$A,0)),0)+IFERROR(INDEX(September!$AN:$AN,MATCH($A58,September!$A:$A,0)),0)+IFERROR(INDEX(October!$AO:$AO,MATCH($A58,October!$A:$A,0)),0)+IFERROR(INDEX(November!$AN:$AN,MATCH($A58,November!$A:$A,0)),0)+IFERROR(INDEX(December!$AO:$AO,MATCH($A58,December!$A:$A,0)),0)</f>
        <v>2</v>
      </c>
      <c r="X58" s="53">
        <f t="shared" si="11"/>
        <v>1</v>
      </c>
      <c r="Y58" s="53">
        <f>(IFERROR(INDEX(January!$AL:$AL,MATCH($A58,January!$A:$A,0)),0)+IFERROR(INDEX(February!$AI:$AI,MATCH($A58,February!$A:$A,0)),0)+IFERROR(INDEX(March!$AL:$AL,MATCH($A58,March!$A:$A,0)),0)+IFERROR(INDEX(April!$AK:$AK,MATCH($A58,April!$A:$A,0)),0)+IFERROR(INDEX(May!$AL:$AL,MATCH($A58,May!$A:$A,0)),0)+IFERROR(INDEX(June!$AK:$AK,MATCH($A58,June!$A:$A,0)),0)+IFERROR(INDEX(July!$AL:$AL,MATCH($A58,July!$A:$A,0)),0)+IFERROR(INDEX(August!$AL:$AL,MATCH($A58,August!$A:$A,0)),0)+IFERROR(INDEX(September!$AK:$AK,MATCH($A58,September!$A:$A,0)),0)+IFERROR(INDEX(October!$AL:$AL,MATCH($A58,October!$A:$A,0)),0)+IFERROR(INDEX(November!$AK:$AK,MATCH($A58,November!$A:$A,0)),0)+IFERROR(INDEX(December!$AL:$AL,MATCH($A58,December!$A:$A,0)),0))*0.5</f>
        <v>18.5</v>
      </c>
      <c r="Z58" s="54">
        <f>IFERROR(INDEX(January!$AK:$AK,MATCH($A58,January!$A:$A,0)),0)+IFERROR(INDEX(February!$AH:$AH,MATCH($A58,February!$A:$A,0)),0)+IFERROR(INDEX(March!$AK:$AK,MATCH($A58,March!$A:$A,0)),0)+IFERROR(INDEX(April!$AJ:$AJ,MATCH($A58,April!$A:$A,0)),0)+IFERROR(INDEX(May!$AK:$AK,MATCH($A58,May!$A:$A,0)),0)+IFERROR(INDEX(June!$AJ:$AJ,MATCH($A58,June!$A:$A,0)),0)+IFERROR(INDEX(July!$AK:$AK,MATCH($A58,July!$A:$A,0)),0)+IFERROR(INDEX(August!$AK:$AK,MATCH($A58,August!$A:$A,0)),0)+IFERROR(INDEX(September!$AJ:$AJ,MATCH($A58,September!$A:$A,0)),0)+IFERROR(INDEX(October!$AK:$AK,MATCH($A58,October!$A:$A,0)),0)+IFERROR(INDEX(November!$AJ:$AJ,MATCH($A58,November!$A:$A,0)),0)+IFERROR(INDEX(December!$AK:$AK,MATCH($A58,December!$A:$A,0)),0)</f>
        <v>31</v>
      </c>
      <c r="AA58" s="51">
        <f t="shared" si="12"/>
        <v>49.5</v>
      </c>
      <c r="AB58" s="55">
        <v>17</v>
      </c>
      <c r="AC58" s="56">
        <f t="shared" si="13"/>
        <v>66.5</v>
      </c>
      <c r="AD58" s="57"/>
      <c r="AE58" s="58">
        <f t="shared" si="14"/>
        <v>66.5</v>
      </c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</row>
    <row r="59" spans="1:49" ht="22" customHeight="1" x14ac:dyDescent="0.35">
      <c r="A59" s="8" t="s">
        <v>143</v>
      </c>
      <c r="B59" s="8" t="s">
        <v>144</v>
      </c>
      <c r="C59" s="8" t="s">
        <v>104</v>
      </c>
      <c r="D59" s="10">
        <v>27</v>
      </c>
      <c r="E59" s="10">
        <v>23</v>
      </c>
      <c r="F59" s="10">
        <v>25</v>
      </c>
      <c r="G59" s="11">
        <v>14</v>
      </c>
      <c r="H59" s="11">
        <v>12</v>
      </c>
      <c r="I59" s="10">
        <v>21</v>
      </c>
      <c r="J59" s="10">
        <v>29</v>
      </c>
      <c r="K59" s="10">
        <v>28</v>
      </c>
      <c r="L59" s="10">
        <v>26</v>
      </c>
      <c r="M59" s="11">
        <v>3</v>
      </c>
      <c r="N59" s="10">
        <v>22</v>
      </c>
      <c r="O59" s="10">
        <v>28</v>
      </c>
      <c r="P59" s="8">
        <f>IFERROR(INDEX(January!$AI:$AI,MATCH($A59,January!$A:$A,0)),0)+IFERROR(INDEX(February!$AF:$AF,MATCH($A59,February!$A:$A,0)),0)+IFERROR(INDEX(March!$AI:$AI,MATCH($A59,March!$A:$A,0)),0)+IFERROR(INDEX(April!$AH:$AH,MATCH($A59,April!$A:$A,0)),0)+IFERROR(INDEX(May!$AI:$AI,MATCH($A59,May!$A:$A,0)),0)+IFERROR(INDEX(June!$AH:$AH,MATCH($A59,June!$A:$A,0)),0)+IFERROR(INDEX(July!$AI:$AI,MATCH($A59,July!$A:$A,0)),0)+IFERROR(INDEX(August!$AI:$AI,MATCH($A59,August!$A:$A,0)),0)+IFERROR(INDEX(September!$AH:$AH,MATCH($A59,September!$A:$A,0)),0)+IFERROR(INDEX(October!$AI:$AI,MATCH($A59,October!$A:$A,0)),0)+IFERROR(INDEX(November!$AH:$AH,MATCH($A59,November!$A:$A,0)),0)+IFERROR(INDEX(December!$AI:$AI,MATCH($A59,December!$A:$A,0)),0)</f>
        <v>185</v>
      </c>
      <c r="Q59" s="8">
        <f>IFERROR(INDEX(January!$AJ:$AJ,MATCH($A59,January!$A:$A,0)),0)+IFERROR(INDEX(February!$AG:$AG,MATCH($A59,February!$A:$A,0)),0)+IFERROR(INDEX(March!$AJ:$AJ,MATCH($A59,March!$A:$A,0)),0)+IFERROR(INDEX(April!$AI:$AI,MATCH($A59,April!$A:$A,0)),0)+IFERROR(INDEX(May!$AJ:$AJ,MATCH($A59,May!$A:$A,0)),0)+IFERROR(INDEX(June!$AI:$AI,MATCH($A59,June!$A:$A,0)),0)+IFERROR(INDEX(July!$AJ:$AJ,MATCH($A59,July!$A:$A,0)),0)+IFERROR(INDEX(August!$AJ:$AJ,MATCH($A59,August!$A:$A,0)),0)+IFERROR(INDEX(September!$AI:$AI,MATCH($A59,September!$A:$A,0)),0)+IFERROR(INDEX(October!$AJ:$AJ,MATCH($A59,October!$A:$A,0)),0)+IFERROR(INDEX(November!$AI:$AI,MATCH($A59,November!$A:$A,0)),0)+IFERROR(INDEX(December!$AJ:$AJ,MATCH($A59,December!$A:$A,0)),0)</f>
        <v>76</v>
      </c>
      <c r="R59" s="8">
        <f>IFERROR(INDEX(January!$AK:$AK,MATCH($A59,January!$A:$A,0)),0)+IFERROR(INDEX(February!$AH:$AH,MATCH($A59,February!$A:$A,0)),0)+IFERROR(INDEX(March!$AK:$AK,MATCH($A59,March!$A:$A,0)),0)+IFERROR(INDEX(April!$AJ:$AJ,MATCH($A59,April!$A:$A,0)),0)+IFERROR(INDEX(May!$AK:$AK,MATCH($A59,May!$A:$A,0)),0)+IFERROR(INDEX(June!$AJ:$AJ,MATCH($A59,June!$A:$A,0)),0)+IFERROR(INDEX(July!$AK:$AK,MATCH($A59,July!$A:$A,0)),0)+IFERROR(INDEX(August!$AK:$AK,MATCH($A59,August!$A:$A,0)),0)+IFERROR(INDEX(September!$AJ:$AJ,MATCH($A59,September!$A:$A,0)),0)+IFERROR(INDEX(October!$AK:$AK,MATCH($A59,October!$A:$A,0)),0)+IFERROR(INDEX(November!$AJ:$AJ,MATCH($A59,November!$A:$A,0)),0)+IFERROR(INDEX(December!$AK:$AK,MATCH($A59,December!$A:$A,0)),0)</f>
        <v>36</v>
      </c>
      <c r="S59" s="35">
        <f t="shared" si="10"/>
        <v>0.70881226053639845</v>
      </c>
      <c r="T59" s="38"/>
      <c r="U59" s="51">
        <f>IFERROR(INDEX(January!$AQ:$AQ,MATCH($A59,January!$A:$A,0)),0)+IFERROR(INDEX(February!$AN:$AN,MATCH($A59,February!$A:$A,0)),0)+IFERROR(INDEX(March!$AQ:$AQ,MATCH($A59,March!$A:$A,0)),0)+IFERROR(INDEX(April!$AP:$AP,MATCH($A59,April!$A:$A,0)),0)+IFERROR(INDEX(May!$AQ:$AQ,MATCH($A59,May!$A:$A,0)),0)+IFERROR(INDEX(June!$AP:$AP,MATCH($A59,June!$A:$A,0)),0)+IFERROR(INDEX(July!$AQ:$AQ,MATCH($A59,July!$A:$A,0)),0)+IFERROR(INDEX(August!$AQ:$AQ,MATCH($A59,August!$A:$A,0)),0)+IFERROR(INDEX(September!$AP:$AP,MATCH($A59,September!$A:$A,0)),0)+IFERROR(INDEX(October!$AQ:$AQ,MATCH($A59,October!$A:$A,0)),0)+IFERROR(INDEX(November!$AP:$AP,MATCH($A59,November!$A:$A,0)),0)+IFERROR(INDEX(December!$AQ:$AQ,MATCH($A59,December!$A:$A,0)),0)</f>
        <v>238</v>
      </c>
      <c r="V59" s="52">
        <f>IFERROR(INDEX(January!$AJ:$AJ,MATCH($A59,January!$A:$A,0)),0)+IFERROR(INDEX(February!$AG:$AG,MATCH($A59,February!$A:$A,0)),0)+IFERROR(INDEX(March!$AJ:$AJ,MATCH($A59,March!$A:$A,0)),0)+IFERROR(INDEX(April!$AI:$AI,MATCH($A59,April!$A:$A,0)),0)+IFERROR(INDEX(May!$AJ:$AJ,MATCH($A59,May!$A:$A,0)),0)+IFERROR(INDEX(June!$AI:$AI,MATCH($A59,June!$A:$A,0)),0)+IFERROR(INDEX(July!$AJ:$AJ,MATCH($A59,July!$A:$A,0)),0)+IFERROR(INDEX(August!$AJ:$AJ,MATCH($A59,August!$A:$A,0)),0)+IFERROR(INDEX(September!$AI:$AI,MATCH($A59,September!$A:$A,0)),0)+IFERROR(INDEX(October!$AJ:$AJ,MATCH($A59,October!$A:$A,0)),0)+IFERROR(INDEX(November!$AI:$AI,MATCH($A59,November!$A:$A,0)),0)+IFERROR(INDEX(December!$AJ:$AJ,MATCH($A59,December!$A:$A,0)),0)</f>
        <v>76</v>
      </c>
      <c r="W59" s="53">
        <f>IFERROR(INDEX(January!$AO:$AO,MATCH($A59,January!$A:$A,0)),0)+IFERROR(INDEX(February!$AL:$AL,MATCH($A59,February!$A:$A,0)),0)+IFERROR(INDEX(March!$AO:$AO,MATCH($A59,March!$A:$A,0)),0)+IFERROR(INDEX(April!$AN:$AN,MATCH($A59,April!$A:$A,0)),0)+IFERROR(INDEX(May!$AO:$AO,MATCH($A59,May!$A:$A,0)),0)+IFERROR(INDEX(June!$AN:$AN,MATCH($A59,June!$A:$A,0)),0)+IFERROR(INDEX(July!$AO:$AO,MATCH($A59,July!$A:$A,0)),0)+IFERROR(INDEX(August!$AO:$AO,MATCH($A59,August!$A:$A,0)),0)+IFERROR(INDEX(September!$AN:$AN,MATCH($A59,September!$A:$A,0)),0)+IFERROR(INDEX(October!$AO:$AO,MATCH($A59,October!$A:$A,0)),0)+IFERROR(INDEX(November!$AN:$AN,MATCH($A59,November!$A:$A,0)),0)+IFERROR(INDEX(December!$AO:$AO,MATCH($A59,December!$A:$A,0)),0)</f>
        <v>3</v>
      </c>
      <c r="X59" s="53">
        <f t="shared" si="11"/>
        <v>1.5</v>
      </c>
      <c r="Y59" s="53">
        <f>(IFERROR(INDEX(January!$AL:$AL,MATCH($A59,January!$A:$A,0)),0)+IFERROR(INDEX(February!$AI:$AI,MATCH($A59,February!$A:$A,0)),0)+IFERROR(INDEX(March!$AL:$AL,MATCH($A59,March!$A:$A,0)),0)+IFERROR(INDEX(April!$AK:$AK,MATCH($A59,April!$A:$A,0)),0)+IFERROR(INDEX(May!$AL:$AL,MATCH($A59,May!$A:$A,0)),0)+IFERROR(INDEX(June!$AK:$AK,MATCH($A59,June!$A:$A,0)),0)+IFERROR(INDEX(July!$AL:$AL,MATCH($A59,July!$A:$A,0)),0)+IFERROR(INDEX(August!$AL:$AL,MATCH($A59,August!$A:$A,0)),0)+IFERROR(INDEX(September!$AK:$AK,MATCH($A59,September!$A:$A,0)),0)+IFERROR(INDEX(October!$AL:$AL,MATCH($A59,October!$A:$A,0)),0)+IFERROR(INDEX(November!$AK:$AK,MATCH($A59,November!$A:$A,0)),0)+IFERROR(INDEX(December!$AL:$AL,MATCH($A59,December!$A:$A,0)),0))*0.5</f>
        <v>18.5</v>
      </c>
      <c r="Z59" s="54">
        <f>IFERROR(INDEX(January!$AK:$AK,MATCH($A59,January!$A:$A,0)),0)+IFERROR(INDEX(February!$AH:$AH,MATCH($A59,February!$A:$A,0)),0)+IFERROR(INDEX(March!$AK:$AK,MATCH($A59,March!$A:$A,0)),0)+IFERROR(INDEX(April!$AJ:$AJ,MATCH($A59,April!$A:$A,0)),0)+IFERROR(INDEX(May!$AK:$AK,MATCH($A59,May!$A:$A,0)),0)+IFERROR(INDEX(June!$AJ:$AJ,MATCH($A59,June!$A:$A,0)),0)+IFERROR(INDEX(July!$AK:$AK,MATCH($A59,July!$A:$A,0)),0)+IFERROR(INDEX(August!$AK:$AK,MATCH($A59,August!$A:$A,0)),0)+IFERROR(INDEX(September!$AJ:$AJ,MATCH($A59,September!$A:$A,0)),0)+IFERROR(INDEX(October!$AK:$AK,MATCH($A59,October!$A:$A,0)),0)+IFERROR(INDEX(November!$AJ:$AJ,MATCH($A59,November!$A:$A,0)),0)+IFERROR(INDEX(December!$AK:$AK,MATCH($A59,December!$A:$A,0)),0)</f>
        <v>36</v>
      </c>
      <c r="AA59" s="51">
        <f t="shared" si="12"/>
        <v>54.5</v>
      </c>
      <c r="AB59" s="55">
        <v>17</v>
      </c>
      <c r="AC59" s="56">
        <f t="shared" si="13"/>
        <v>71.5</v>
      </c>
      <c r="AD59" s="57"/>
      <c r="AE59" s="58">
        <f t="shared" si="14"/>
        <v>71.5</v>
      </c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</row>
    <row r="60" spans="1:49" ht="22" customHeight="1" x14ac:dyDescent="0.35">
      <c r="A60" s="8" t="s">
        <v>145</v>
      </c>
      <c r="B60" s="8" t="s">
        <v>146</v>
      </c>
      <c r="C60" s="8" t="s">
        <v>104</v>
      </c>
      <c r="D60" s="10">
        <v>25</v>
      </c>
      <c r="E60" s="10">
        <v>27</v>
      </c>
      <c r="F60" s="10">
        <v>28</v>
      </c>
      <c r="G60" s="11">
        <v>13</v>
      </c>
      <c r="H60" s="11">
        <v>6</v>
      </c>
      <c r="I60" s="10">
        <v>23</v>
      </c>
      <c r="J60" s="10">
        <v>30</v>
      </c>
      <c r="K60" s="10">
        <v>29</v>
      </c>
      <c r="L60" s="10">
        <v>30</v>
      </c>
      <c r="M60" s="11">
        <v>2</v>
      </c>
      <c r="N60" s="10">
        <v>22</v>
      </c>
      <c r="O60" s="10">
        <v>28</v>
      </c>
      <c r="P60" s="8">
        <f>IFERROR(INDEX(January!$AI:$AI,MATCH($A60,January!$A:$A,0)),0)+IFERROR(INDEX(February!$AF:$AF,MATCH($A60,February!$A:$A,0)),0)+IFERROR(INDEX(March!$AI:$AI,MATCH($A60,March!$A:$A,0)),0)+IFERROR(INDEX(April!$AH:$AH,MATCH($A60,April!$A:$A,0)),0)+IFERROR(INDEX(May!$AI:$AI,MATCH($A60,May!$A:$A,0)),0)+IFERROR(INDEX(June!$AH:$AH,MATCH($A60,June!$A:$A,0)),0)+IFERROR(INDEX(July!$AI:$AI,MATCH($A60,July!$A:$A,0)),0)+IFERROR(INDEX(August!$AI:$AI,MATCH($A60,August!$A:$A,0)),0)+IFERROR(INDEX(September!$AH:$AH,MATCH($A60,September!$A:$A,0)),0)+IFERROR(INDEX(October!$AI:$AI,MATCH($A60,October!$A:$A,0)),0)+IFERROR(INDEX(November!$AH:$AH,MATCH($A60,November!$A:$A,0)),0)+IFERROR(INDEX(December!$AI:$AI,MATCH($A60,December!$A:$A,0)),0)</f>
        <v>192</v>
      </c>
      <c r="Q60" s="8">
        <f>IFERROR(INDEX(January!$AJ:$AJ,MATCH($A60,January!$A:$A,0)),0)+IFERROR(INDEX(February!$AG:$AG,MATCH($A60,February!$A:$A,0)),0)+IFERROR(INDEX(March!$AJ:$AJ,MATCH($A60,March!$A:$A,0)),0)+IFERROR(INDEX(April!$AI:$AI,MATCH($A60,April!$A:$A,0)),0)+IFERROR(INDEX(May!$AJ:$AJ,MATCH($A60,May!$A:$A,0)),0)+IFERROR(INDEX(June!$AI:$AI,MATCH($A60,June!$A:$A,0)),0)+IFERROR(INDEX(July!$AJ:$AJ,MATCH($A60,July!$A:$A,0)),0)+IFERROR(INDEX(August!$AJ:$AJ,MATCH($A60,August!$A:$A,0)),0)+IFERROR(INDEX(September!$AI:$AI,MATCH($A60,September!$A:$A,0)),0)+IFERROR(INDEX(October!$AJ:$AJ,MATCH($A60,October!$A:$A,0)),0)+IFERROR(INDEX(November!$AI:$AI,MATCH($A60,November!$A:$A,0)),0)+IFERROR(INDEX(December!$AJ:$AJ,MATCH($A60,December!$A:$A,0)),0)</f>
        <v>69</v>
      </c>
      <c r="R60" s="8">
        <f>IFERROR(INDEX(January!$AK:$AK,MATCH($A60,January!$A:$A,0)),0)+IFERROR(INDEX(February!$AH:$AH,MATCH($A60,February!$A:$A,0)),0)+IFERROR(INDEX(March!$AK:$AK,MATCH($A60,March!$A:$A,0)),0)+IFERROR(INDEX(April!$AJ:$AJ,MATCH($A60,April!$A:$A,0)),0)+IFERROR(INDEX(May!$AK:$AK,MATCH($A60,May!$A:$A,0)),0)+IFERROR(INDEX(June!$AJ:$AJ,MATCH($A60,June!$A:$A,0)),0)+IFERROR(INDEX(July!$AK:$AK,MATCH($A60,July!$A:$A,0)),0)+IFERROR(INDEX(August!$AK:$AK,MATCH($A60,August!$A:$A,0)),0)+IFERROR(INDEX(September!$AJ:$AJ,MATCH($A60,September!$A:$A,0)),0)+IFERROR(INDEX(October!$AK:$AK,MATCH($A60,October!$A:$A,0)),0)+IFERROR(INDEX(November!$AJ:$AJ,MATCH($A60,November!$A:$A,0)),0)+IFERROR(INDEX(December!$AK:$AK,MATCH($A60,December!$A:$A,0)),0)</f>
        <v>36</v>
      </c>
      <c r="S60" s="35">
        <f t="shared" si="10"/>
        <v>0.73563218390804597</v>
      </c>
      <c r="T60" s="38"/>
      <c r="U60" s="51">
        <f>IFERROR(INDEX(January!$AQ:$AQ,MATCH($A60,January!$A:$A,0)),0)+IFERROR(INDEX(February!$AN:$AN,MATCH($A60,February!$A:$A,0)),0)+IFERROR(INDEX(March!$AQ:$AQ,MATCH($A60,March!$A:$A,0)),0)+IFERROR(INDEX(April!$AP:$AP,MATCH($A60,April!$A:$A,0)),0)+IFERROR(INDEX(May!$AQ:$AQ,MATCH($A60,May!$A:$A,0)),0)+IFERROR(INDEX(June!$AP:$AP,MATCH($A60,June!$A:$A,0)),0)+IFERROR(INDEX(July!$AQ:$AQ,MATCH($A60,July!$A:$A,0)),0)+IFERROR(INDEX(August!$AQ:$AQ,MATCH($A60,August!$A:$A,0)),0)+IFERROR(INDEX(September!$AP:$AP,MATCH($A60,September!$A:$A,0)),0)+IFERROR(INDEX(October!$AQ:$AQ,MATCH($A60,October!$A:$A,0)),0)+IFERROR(INDEX(November!$AP:$AP,MATCH($A60,November!$A:$A,0)),0)+IFERROR(INDEX(December!$AQ:$AQ,MATCH($A60,December!$A:$A,0)),0)</f>
        <v>242.5</v>
      </c>
      <c r="V60" s="52">
        <f>IFERROR(INDEX(January!$AJ:$AJ,MATCH($A60,January!$A:$A,0)),0)+IFERROR(INDEX(February!$AG:$AG,MATCH($A60,February!$A:$A,0)),0)+IFERROR(INDEX(March!$AJ:$AJ,MATCH($A60,March!$A:$A,0)),0)+IFERROR(INDEX(April!$AI:$AI,MATCH($A60,April!$A:$A,0)),0)+IFERROR(INDEX(May!$AJ:$AJ,MATCH($A60,May!$A:$A,0)),0)+IFERROR(INDEX(June!$AI:$AI,MATCH($A60,June!$A:$A,0)),0)+IFERROR(INDEX(July!$AJ:$AJ,MATCH($A60,July!$A:$A,0)),0)+IFERROR(INDEX(August!$AJ:$AJ,MATCH($A60,August!$A:$A,0)),0)+IFERROR(INDEX(September!$AI:$AI,MATCH($A60,September!$A:$A,0)),0)+IFERROR(INDEX(October!$AJ:$AJ,MATCH($A60,October!$A:$A,0)),0)+IFERROR(INDEX(November!$AI:$AI,MATCH($A60,November!$A:$A,0)),0)+IFERROR(INDEX(December!$AJ:$AJ,MATCH($A60,December!$A:$A,0)),0)</f>
        <v>69</v>
      </c>
      <c r="W60" s="53">
        <f>IFERROR(INDEX(January!$AO:$AO,MATCH($A60,January!$A:$A,0)),0)+IFERROR(INDEX(February!$AL:$AL,MATCH($A60,February!$A:$A,0)),0)+IFERROR(INDEX(March!$AO:$AO,MATCH($A60,March!$A:$A,0)),0)+IFERROR(INDEX(April!$AN:$AN,MATCH($A60,April!$A:$A,0)),0)+IFERROR(INDEX(May!$AO:$AO,MATCH($A60,May!$A:$A,0)),0)+IFERROR(INDEX(June!$AN:$AN,MATCH($A60,June!$A:$A,0)),0)+IFERROR(INDEX(July!$AO:$AO,MATCH($A60,July!$A:$A,0)),0)+IFERROR(INDEX(August!$AO:$AO,MATCH($A60,August!$A:$A,0)),0)+IFERROR(INDEX(September!$AN:$AN,MATCH($A60,September!$A:$A,0)),0)+IFERROR(INDEX(October!$AO:$AO,MATCH($A60,October!$A:$A,0)),0)+IFERROR(INDEX(November!$AN:$AN,MATCH($A60,November!$A:$A,0)),0)+IFERROR(INDEX(December!$AO:$AO,MATCH($A60,December!$A:$A,0)),0)</f>
        <v>6</v>
      </c>
      <c r="X60" s="53">
        <f t="shared" si="11"/>
        <v>3</v>
      </c>
      <c r="Y60" s="53">
        <f>(IFERROR(INDEX(January!$AL:$AL,MATCH($A60,January!$A:$A,0)),0)+IFERROR(INDEX(February!$AI:$AI,MATCH($A60,February!$A:$A,0)),0)+IFERROR(INDEX(March!$AL:$AL,MATCH($A60,March!$A:$A,0)),0)+IFERROR(INDEX(April!$AK:$AK,MATCH($A60,April!$A:$A,0)),0)+IFERROR(INDEX(May!$AL:$AL,MATCH($A60,May!$A:$A,0)),0)+IFERROR(INDEX(June!$AK:$AK,MATCH($A60,June!$A:$A,0)),0)+IFERROR(INDEX(July!$AL:$AL,MATCH($A60,July!$A:$A,0)),0)+IFERROR(INDEX(August!$AL:$AL,MATCH($A60,August!$A:$A,0)),0)+IFERROR(INDEX(September!$AK:$AK,MATCH($A60,September!$A:$A,0)),0)+IFERROR(INDEX(October!$AL:$AL,MATCH($A60,October!$A:$A,0)),0)+IFERROR(INDEX(November!$AK:$AK,MATCH($A60,November!$A:$A,0)),0)+IFERROR(INDEX(December!$AL:$AL,MATCH($A60,December!$A:$A,0)),0))*0.5</f>
        <v>17.5</v>
      </c>
      <c r="Z60" s="54">
        <f>IFERROR(INDEX(January!$AK:$AK,MATCH($A60,January!$A:$A,0)),0)+IFERROR(INDEX(February!$AH:$AH,MATCH($A60,February!$A:$A,0)),0)+IFERROR(INDEX(March!$AK:$AK,MATCH($A60,March!$A:$A,0)),0)+IFERROR(INDEX(April!$AJ:$AJ,MATCH($A60,April!$A:$A,0)),0)+IFERROR(INDEX(May!$AK:$AK,MATCH($A60,May!$A:$A,0)),0)+IFERROR(INDEX(June!$AJ:$AJ,MATCH($A60,June!$A:$A,0)),0)+IFERROR(INDEX(July!$AK:$AK,MATCH($A60,July!$A:$A,0)),0)+IFERROR(INDEX(August!$AK:$AK,MATCH($A60,August!$A:$A,0)),0)+IFERROR(INDEX(September!$AJ:$AJ,MATCH($A60,September!$A:$A,0)),0)+IFERROR(INDEX(October!$AK:$AK,MATCH($A60,October!$A:$A,0)),0)+IFERROR(INDEX(November!$AJ:$AJ,MATCH($A60,November!$A:$A,0)),0)+IFERROR(INDEX(December!$AK:$AK,MATCH($A60,December!$A:$A,0)),0)</f>
        <v>36</v>
      </c>
      <c r="AA60" s="51">
        <f t="shared" si="12"/>
        <v>53.5</v>
      </c>
      <c r="AB60" s="55">
        <v>17</v>
      </c>
      <c r="AC60" s="56">
        <f t="shared" si="13"/>
        <v>70.5</v>
      </c>
      <c r="AD60" s="57"/>
      <c r="AE60" s="58">
        <f t="shared" si="14"/>
        <v>70.5</v>
      </c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</row>
    <row r="61" spans="1:49" ht="22" customHeight="1" x14ac:dyDescent="0.35">
      <c r="A61" s="8" t="s">
        <v>147</v>
      </c>
      <c r="B61" s="8" t="s">
        <v>148</v>
      </c>
      <c r="C61" s="8" t="s">
        <v>104</v>
      </c>
      <c r="D61" s="11">
        <v>9</v>
      </c>
      <c r="E61" s="10">
        <v>25</v>
      </c>
      <c r="F61" s="11">
        <v>15</v>
      </c>
      <c r="G61" s="11">
        <v>11</v>
      </c>
      <c r="H61" s="11">
        <v>14</v>
      </c>
      <c r="I61" s="10">
        <v>25</v>
      </c>
      <c r="J61" s="10">
        <v>21</v>
      </c>
      <c r="K61" s="10">
        <v>25</v>
      </c>
      <c r="L61" s="10">
        <v>22</v>
      </c>
      <c r="M61" s="10">
        <v>28</v>
      </c>
      <c r="N61" s="11">
        <v>7</v>
      </c>
      <c r="O61" s="10">
        <v>22</v>
      </c>
      <c r="P61" s="8">
        <f>IFERROR(INDEX(January!$AI:$AI,MATCH($A61,January!$A:$A,0)),0)+IFERROR(INDEX(February!$AF:$AF,MATCH($A61,February!$A:$A,0)),0)+IFERROR(INDEX(March!$AI:$AI,MATCH($A61,March!$A:$A,0)),0)+IFERROR(INDEX(April!$AH:$AH,MATCH($A61,April!$A:$A,0)),0)+IFERROR(INDEX(May!$AI:$AI,MATCH($A61,May!$A:$A,0)),0)+IFERROR(INDEX(June!$AH:$AH,MATCH($A61,June!$A:$A,0)),0)+IFERROR(INDEX(July!$AI:$AI,MATCH($A61,July!$A:$A,0)),0)+IFERROR(INDEX(August!$AI:$AI,MATCH($A61,August!$A:$A,0)),0)+IFERROR(INDEX(September!$AH:$AH,MATCH($A61,September!$A:$A,0)),0)+IFERROR(INDEX(October!$AI:$AI,MATCH($A61,October!$A:$A,0)),0)+IFERROR(INDEX(November!$AH:$AH,MATCH($A61,November!$A:$A,0)),0)+IFERROR(INDEX(December!$AI:$AI,MATCH($A61,December!$A:$A,0)),0)</f>
        <v>163</v>
      </c>
      <c r="Q61" s="8">
        <f>IFERROR(INDEX(January!$AJ:$AJ,MATCH($A61,January!$A:$A,0)),0)+IFERROR(INDEX(February!$AG:$AG,MATCH($A61,February!$A:$A,0)),0)+IFERROR(INDEX(March!$AJ:$AJ,MATCH($A61,March!$A:$A,0)),0)+IFERROR(INDEX(April!$AI:$AI,MATCH($A61,April!$A:$A,0)),0)+IFERROR(INDEX(May!$AJ:$AJ,MATCH($A61,May!$A:$A,0)),0)+IFERROR(INDEX(June!$AI:$AI,MATCH($A61,June!$A:$A,0)),0)+IFERROR(INDEX(July!$AJ:$AJ,MATCH($A61,July!$A:$A,0)),0)+IFERROR(INDEX(August!$AJ:$AJ,MATCH($A61,August!$A:$A,0)),0)+IFERROR(INDEX(September!$AI:$AI,MATCH($A61,September!$A:$A,0)),0)+IFERROR(INDEX(October!$AJ:$AJ,MATCH($A61,October!$A:$A,0)),0)+IFERROR(INDEX(November!$AI:$AI,MATCH($A61,November!$A:$A,0)),0)+IFERROR(INDEX(December!$AJ:$AJ,MATCH($A61,December!$A:$A,0)),0)</f>
        <v>98</v>
      </c>
      <c r="R61" s="8">
        <f>IFERROR(INDEX(January!$AK:$AK,MATCH($A61,January!$A:$A,0)),0)+IFERROR(INDEX(February!$AH:$AH,MATCH($A61,February!$A:$A,0)),0)+IFERROR(INDEX(March!$AK:$AK,MATCH($A61,March!$A:$A,0)),0)+IFERROR(INDEX(April!$AJ:$AJ,MATCH($A61,April!$A:$A,0)),0)+IFERROR(INDEX(May!$AK:$AK,MATCH($A61,May!$A:$A,0)),0)+IFERROR(INDEX(June!$AJ:$AJ,MATCH($A61,June!$A:$A,0)),0)+IFERROR(INDEX(July!$AK:$AK,MATCH($A61,July!$A:$A,0)),0)+IFERROR(INDEX(August!$AK:$AK,MATCH($A61,August!$A:$A,0)),0)+IFERROR(INDEX(September!$AJ:$AJ,MATCH($A61,September!$A:$A,0)),0)+IFERROR(INDEX(October!$AK:$AK,MATCH($A61,October!$A:$A,0)),0)+IFERROR(INDEX(November!$AJ:$AJ,MATCH($A61,November!$A:$A,0)),0)+IFERROR(INDEX(December!$AK:$AK,MATCH($A61,December!$A:$A,0)),0)</f>
        <v>29</v>
      </c>
      <c r="S61" s="36">
        <f t="shared" si="10"/>
        <v>0.62452107279693492</v>
      </c>
      <c r="T61" s="38"/>
      <c r="U61" s="51">
        <f>IFERROR(INDEX(January!$AQ:$AQ,MATCH($A61,January!$A:$A,0)),0)+IFERROR(INDEX(February!$AN:$AN,MATCH($A61,February!$A:$A,0)),0)+IFERROR(INDEX(March!$AQ:$AQ,MATCH($A61,March!$A:$A,0)),0)+IFERROR(INDEX(April!$AP:$AP,MATCH($A61,April!$A:$A,0)),0)+IFERROR(INDEX(May!$AQ:$AQ,MATCH($A61,May!$A:$A,0)),0)+IFERROR(INDEX(June!$AP:$AP,MATCH($A61,June!$A:$A,0)),0)+IFERROR(INDEX(July!$AQ:$AQ,MATCH($A61,July!$A:$A,0)),0)+IFERROR(INDEX(August!$AQ:$AQ,MATCH($A61,August!$A:$A,0)),0)+IFERROR(INDEX(September!$AP:$AP,MATCH($A61,September!$A:$A,0)),0)+IFERROR(INDEX(October!$AQ:$AQ,MATCH($A61,October!$A:$A,0)),0)+IFERROR(INDEX(November!$AP:$AP,MATCH($A61,November!$A:$A,0)),0)+IFERROR(INDEX(December!$AQ:$AQ,MATCH($A61,December!$A:$A,0)),0)</f>
        <v>207</v>
      </c>
      <c r="V61" s="52">
        <f>IFERROR(INDEX(January!$AJ:$AJ,MATCH($A61,January!$A:$A,0)),0)+IFERROR(INDEX(February!$AG:$AG,MATCH($A61,February!$A:$A,0)),0)+IFERROR(INDEX(March!$AJ:$AJ,MATCH($A61,March!$A:$A,0)),0)+IFERROR(INDEX(April!$AI:$AI,MATCH($A61,April!$A:$A,0)),0)+IFERROR(INDEX(May!$AJ:$AJ,MATCH($A61,May!$A:$A,0)),0)+IFERROR(INDEX(June!$AI:$AI,MATCH($A61,June!$A:$A,0)),0)+IFERROR(INDEX(July!$AJ:$AJ,MATCH($A61,July!$A:$A,0)),0)+IFERROR(INDEX(August!$AJ:$AJ,MATCH($A61,August!$A:$A,0)),0)+IFERROR(INDEX(September!$AI:$AI,MATCH($A61,September!$A:$A,0)),0)+IFERROR(INDEX(October!$AJ:$AJ,MATCH($A61,October!$A:$A,0)),0)+IFERROR(INDEX(November!$AI:$AI,MATCH($A61,November!$A:$A,0)),0)+IFERROR(INDEX(December!$AJ:$AJ,MATCH($A61,December!$A:$A,0)),0)</f>
        <v>98</v>
      </c>
      <c r="W61" s="53">
        <f>IFERROR(INDEX(January!$AO:$AO,MATCH($A61,January!$A:$A,0)),0)+IFERROR(INDEX(February!$AL:$AL,MATCH($A61,February!$A:$A,0)),0)+IFERROR(INDEX(March!$AO:$AO,MATCH($A61,March!$A:$A,0)),0)+IFERROR(INDEX(April!$AN:$AN,MATCH($A61,April!$A:$A,0)),0)+IFERROR(INDEX(May!$AO:$AO,MATCH($A61,May!$A:$A,0)),0)+IFERROR(INDEX(June!$AN:$AN,MATCH($A61,June!$A:$A,0)),0)+IFERROR(INDEX(July!$AO:$AO,MATCH($A61,July!$A:$A,0)),0)+IFERROR(INDEX(August!$AO:$AO,MATCH($A61,August!$A:$A,0)),0)+IFERROR(INDEX(September!$AN:$AN,MATCH($A61,September!$A:$A,0)),0)+IFERROR(INDEX(October!$AO:$AO,MATCH($A61,October!$A:$A,0)),0)+IFERROR(INDEX(November!$AN:$AN,MATCH($A61,November!$A:$A,0)),0)+IFERROR(INDEX(December!$AO:$AO,MATCH($A61,December!$A:$A,0)),0)</f>
        <v>2</v>
      </c>
      <c r="X61" s="53">
        <f t="shared" si="11"/>
        <v>1</v>
      </c>
      <c r="Y61" s="53">
        <f>(IFERROR(INDEX(January!$AL:$AL,MATCH($A61,January!$A:$A,0)),0)+IFERROR(INDEX(February!$AI:$AI,MATCH($A61,February!$A:$A,0)),0)+IFERROR(INDEX(March!$AL:$AL,MATCH($A61,March!$A:$A,0)),0)+IFERROR(INDEX(April!$AK:$AK,MATCH($A61,April!$A:$A,0)),0)+IFERROR(INDEX(May!$AL:$AL,MATCH($A61,May!$A:$A,0)),0)+IFERROR(INDEX(June!$AK:$AK,MATCH($A61,June!$A:$A,0)),0)+IFERROR(INDEX(July!$AL:$AL,MATCH($A61,July!$A:$A,0)),0)+IFERROR(INDEX(August!$AL:$AL,MATCH($A61,August!$A:$A,0)),0)+IFERROR(INDEX(September!$AK:$AK,MATCH($A61,September!$A:$A,0)),0)+IFERROR(INDEX(October!$AL:$AL,MATCH($A61,October!$A:$A,0)),0)+IFERROR(INDEX(November!$AK:$AK,MATCH($A61,November!$A:$A,0)),0)+IFERROR(INDEX(December!$AL:$AL,MATCH($A61,December!$A:$A,0)),0))*0.5</f>
        <v>16</v>
      </c>
      <c r="Z61" s="54">
        <f>IFERROR(INDEX(January!$AK:$AK,MATCH($A61,January!$A:$A,0)),0)+IFERROR(INDEX(February!$AH:$AH,MATCH($A61,February!$A:$A,0)),0)+IFERROR(INDEX(March!$AK:$AK,MATCH($A61,March!$A:$A,0)),0)+IFERROR(INDEX(April!$AJ:$AJ,MATCH($A61,April!$A:$A,0)),0)+IFERROR(INDEX(May!$AK:$AK,MATCH($A61,May!$A:$A,0)),0)+IFERROR(INDEX(June!$AJ:$AJ,MATCH($A61,June!$A:$A,0)),0)+IFERROR(INDEX(July!$AK:$AK,MATCH($A61,July!$A:$A,0)),0)+IFERROR(INDEX(August!$AK:$AK,MATCH($A61,August!$A:$A,0)),0)+IFERROR(INDEX(September!$AJ:$AJ,MATCH($A61,September!$A:$A,0)),0)+IFERROR(INDEX(October!$AK:$AK,MATCH($A61,October!$A:$A,0)),0)+IFERROR(INDEX(November!$AJ:$AJ,MATCH($A61,November!$A:$A,0)),0)+IFERROR(INDEX(December!$AK:$AK,MATCH($A61,December!$A:$A,0)),0)</f>
        <v>29</v>
      </c>
      <c r="AA61" s="51">
        <f t="shared" si="12"/>
        <v>45</v>
      </c>
      <c r="AB61" s="55">
        <v>17</v>
      </c>
      <c r="AC61" s="56">
        <f t="shared" si="13"/>
        <v>62</v>
      </c>
      <c r="AD61" s="57"/>
      <c r="AE61" s="58">
        <f t="shared" si="14"/>
        <v>62</v>
      </c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</row>
    <row r="62" spans="1:49" ht="22" customHeight="1" x14ac:dyDescent="0.35">
      <c r="A62" s="8" t="s">
        <v>149</v>
      </c>
      <c r="B62" s="8" t="s">
        <v>150</v>
      </c>
      <c r="C62" s="8" t="s">
        <v>104</v>
      </c>
      <c r="D62" s="10">
        <v>31</v>
      </c>
      <c r="E62" s="10">
        <v>22</v>
      </c>
      <c r="F62" s="11">
        <v>18</v>
      </c>
      <c r="G62" s="11">
        <v>11</v>
      </c>
      <c r="H62" s="11">
        <v>19</v>
      </c>
      <c r="I62" s="10">
        <v>25</v>
      </c>
      <c r="J62" s="10">
        <v>29</v>
      </c>
      <c r="K62" s="10">
        <v>31</v>
      </c>
      <c r="L62" s="10">
        <v>26</v>
      </c>
      <c r="M62" s="11">
        <v>9</v>
      </c>
      <c r="N62" s="11">
        <v>15</v>
      </c>
      <c r="O62" s="11">
        <v>7</v>
      </c>
      <c r="P62" s="8">
        <f>IFERROR(INDEX(January!$AI:$AI,MATCH($A62,January!$A:$A,0)),0)+IFERROR(INDEX(February!$AF:$AF,MATCH($A62,February!$A:$A,0)),0)+IFERROR(INDEX(March!$AI:$AI,MATCH($A62,March!$A:$A,0)),0)+IFERROR(INDEX(April!$AH:$AH,MATCH($A62,April!$A:$A,0)),0)+IFERROR(INDEX(May!$AI:$AI,MATCH($A62,May!$A:$A,0)),0)+IFERROR(INDEX(June!$AH:$AH,MATCH($A62,June!$A:$A,0)),0)+IFERROR(INDEX(July!$AI:$AI,MATCH($A62,July!$A:$A,0)),0)+IFERROR(INDEX(August!$AI:$AI,MATCH($A62,August!$A:$A,0)),0)+IFERROR(INDEX(September!$AH:$AH,MATCH($A62,September!$A:$A,0)),0)+IFERROR(INDEX(October!$AI:$AI,MATCH($A62,October!$A:$A,0)),0)+IFERROR(INDEX(November!$AH:$AH,MATCH($A62,November!$A:$A,0)),0)+IFERROR(INDEX(December!$AI:$AI,MATCH($A62,December!$A:$A,0)),0)</f>
        <v>175</v>
      </c>
      <c r="Q62" s="8">
        <f>IFERROR(INDEX(January!$AJ:$AJ,MATCH($A62,January!$A:$A,0)),0)+IFERROR(INDEX(February!$AG:$AG,MATCH($A62,February!$A:$A,0)),0)+IFERROR(INDEX(March!$AJ:$AJ,MATCH($A62,March!$A:$A,0)),0)+IFERROR(INDEX(April!$AI:$AI,MATCH($A62,April!$A:$A,0)),0)+IFERROR(INDEX(May!$AJ:$AJ,MATCH($A62,May!$A:$A,0)),0)+IFERROR(INDEX(June!$AI:$AI,MATCH($A62,June!$A:$A,0)),0)+IFERROR(INDEX(July!$AJ:$AJ,MATCH($A62,July!$A:$A,0)),0)+IFERROR(INDEX(August!$AJ:$AJ,MATCH($A62,August!$A:$A,0)),0)+IFERROR(INDEX(September!$AI:$AI,MATCH($A62,September!$A:$A,0)),0)+IFERROR(INDEX(October!$AJ:$AJ,MATCH($A62,October!$A:$A,0)),0)+IFERROR(INDEX(November!$AI:$AI,MATCH($A62,November!$A:$A,0)),0)+IFERROR(INDEX(December!$AJ:$AJ,MATCH($A62,December!$A:$A,0)),0)</f>
        <v>86</v>
      </c>
      <c r="R62" s="8">
        <f>IFERROR(INDEX(January!$AK:$AK,MATCH($A62,January!$A:$A,0)),0)+IFERROR(INDEX(February!$AH:$AH,MATCH($A62,February!$A:$A,0)),0)+IFERROR(INDEX(March!$AK:$AK,MATCH($A62,March!$A:$A,0)),0)+IFERROR(INDEX(April!$AJ:$AJ,MATCH($A62,April!$A:$A,0)),0)+IFERROR(INDEX(May!$AK:$AK,MATCH($A62,May!$A:$A,0)),0)+IFERROR(INDEX(June!$AJ:$AJ,MATCH($A62,June!$A:$A,0)),0)+IFERROR(INDEX(July!$AK:$AK,MATCH($A62,July!$A:$A,0)),0)+IFERROR(INDEX(August!$AK:$AK,MATCH($A62,August!$A:$A,0)),0)+IFERROR(INDEX(September!$AJ:$AJ,MATCH($A62,September!$A:$A,0)),0)+IFERROR(INDEX(October!$AK:$AK,MATCH($A62,October!$A:$A,0)),0)+IFERROR(INDEX(November!$AJ:$AJ,MATCH($A62,November!$A:$A,0)),0)+IFERROR(INDEX(December!$AK:$AK,MATCH($A62,December!$A:$A,0)),0)</f>
        <v>34</v>
      </c>
      <c r="S62" s="35">
        <f t="shared" si="10"/>
        <v>0.67049808429118773</v>
      </c>
      <c r="T62" s="38"/>
      <c r="U62" s="51">
        <f>IFERROR(INDEX(January!$AQ:$AQ,MATCH($A62,January!$A:$A,0)),0)+IFERROR(INDEX(February!$AN:$AN,MATCH($A62,February!$A:$A,0)),0)+IFERROR(INDEX(March!$AQ:$AQ,MATCH($A62,March!$A:$A,0)),0)+IFERROR(INDEX(April!$AP:$AP,MATCH($A62,April!$A:$A,0)),0)+IFERROR(INDEX(May!$AQ:$AQ,MATCH($A62,May!$A:$A,0)),0)+IFERROR(INDEX(June!$AP:$AP,MATCH($A62,June!$A:$A,0)),0)+IFERROR(INDEX(July!$AQ:$AQ,MATCH($A62,July!$A:$A,0)),0)+IFERROR(INDEX(August!$AQ:$AQ,MATCH($A62,August!$A:$A,0)),0)+IFERROR(INDEX(September!$AP:$AP,MATCH($A62,September!$A:$A,0)),0)+IFERROR(INDEX(October!$AQ:$AQ,MATCH($A62,October!$A:$A,0)),0)+IFERROR(INDEX(November!$AP:$AP,MATCH($A62,November!$A:$A,0)),0)+IFERROR(INDEX(December!$AQ:$AQ,MATCH($A62,December!$A:$A,0)),0)</f>
        <v>224</v>
      </c>
      <c r="V62" s="52">
        <f>IFERROR(INDEX(January!$AJ:$AJ,MATCH($A62,January!$A:$A,0)),0)+IFERROR(INDEX(February!$AG:$AG,MATCH($A62,February!$A:$A,0)),0)+IFERROR(INDEX(March!$AJ:$AJ,MATCH($A62,March!$A:$A,0)),0)+IFERROR(INDEX(April!$AI:$AI,MATCH($A62,April!$A:$A,0)),0)+IFERROR(INDEX(May!$AJ:$AJ,MATCH($A62,May!$A:$A,0)),0)+IFERROR(INDEX(June!$AI:$AI,MATCH($A62,June!$A:$A,0)),0)+IFERROR(INDEX(July!$AJ:$AJ,MATCH($A62,July!$A:$A,0)),0)+IFERROR(INDEX(August!$AJ:$AJ,MATCH($A62,August!$A:$A,0)),0)+IFERROR(INDEX(September!$AI:$AI,MATCH($A62,September!$A:$A,0)),0)+IFERROR(INDEX(October!$AJ:$AJ,MATCH($A62,October!$A:$A,0)),0)+IFERROR(INDEX(November!$AI:$AI,MATCH($A62,November!$A:$A,0)),0)+IFERROR(INDEX(December!$AJ:$AJ,MATCH($A62,December!$A:$A,0)),0)</f>
        <v>86</v>
      </c>
      <c r="W62" s="53">
        <f>IFERROR(INDEX(January!$AO:$AO,MATCH($A62,January!$A:$A,0)),0)+IFERROR(INDEX(February!$AL:$AL,MATCH($A62,February!$A:$A,0)),0)+IFERROR(INDEX(March!$AO:$AO,MATCH($A62,March!$A:$A,0)),0)+IFERROR(INDEX(April!$AN:$AN,MATCH($A62,April!$A:$A,0)),0)+IFERROR(INDEX(May!$AO:$AO,MATCH($A62,May!$A:$A,0)),0)+IFERROR(INDEX(June!$AN:$AN,MATCH($A62,June!$A:$A,0)),0)+IFERROR(INDEX(July!$AO:$AO,MATCH($A62,July!$A:$A,0)),0)+IFERROR(INDEX(August!$AO:$AO,MATCH($A62,August!$A:$A,0)),0)+IFERROR(INDEX(September!$AN:$AN,MATCH($A62,September!$A:$A,0)),0)+IFERROR(INDEX(October!$AO:$AO,MATCH($A62,October!$A:$A,0)),0)+IFERROR(INDEX(November!$AN:$AN,MATCH($A62,November!$A:$A,0)),0)+IFERROR(INDEX(December!$AO:$AO,MATCH($A62,December!$A:$A,0)),0)</f>
        <v>4</v>
      </c>
      <c r="X62" s="53">
        <f t="shared" si="11"/>
        <v>2</v>
      </c>
      <c r="Y62" s="53">
        <f>(IFERROR(INDEX(January!$AL:$AL,MATCH($A62,January!$A:$A,0)),0)+IFERROR(INDEX(February!$AI:$AI,MATCH($A62,February!$A:$A,0)),0)+IFERROR(INDEX(March!$AL:$AL,MATCH($A62,March!$A:$A,0)),0)+IFERROR(INDEX(April!$AK:$AK,MATCH($A62,April!$A:$A,0)),0)+IFERROR(INDEX(May!$AL:$AL,MATCH($A62,May!$A:$A,0)),0)+IFERROR(INDEX(June!$AK:$AK,MATCH($A62,June!$A:$A,0)),0)+IFERROR(INDEX(July!$AL:$AL,MATCH($A62,July!$A:$A,0)),0)+IFERROR(INDEX(August!$AL:$AL,MATCH($A62,August!$A:$A,0)),0)+IFERROR(INDEX(September!$AK:$AK,MATCH($A62,September!$A:$A,0)),0)+IFERROR(INDEX(October!$AL:$AL,MATCH($A62,October!$A:$A,0)),0)+IFERROR(INDEX(November!$AK:$AK,MATCH($A62,November!$A:$A,0)),0)+IFERROR(INDEX(December!$AL:$AL,MATCH($A62,December!$A:$A,0)),0))*0.5</f>
        <v>17</v>
      </c>
      <c r="Z62" s="54">
        <f>IFERROR(INDEX(January!$AK:$AK,MATCH($A62,January!$A:$A,0)),0)+IFERROR(INDEX(February!$AH:$AH,MATCH($A62,February!$A:$A,0)),0)+IFERROR(INDEX(March!$AK:$AK,MATCH($A62,March!$A:$A,0)),0)+IFERROR(INDEX(April!$AJ:$AJ,MATCH($A62,April!$A:$A,0)),0)+IFERROR(INDEX(May!$AK:$AK,MATCH($A62,May!$A:$A,0)),0)+IFERROR(INDEX(June!$AJ:$AJ,MATCH($A62,June!$A:$A,0)),0)+IFERROR(INDEX(July!$AK:$AK,MATCH($A62,July!$A:$A,0)),0)+IFERROR(INDEX(August!$AK:$AK,MATCH($A62,August!$A:$A,0)),0)+IFERROR(INDEX(September!$AJ:$AJ,MATCH($A62,September!$A:$A,0)),0)+IFERROR(INDEX(October!$AK:$AK,MATCH($A62,October!$A:$A,0)),0)+IFERROR(INDEX(November!$AJ:$AJ,MATCH($A62,November!$A:$A,0)),0)+IFERROR(INDEX(December!$AK:$AK,MATCH($A62,December!$A:$A,0)),0)</f>
        <v>34</v>
      </c>
      <c r="AA62" s="51">
        <f t="shared" si="12"/>
        <v>51</v>
      </c>
      <c r="AB62" s="55">
        <v>17</v>
      </c>
      <c r="AC62" s="56">
        <f t="shared" si="13"/>
        <v>68</v>
      </c>
      <c r="AD62" s="57"/>
      <c r="AE62" s="58">
        <f t="shared" si="14"/>
        <v>68</v>
      </c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</row>
    <row r="63" spans="1:49" ht="22" customHeight="1" x14ac:dyDescent="0.35">
      <c r="A63" s="8" t="s">
        <v>151</v>
      </c>
      <c r="B63" s="8" t="s">
        <v>152</v>
      </c>
      <c r="C63" s="8" t="s">
        <v>104</v>
      </c>
      <c r="D63" s="10">
        <v>27</v>
      </c>
      <c r="E63" s="10">
        <v>21</v>
      </c>
      <c r="F63" s="10">
        <v>27</v>
      </c>
      <c r="G63" s="11">
        <v>11</v>
      </c>
      <c r="H63" s="11">
        <v>7</v>
      </c>
      <c r="I63" s="10">
        <v>23</v>
      </c>
      <c r="J63" s="10">
        <v>23</v>
      </c>
      <c r="K63" s="10">
        <v>20</v>
      </c>
      <c r="L63" s="10">
        <v>28</v>
      </c>
      <c r="M63" s="10">
        <v>28</v>
      </c>
      <c r="N63" s="10">
        <v>22</v>
      </c>
      <c r="O63" s="11">
        <v>8</v>
      </c>
      <c r="P63" s="8">
        <f>IFERROR(INDEX(January!$AI:$AI,MATCH($A63,January!$A:$A,0)),0)+IFERROR(INDEX(February!$AF:$AF,MATCH($A63,February!$A:$A,0)),0)+IFERROR(INDEX(March!$AI:$AI,MATCH($A63,March!$A:$A,0)),0)+IFERROR(INDEX(April!$AH:$AH,MATCH($A63,April!$A:$A,0)),0)+IFERROR(INDEX(May!$AI:$AI,MATCH($A63,May!$A:$A,0)),0)+IFERROR(INDEX(June!$AH:$AH,MATCH($A63,June!$A:$A,0)),0)+IFERROR(INDEX(July!$AI:$AI,MATCH($A63,July!$A:$A,0)),0)+IFERROR(INDEX(August!$AI:$AI,MATCH($A63,August!$A:$A,0)),0)+IFERROR(INDEX(September!$AH:$AH,MATCH($A63,September!$A:$A,0)),0)+IFERROR(INDEX(October!$AI:$AI,MATCH($A63,October!$A:$A,0)),0)+IFERROR(INDEX(November!$AH:$AH,MATCH($A63,November!$A:$A,0)),0)+IFERROR(INDEX(December!$AI:$AI,MATCH($A63,December!$A:$A,0)),0)</f>
        <v>177</v>
      </c>
      <c r="Q63" s="8">
        <f>IFERROR(INDEX(January!$AJ:$AJ,MATCH($A63,January!$A:$A,0)),0)+IFERROR(INDEX(February!$AG:$AG,MATCH($A63,February!$A:$A,0)),0)+IFERROR(INDEX(March!$AJ:$AJ,MATCH($A63,March!$A:$A,0)),0)+IFERROR(INDEX(April!$AI:$AI,MATCH($A63,April!$A:$A,0)),0)+IFERROR(INDEX(May!$AJ:$AJ,MATCH($A63,May!$A:$A,0)),0)+IFERROR(INDEX(June!$AI:$AI,MATCH($A63,June!$A:$A,0)),0)+IFERROR(INDEX(July!$AJ:$AJ,MATCH($A63,July!$A:$A,0)),0)+IFERROR(INDEX(August!$AJ:$AJ,MATCH($A63,August!$A:$A,0)),0)+IFERROR(INDEX(September!$AI:$AI,MATCH($A63,September!$A:$A,0)),0)+IFERROR(INDEX(October!$AJ:$AJ,MATCH($A63,October!$A:$A,0)),0)+IFERROR(INDEX(November!$AI:$AI,MATCH($A63,November!$A:$A,0)),0)+IFERROR(INDEX(December!$AJ:$AJ,MATCH($A63,December!$A:$A,0)),0)</f>
        <v>84</v>
      </c>
      <c r="R63" s="8">
        <f>IFERROR(INDEX(January!$AK:$AK,MATCH($A63,January!$A:$A,0)),0)+IFERROR(INDEX(February!$AH:$AH,MATCH($A63,February!$A:$A,0)),0)+IFERROR(INDEX(March!$AK:$AK,MATCH($A63,March!$A:$A,0)),0)+IFERROR(INDEX(April!$AJ:$AJ,MATCH($A63,April!$A:$A,0)),0)+IFERROR(INDEX(May!$AK:$AK,MATCH($A63,May!$A:$A,0)),0)+IFERROR(INDEX(June!$AJ:$AJ,MATCH($A63,June!$A:$A,0)),0)+IFERROR(INDEX(July!$AK:$AK,MATCH($A63,July!$A:$A,0)),0)+IFERROR(INDEX(August!$AK:$AK,MATCH($A63,August!$A:$A,0)),0)+IFERROR(INDEX(September!$AJ:$AJ,MATCH($A63,September!$A:$A,0)),0)+IFERROR(INDEX(October!$AK:$AK,MATCH($A63,October!$A:$A,0)),0)+IFERROR(INDEX(November!$AJ:$AJ,MATCH($A63,November!$A:$A,0)),0)+IFERROR(INDEX(December!$AK:$AK,MATCH($A63,December!$A:$A,0)),0)</f>
        <v>35</v>
      </c>
      <c r="S63" s="35">
        <f t="shared" si="10"/>
        <v>0.67816091954022983</v>
      </c>
      <c r="T63" s="38"/>
      <c r="U63" s="51">
        <f>IFERROR(INDEX(January!$AQ:$AQ,MATCH($A63,January!$A:$A,0)),0)+IFERROR(INDEX(February!$AN:$AN,MATCH($A63,February!$A:$A,0)),0)+IFERROR(INDEX(March!$AQ:$AQ,MATCH($A63,March!$A:$A,0)),0)+IFERROR(INDEX(April!$AP:$AP,MATCH($A63,April!$A:$A,0)),0)+IFERROR(INDEX(May!$AQ:$AQ,MATCH($A63,May!$A:$A,0)),0)+IFERROR(INDEX(June!$AP:$AP,MATCH($A63,June!$A:$A,0)),0)+IFERROR(INDEX(July!$AQ:$AQ,MATCH($A63,July!$A:$A,0)),0)+IFERROR(INDEX(August!$AQ:$AQ,MATCH($A63,August!$A:$A,0)),0)+IFERROR(INDEX(September!$AP:$AP,MATCH($A63,September!$A:$A,0)),0)+IFERROR(INDEX(October!$AQ:$AQ,MATCH($A63,October!$A:$A,0)),0)+IFERROR(INDEX(November!$AP:$AP,MATCH($A63,November!$A:$A,0)),0)+IFERROR(INDEX(December!$AQ:$AQ,MATCH($A63,December!$A:$A,0)),0)</f>
        <v>225.5</v>
      </c>
      <c r="V63" s="52">
        <f>IFERROR(INDEX(January!$AJ:$AJ,MATCH($A63,January!$A:$A,0)),0)+IFERROR(INDEX(February!$AG:$AG,MATCH($A63,February!$A:$A,0)),0)+IFERROR(INDEX(March!$AJ:$AJ,MATCH($A63,March!$A:$A,0)),0)+IFERROR(INDEX(April!$AI:$AI,MATCH($A63,April!$A:$A,0)),0)+IFERROR(INDEX(May!$AJ:$AJ,MATCH($A63,May!$A:$A,0)),0)+IFERROR(INDEX(June!$AI:$AI,MATCH($A63,June!$A:$A,0)),0)+IFERROR(INDEX(July!$AJ:$AJ,MATCH($A63,July!$A:$A,0)),0)+IFERROR(INDEX(August!$AJ:$AJ,MATCH($A63,August!$A:$A,0)),0)+IFERROR(INDEX(September!$AI:$AI,MATCH($A63,September!$A:$A,0)),0)+IFERROR(INDEX(October!$AJ:$AJ,MATCH($A63,October!$A:$A,0)),0)+IFERROR(INDEX(November!$AI:$AI,MATCH($A63,November!$A:$A,0)),0)+IFERROR(INDEX(December!$AJ:$AJ,MATCH($A63,December!$A:$A,0)),0)</f>
        <v>84</v>
      </c>
      <c r="W63" s="53">
        <f>IFERROR(INDEX(January!$AO:$AO,MATCH($A63,January!$A:$A,0)),0)+IFERROR(INDEX(February!$AL:$AL,MATCH($A63,February!$A:$A,0)),0)+IFERROR(INDEX(March!$AO:$AO,MATCH($A63,March!$A:$A,0)),0)+IFERROR(INDEX(April!$AN:$AN,MATCH($A63,April!$A:$A,0)),0)+IFERROR(INDEX(May!$AO:$AO,MATCH($A63,May!$A:$A,0)),0)+IFERROR(INDEX(June!$AN:$AN,MATCH($A63,June!$A:$A,0)),0)+IFERROR(INDEX(July!$AO:$AO,MATCH($A63,July!$A:$A,0)),0)+IFERROR(INDEX(August!$AO:$AO,MATCH($A63,August!$A:$A,0)),0)+IFERROR(INDEX(September!$AN:$AN,MATCH($A63,September!$A:$A,0)),0)+IFERROR(INDEX(October!$AO:$AO,MATCH($A63,October!$A:$A,0)),0)+IFERROR(INDEX(November!$AN:$AN,MATCH($A63,November!$A:$A,0)),0)+IFERROR(INDEX(December!$AO:$AO,MATCH($A63,December!$A:$A,0)),0)</f>
        <v>6</v>
      </c>
      <c r="X63" s="53">
        <f t="shared" si="11"/>
        <v>3</v>
      </c>
      <c r="Y63" s="53">
        <f>(IFERROR(INDEX(January!$AL:$AL,MATCH($A63,January!$A:$A,0)),0)+IFERROR(INDEX(February!$AI:$AI,MATCH($A63,February!$A:$A,0)),0)+IFERROR(INDEX(March!$AL:$AL,MATCH($A63,March!$A:$A,0)),0)+IFERROR(INDEX(April!$AK:$AK,MATCH($A63,April!$A:$A,0)),0)+IFERROR(INDEX(May!$AL:$AL,MATCH($A63,May!$A:$A,0)),0)+IFERROR(INDEX(June!$AK:$AK,MATCH($A63,June!$A:$A,0)),0)+IFERROR(INDEX(July!$AL:$AL,MATCH($A63,July!$A:$A,0)),0)+IFERROR(INDEX(August!$AL:$AL,MATCH($A63,August!$A:$A,0)),0)+IFERROR(INDEX(September!$AK:$AK,MATCH($A63,September!$A:$A,0)),0)+IFERROR(INDEX(October!$AL:$AL,MATCH($A63,October!$A:$A,0)),0)+IFERROR(INDEX(November!$AK:$AK,MATCH($A63,November!$A:$A,0)),0)+IFERROR(INDEX(December!$AL:$AL,MATCH($A63,December!$A:$A,0)),0))*0.5</f>
        <v>16.5</v>
      </c>
      <c r="Z63" s="54">
        <f>IFERROR(INDEX(January!$AK:$AK,MATCH($A63,January!$A:$A,0)),0)+IFERROR(INDEX(February!$AH:$AH,MATCH($A63,February!$A:$A,0)),0)+IFERROR(INDEX(March!$AK:$AK,MATCH($A63,March!$A:$A,0)),0)+IFERROR(INDEX(April!$AJ:$AJ,MATCH($A63,April!$A:$A,0)),0)+IFERROR(INDEX(May!$AK:$AK,MATCH($A63,May!$A:$A,0)),0)+IFERROR(INDEX(June!$AJ:$AJ,MATCH($A63,June!$A:$A,0)),0)+IFERROR(INDEX(July!$AK:$AK,MATCH($A63,July!$A:$A,0)),0)+IFERROR(INDEX(August!$AK:$AK,MATCH($A63,August!$A:$A,0)),0)+IFERROR(INDEX(September!$AJ:$AJ,MATCH($A63,September!$A:$A,0)),0)+IFERROR(INDEX(October!$AK:$AK,MATCH($A63,October!$A:$A,0)),0)+IFERROR(INDEX(November!$AJ:$AJ,MATCH($A63,November!$A:$A,0)),0)+IFERROR(INDEX(December!$AK:$AK,MATCH($A63,December!$A:$A,0)),0)</f>
        <v>35</v>
      </c>
      <c r="AA63" s="51">
        <f t="shared" si="12"/>
        <v>51.5</v>
      </c>
      <c r="AB63" s="55">
        <v>17</v>
      </c>
      <c r="AC63" s="56">
        <f t="shared" si="13"/>
        <v>68.5</v>
      </c>
      <c r="AD63" s="57"/>
      <c r="AE63" s="58">
        <f t="shared" si="14"/>
        <v>68.5</v>
      </c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</row>
    <row r="64" spans="1:49" ht="22" customHeight="1" x14ac:dyDescent="0.35">
      <c r="A64" s="8" t="s">
        <v>153</v>
      </c>
      <c r="B64" s="8" t="s">
        <v>154</v>
      </c>
      <c r="C64" s="8" t="s">
        <v>104</v>
      </c>
      <c r="D64" s="11">
        <v>17</v>
      </c>
      <c r="E64" s="10">
        <v>28</v>
      </c>
      <c r="F64" s="11">
        <v>13</v>
      </c>
      <c r="G64" s="11">
        <v>14</v>
      </c>
      <c r="H64" s="10">
        <v>23</v>
      </c>
      <c r="I64" s="10">
        <v>27</v>
      </c>
      <c r="J64" s="10">
        <v>30</v>
      </c>
      <c r="K64" s="10">
        <v>26</v>
      </c>
      <c r="L64" s="10">
        <v>23</v>
      </c>
      <c r="M64" s="11">
        <v>1</v>
      </c>
      <c r="N64" s="11">
        <v>17</v>
      </c>
      <c r="O64" s="11">
        <v>14</v>
      </c>
      <c r="P64" s="8">
        <f>IFERROR(INDEX(January!$AI:$AI,MATCH($A64,January!$A:$A,0)),0)+IFERROR(INDEX(February!$AF:$AF,MATCH($A64,February!$A:$A,0)),0)+IFERROR(INDEX(March!$AI:$AI,MATCH($A64,March!$A:$A,0)),0)+IFERROR(INDEX(April!$AH:$AH,MATCH($A64,April!$A:$A,0)),0)+IFERROR(INDEX(May!$AI:$AI,MATCH($A64,May!$A:$A,0)),0)+IFERROR(INDEX(June!$AH:$AH,MATCH($A64,June!$A:$A,0)),0)+IFERROR(INDEX(July!$AI:$AI,MATCH($A64,July!$A:$A,0)),0)+IFERROR(INDEX(August!$AI:$AI,MATCH($A64,August!$A:$A,0)),0)+IFERROR(INDEX(September!$AH:$AH,MATCH($A64,September!$A:$A,0)),0)+IFERROR(INDEX(October!$AI:$AI,MATCH($A64,October!$A:$A,0)),0)+IFERROR(INDEX(November!$AH:$AH,MATCH($A64,November!$A:$A,0)),0)+IFERROR(INDEX(December!$AI:$AI,MATCH($A64,December!$A:$A,0)),0)</f>
        <v>167</v>
      </c>
      <c r="Q64" s="8">
        <f>IFERROR(INDEX(January!$AJ:$AJ,MATCH($A64,January!$A:$A,0)),0)+IFERROR(INDEX(February!$AG:$AG,MATCH($A64,February!$A:$A,0)),0)+IFERROR(INDEX(March!$AJ:$AJ,MATCH($A64,March!$A:$A,0)),0)+IFERROR(INDEX(April!$AI:$AI,MATCH($A64,April!$A:$A,0)),0)+IFERROR(INDEX(May!$AJ:$AJ,MATCH($A64,May!$A:$A,0)),0)+IFERROR(INDEX(June!$AI:$AI,MATCH($A64,June!$A:$A,0)),0)+IFERROR(INDEX(July!$AJ:$AJ,MATCH($A64,July!$A:$A,0)),0)+IFERROR(INDEX(August!$AJ:$AJ,MATCH($A64,August!$A:$A,0)),0)+IFERROR(INDEX(September!$AI:$AI,MATCH($A64,September!$A:$A,0)),0)+IFERROR(INDEX(October!$AJ:$AJ,MATCH($A64,October!$A:$A,0)),0)+IFERROR(INDEX(November!$AI:$AI,MATCH($A64,November!$A:$A,0)),0)+IFERROR(INDEX(December!$AJ:$AJ,MATCH($A64,December!$A:$A,0)),0)</f>
        <v>94</v>
      </c>
      <c r="R64" s="8">
        <f>IFERROR(INDEX(January!$AK:$AK,MATCH($A64,January!$A:$A,0)),0)+IFERROR(INDEX(February!$AH:$AH,MATCH($A64,February!$A:$A,0)),0)+IFERROR(INDEX(March!$AK:$AK,MATCH($A64,March!$A:$A,0)),0)+IFERROR(INDEX(April!$AJ:$AJ,MATCH($A64,April!$A:$A,0)),0)+IFERROR(INDEX(May!$AK:$AK,MATCH($A64,May!$A:$A,0)),0)+IFERROR(INDEX(June!$AJ:$AJ,MATCH($A64,June!$A:$A,0)),0)+IFERROR(INDEX(July!$AK:$AK,MATCH($A64,July!$A:$A,0)),0)+IFERROR(INDEX(August!$AK:$AK,MATCH($A64,August!$A:$A,0)),0)+IFERROR(INDEX(September!$AJ:$AJ,MATCH($A64,September!$A:$A,0)),0)+IFERROR(INDEX(October!$AK:$AK,MATCH($A64,October!$A:$A,0)),0)+IFERROR(INDEX(November!$AJ:$AJ,MATCH($A64,November!$A:$A,0)),0)+IFERROR(INDEX(December!$AK:$AK,MATCH($A64,December!$A:$A,0)),0)</f>
        <v>31</v>
      </c>
      <c r="S64" s="35">
        <f t="shared" si="10"/>
        <v>0.63984674329501912</v>
      </c>
      <c r="T64" s="38"/>
      <c r="U64" s="51">
        <f>IFERROR(INDEX(January!$AQ:$AQ,MATCH($A64,January!$A:$A,0)),0)+IFERROR(INDEX(February!$AN:$AN,MATCH($A64,February!$A:$A,0)),0)+IFERROR(INDEX(March!$AQ:$AQ,MATCH($A64,March!$A:$A,0)),0)+IFERROR(INDEX(April!$AP:$AP,MATCH($A64,April!$A:$A,0)),0)+IFERROR(INDEX(May!$AQ:$AQ,MATCH($A64,May!$A:$A,0)),0)+IFERROR(INDEX(June!$AP:$AP,MATCH($A64,June!$A:$A,0)),0)+IFERROR(INDEX(July!$AQ:$AQ,MATCH($A64,July!$A:$A,0)),0)+IFERROR(INDEX(August!$AQ:$AQ,MATCH($A64,August!$A:$A,0)),0)+IFERROR(INDEX(September!$AP:$AP,MATCH($A64,September!$A:$A,0)),0)+IFERROR(INDEX(October!$AQ:$AQ,MATCH($A64,October!$A:$A,0)),0)+IFERROR(INDEX(November!$AP:$AP,MATCH($A64,November!$A:$A,0)),0)+IFERROR(INDEX(December!$AQ:$AQ,MATCH($A64,December!$A:$A,0)),0)</f>
        <v>213.5</v>
      </c>
      <c r="V64" s="52">
        <f>IFERROR(INDEX(January!$AJ:$AJ,MATCH($A64,January!$A:$A,0)),0)+IFERROR(INDEX(February!$AG:$AG,MATCH($A64,February!$A:$A,0)),0)+IFERROR(INDEX(March!$AJ:$AJ,MATCH($A64,March!$A:$A,0)),0)+IFERROR(INDEX(April!$AI:$AI,MATCH($A64,April!$A:$A,0)),0)+IFERROR(INDEX(May!$AJ:$AJ,MATCH($A64,May!$A:$A,0)),0)+IFERROR(INDEX(June!$AI:$AI,MATCH($A64,June!$A:$A,0)),0)+IFERROR(INDEX(July!$AJ:$AJ,MATCH($A64,July!$A:$A,0)),0)+IFERROR(INDEX(August!$AJ:$AJ,MATCH($A64,August!$A:$A,0)),0)+IFERROR(INDEX(September!$AI:$AI,MATCH($A64,September!$A:$A,0)),0)+IFERROR(INDEX(October!$AJ:$AJ,MATCH($A64,October!$A:$A,0)),0)+IFERROR(INDEX(November!$AI:$AI,MATCH($A64,November!$A:$A,0)),0)+IFERROR(INDEX(December!$AJ:$AJ,MATCH($A64,December!$A:$A,0)),0)</f>
        <v>94</v>
      </c>
      <c r="W64" s="53">
        <f>IFERROR(INDEX(January!$AO:$AO,MATCH($A64,January!$A:$A,0)),0)+IFERROR(INDEX(February!$AL:$AL,MATCH($A64,February!$A:$A,0)),0)+IFERROR(INDEX(March!$AO:$AO,MATCH($A64,March!$A:$A,0)),0)+IFERROR(INDEX(April!$AN:$AN,MATCH($A64,April!$A:$A,0)),0)+IFERROR(INDEX(May!$AO:$AO,MATCH($A64,May!$A:$A,0)),0)+IFERROR(INDEX(June!$AN:$AN,MATCH($A64,June!$A:$A,0)),0)+IFERROR(INDEX(July!$AO:$AO,MATCH($A64,July!$A:$A,0)),0)+IFERROR(INDEX(August!$AO:$AO,MATCH($A64,August!$A:$A,0)),0)+IFERROR(INDEX(September!$AN:$AN,MATCH($A64,September!$A:$A,0)),0)+IFERROR(INDEX(October!$AO:$AO,MATCH($A64,October!$A:$A,0)),0)+IFERROR(INDEX(November!$AN:$AN,MATCH($A64,November!$A:$A,0)),0)+IFERROR(INDEX(December!$AO:$AO,MATCH($A64,December!$A:$A,0)),0)</f>
        <v>4</v>
      </c>
      <c r="X64" s="53">
        <f t="shared" si="11"/>
        <v>2</v>
      </c>
      <c r="Y64" s="53">
        <f>(IFERROR(INDEX(January!$AL:$AL,MATCH($A64,January!$A:$A,0)),0)+IFERROR(INDEX(February!$AI:$AI,MATCH($A64,February!$A:$A,0)),0)+IFERROR(INDEX(March!$AL:$AL,MATCH($A64,March!$A:$A,0)),0)+IFERROR(INDEX(April!$AK:$AK,MATCH($A64,April!$A:$A,0)),0)+IFERROR(INDEX(May!$AL:$AL,MATCH($A64,May!$A:$A,0)),0)+IFERROR(INDEX(June!$AK:$AK,MATCH($A64,June!$A:$A,0)),0)+IFERROR(INDEX(July!$AL:$AL,MATCH($A64,July!$A:$A,0)),0)+IFERROR(INDEX(August!$AL:$AL,MATCH($A64,August!$A:$A,0)),0)+IFERROR(INDEX(September!$AK:$AK,MATCH($A64,September!$A:$A,0)),0)+IFERROR(INDEX(October!$AL:$AL,MATCH($A64,October!$A:$A,0)),0)+IFERROR(INDEX(November!$AK:$AK,MATCH($A64,November!$A:$A,0)),0)+IFERROR(INDEX(December!$AL:$AL,MATCH($A64,December!$A:$A,0)),0))*0.5</f>
        <v>17.5</v>
      </c>
      <c r="Z64" s="54">
        <f>IFERROR(INDEX(January!$AK:$AK,MATCH($A64,January!$A:$A,0)),0)+IFERROR(INDEX(February!$AH:$AH,MATCH($A64,February!$A:$A,0)),0)+IFERROR(INDEX(March!$AK:$AK,MATCH($A64,March!$A:$A,0)),0)+IFERROR(INDEX(April!$AJ:$AJ,MATCH($A64,April!$A:$A,0)),0)+IFERROR(INDEX(May!$AK:$AK,MATCH($A64,May!$A:$A,0)),0)+IFERROR(INDEX(June!$AJ:$AJ,MATCH($A64,June!$A:$A,0)),0)+IFERROR(INDEX(July!$AK:$AK,MATCH($A64,July!$A:$A,0)),0)+IFERROR(INDEX(August!$AK:$AK,MATCH($A64,August!$A:$A,0)),0)+IFERROR(INDEX(September!$AJ:$AJ,MATCH($A64,September!$A:$A,0)),0)+IFERROR(INDEX(October!$AK:$AK,MATCH($A64,October!$A:$A,0)),0)+IFERROR(INDEX(November!$AJ:$AJ,MATCH($A64,November!$A:$A,0)),0)+IFERROR(INDEX(December!$AK:$AK,MATCH($A64,December!$A:$A,0)),0)</f>
        <v>31</v>
      </c>
      <c r="AA64" s="51">
        <f t="shared" si="12"/>
        <v>48.5</v>
      </c>
      <c r="AB64" s="55">
        <v>17</v>
      </c>
      <c r="AC64" s="56">
        <f t="shared" si="13"/>
        <v>65.5</v>
      </c>
      <c r="AD64" s="57"/>
      <c r="AE64" s="58">
        <f t="shared" si="14"/>
        <v>65.5</v>
      </c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</row>
    <row r="65" spans="1:49" ht="22" customHeight="1" x14ac:dyDescent="0.35">
      <c r="A65" s="8" t="s">
        <v>155</v>
      </c>
      <c r="B65" s="8" t="s">
        <v>156</v>
      </c>
      <c r="C65" s="8" t="s">
        <v>104</v>
      </c>
      <c r="D65" s="11">
        <v>15</v>
      </c>
      <c r="E65" s="10">
        <v>26</v>
      </c>
      <c r="F65" s="11">
        <v>16</v>
      </c>
      <c r="G65" s="11">
        <v>17</v>
      </c>
      <c r="H65" s="10">
        <v>20</v>
      </c>
      <c r="I65" s="11">
        <v>15</v>
      </c>
      <c r="J65" s="10">
        <v>26</v>
      </c>
      <c r="K65" s="10">
        <v>29</v>
      </c>
      <c r="L65" s="10">
        <v>25</v>
      </c>
      <c r="M65" s="10">
        <v>22</v>
      </c>
      <c r="N65" s="11">
        <v>7</v>
      </c>
      <c r="O65" s="10">
        <v>23</v>
      </c>
      <c r="P65" s="8">
        <f>IFERROR(INDEX(January!$AI:$AI,MATCH($A65,January!$A:$A,0)),0)+IFERROR(INDEX(February!$AF:$AF,MATCH($A65,February!$A:$A,0)),0)+IFERROR(INDEX(March!$AI:$AI,MATCH($A65,March!$A:$A,0)),0)+IFERROR(INDEX(April!$AH:$AH,MATCH($A65,April!$A:$A,0)),0)+IFERROR(INDEX(May!$AI:$AI,MATCH($A65,May!$A:$A,0)),0)+IFERROR(INDEX(June!$AH:$AH,MATCH($A65,June!$A:$A,0)),0)+IFERROR(INDEX(July!$AI:$AI,MATCH($A65,July!$A:$A,0)),0)+IFERROR(INDEX(August!$AI:$AI,MATCH($A65,August!$A:$A,0)),0)+IFERROR(INDEX(September!$AH:$AH,MATCH($A65,September!$A:$A,0)),0)+IFERROR(INDEX(October!$AI:$AI,MATCH($A65,October!$A:$A,0)),0)+IFERROR(INDEX(November!$AH:$AH,MATCH($A65,November!$A:$A,0)),0)+IFERROR(INDEX(December!$AI:$AI,MATCH($A65,December!$A:$A,0)),0)</f>
        <v>176</v>
      </c>
      <c r="Q65" s="8">
        <f>IFERROR(INDEX(January!$AJ:$AJ,MATCH($A65,January!$A:$A,0)),0)+IFERROR(INDEX(February!$AG:$AG,MATCH($A65,February!$A:$A,0)),0)+IFERROR(INDEX(March!$AJ:$AJ,MATCH($A65,March!$A:$A,0)),0)+IFERROR(INDEX(April!$AI:$AI,MATCH($A65,April!$A:$A,0)),0)+IFERROR(INDEX(May!$AJ:$AJ,MATCH($A65,May!$A:$A,0)),0)+IFERROR(INDEX(June!$AI:$AI,MATCH($A65,June!$A:$A,0)),0)+IFERROR(INDEX(July!$AJ:$AJ,MATCH($A65,July!$A:$A,0)),0)+IFERROR(INDEX(August!$AJ:$AJ,MATCH($A65,August!$A:$A,0)),0)+IFERROR(INDEX(September!$AI:$AI,MATCH($A65,September!$A:$A,0)),0)+IFERROR(INDEX(October!$AJ:$AJ,MATCH($A65,October!$A:$A,0)),0)+IFERROR(INDEX(November!$AI:$AI,MATCH($A65,November!$A:$A,0)),0)+IFERROR(INDEX(December!$AJ:$AJ,MATCH($A65,December!$A:$A,0)),0)</f>
        <v>85</v>
      </c>
      <c r="R65" s="8">
        <f>IFERROR(INDEX(January!$AK:$AK,MATCH($A65,January!$A:$A,0)),0)+IFERROR(INDEX(February!$AH:$AH,MATCH($A65,February!$A:$A,0)),0)+IFERROR(INDEX(March!$AK:$AK,MATCH($A65,March!$A:$A,0)),0)+IFERROR(INDEX(April!$AJ:$AJ,MATCH($A65,April!$A:$A,0)),0)+IFERROR(INDEX(May!$AK:$AK,MATCH($A65,May!$A:$A,0)),0)+IFERROR(INDEX(June!$AJ:$AJ,MATCH($A65,June!$A:$A,0)),0)+IFERROR(INDEX(July!$AK:$AK,MATCH($A65,July!$A:$A,0)),0)+IFERROR(INDEX(August!$AK:$AK,MATCH($A65,August!$A:$A,0)),0)+IFERROR(INDEX(September!$AJ:$AJ,MATCH($A65,September!$A:$A,0)),0)+IFERROR(INDEX(October!$AK:$AK,MATCH($A65,October!$A:$A,0)),0)+IFERROR(INDEX(November!$AJ:$AJ,MATCH($A65,November!$A:$A,0)),0)+IFERROR(INDEX(December!$AK:$AK,MATCH($A65,December!$A:$A,0)),0)</f>
        <v>32</v>
      </c>
      <c r="S65" s="35">
        <f t="shared" si="10"/>
        <v>0.67432950191570884</v>
      </c>
      <c r="T65" s="38"/>
      <c r="U65" s="51">
        <f>IFERROR(INDEX(January!$AQ:$AQ,MATCH($A65,January!$A:$A,0)),0)+IFERROR(INDEX(February!$AN:$AN,MATCH($A65,February!$A:$A,0)),0)+IFERROR(INDEX(March!$AQ:$AQ,MATCH($A65,March!$A:$A,0)),0)+IFERROR(INDEX(April!$AP:$AP,MATCH($A65,April!$A:$A,0)),0)+IFERROR(INDEX(May!$AQ:$AQ,MATCH($A65,May!$A:$A,0)),0)+IFERROR(INDEX(June!$AP:$AP,MATCH($A65,June!$A:$A,0)),0)+IFERROR(INDEX(July!$AQ:$AQ,MATCH($A65,July!$A:$A,0)),0)+IFERROR(INDEX(August!$AQ:$AQ,MATCH($A65,August!$A:$A,0)),0)+IFERROR(INDEX(September!$AP:$AP,MATCH($A65,September!$A:$A,0)),0)+IFERROR(INDEX(October!$AQ:$AQ,MATCH($A65,October!$A:$A,0)),0)+IFERROR(INDEX(November!$AP:$AP,MATCH($A65,November!$A:$A,0)),0)+IFERROR(INDEX(December!$AQ:$AQ,MATCH($A65,December!$A:$A,0)),0)</f>
        <v>222.5</v>
      </c>
      <c r="V65" s="52">
        <f>IFERROR(INDEX(January!$AJ:$AJ,MATCH($A65,January!$A:$A,0)),0)+IFERROR(INDEX(February!$AG:$AG,MATCH($A65,February!$A:$A,0)),0)+IFERROR(INDEX(March!$AJ:$AJ,MATCH($A65,March!$A:$A,0)),0)+IFERROR(INDEX(April!$AI:$AI,MATCH($A65,April!$A:$A,0)),0)+IFERROR(INDEX(May!$AJ:$AJ,MATCH($A65,May!$A:$A,0)),0)+IFERROR(INDEX(June!$AI:$AI,MATCH($A65,June!$A:$A,0)),0)+IFERROR(INDEX(July!$AJ:$AJ,MATCH($A65,July!$A:$A,0)),0)+IFERROR(INDEX(August!$AJ:$AJ,MATCH($A65,August!$A:$A,0)),0)+IFERROR(INDEX(September!$AI:$AI,MATCH($A65,September!$A:$A,0)),0)+IFERROR(INDEX(October!$AJ:$AJ,MATCH($A65,October!$A:$A,0)),0)+IFERROR(INDEX(November!$AI:$AI,MATCH($A65,November!$A:$A,0)),0)+IFERROR(INDEX(December!$AJ:$AJ,MATCH($A65,December!$A:$A,0)),0)</f>
        <v>85</v>
      </c>
      <c r="W65" s="53">
        <f>IFERROR(INDEX(January!$AO:$AO,MATCH($A65,January!$A:$A,0)),0)+IFERROR(INDEX(February!$AL:$AL,MATCH($A65,February!$A:$A,0)),0)+IFERROR(INDEX(March!$AO:$AO,MATCH($A65,March!$A:$A,0)),0)+IFERROR(INDEX(April!$AN:$AN,MATCH($A65,April!$A:$A,0)),0)+IFERROR(INDEX(May!$AO:$AO,MATCH($A65,May!$A:$A,0)),0)+IFERROR(INDEX(June!$AN:$AN,MATCH($A65,June!$A:$A,0)),0)+IFERROR(INDEX(July!$AO:$AO,MATCH($A65,July!$A:$A,0)),0)+IFERROR(INDEX(August!$AO:$AO,MATCH($A65,August!$A:$A,0)),0)+IFERROR(INDEX(September!$AN:$AN,MATCH($A65,September!$A:$A,0)),0)+IFERROR(INDEX(October!$AO:$AO,MATCH($A65,October!$A:$A,0)),0)+IFERROR(INDEX(November!$AN:$AN,MATCH($A65,November!$A:$A,0)),0)+IFERROR(INDEX(December!$AO:$AO,MATCH($A65,December!$A:$A,0)),0)</f>
        <v>4</v>
      </c>
      <c r="X65" s="53">
        <f t="shared" si="11"/>
        <v>2</v>
      </c>
      <c r="Y65" s="53">
        <f>(IFERROR(INDEX(January!$AL:$AL,MATCH($A65,January!$A:$A,0)),0)+IFERROR(INDEX(February!$AI:$AI,MATCH($A65,February!$A:$A,0)),0)+IFERROR(INDEX(March!$AL:$AL,MATCH($A65,March!$A:$A,0)),0)+IFERROR(INDEX(April!$AK:$AK,MATCH($A65,April!$A:$A,0)),0)+IFERROR(INDEX(May!$AL:$AL,MATCH($A65,May!$A:$A,0)),0)+IFERROR(INDEX(June!$AK:$AK,MATCH($A65,June!$A:$A,0)),0)+IFERROR(INDEX(July!$AL:$AL,MATCH($A65,July!$A:$A,0)),0)+IFERROR(INDEX(August!$AL:$AL,MATCH($A65,August!$A:$A,0)),0)+IFERROR(INDEX(September!$AK:$AK,MATCH($A65,September!$A:$A,0)),0)+IFERROR(INDEX(October!$AL:$AL,MATCH($A65,October!$A:$A,0)),0)+IFERROR(INDEX(November!$AK:$AK,MATCH($A65,November!$A:$A,0)),0)+IFERROR(INDEX(December!$AL:$AL,MATCH($A65,December!$A:$A,0)),0))*0.5</f>
        <v>16.5</v>
      </c>
      <c r="Z65" s="54">
        <f>IFERROR(INDEX(January!$AK:$AK,MATCH($A65,January!$A:$A,0)),0)+IFERROR(INDEX(February!$AH:$AH,MATCH($A65,February!$A:$A,0)),0)+IFERROR(INDEX(March!$AK:$AK,MATCH($A65,March!$A:$A,0)),0)+IFERROR(INDEX(April!$AJ:$AJ,MATCH($A65,April!$A:$A,0)),0)+IFERROR(INDEX(May!$AK:$AK,MATCH($A65,May!$A:$A,0)),0)+IFERROR(INDEX(June!$AJ:$AJ,MATCH($A65,June!$A:$A,0)),0)+IFERROR(INDEX(July!$AK:$AK,MATCH($A65,July!$A:$A,0)),0)+IFERROR(INDEX(August!$AK:$AK,MATCH($A65,August!$A:$A,0)),0)+IFERROR(INDEX(September!$AJ:$AJ,MATCH($A65,September!$A:$A,0)),0)+IFERROR(INDEX(October!$AK:$AK,MATCH($A65,October!$A:$A,0)),0)+IFERROR(INDEX(November!$AJ:$AJ,MATCH($A65,November!$A:$A,0)),0)+IFERROR(INDEX(December!$AK:$AK,MATCH($A65,December!$A:$A,0)),0)</f>
        <v>32</v>
      </c>
      <c r="AA65" s="51">
        <f t="shared" si="12"/>
        <v>48.5</v>
      </c>
      <c r="AB65" s="55">
        <v>17</v>
      </c>
      <c r="AC65" s="56">
        <f t="shared" si="13"/>
        <v>65.5</v>
      </c>
      <c r="AD65" s="57"/>
      <c r="AE65" s="58">
        <f t="shared" si="14"/>
        <v>65.5</v>
      </c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</row>
    <row r="66" spans="1:49" ht="22" customHeight="1" x14ac:dyDescent="0.35">
      <c r="A66" s="8" t="s">
        <v>157</v>
      </c>
      <c r="B66" s="8" t="s">
        <v>158</v>
      </c>
      <c r="C66" s="8" t="s">
        <v>104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10">
        <v>24</v>
      </c>
      <c r="K66" s="10">
        <v>27</v>
      </c>
      <c r="L66" s="10">
        <v>26</v>
      </c>
      <c r="M66" s="10">
        <v>24</v>
      </c>
      <c r="N66" s="11">
        <v>11</v>
      </c>
      <c r="O66" s="11">
        <v>14</v>
      </c>
      <c r="P66" s="8">
        <f>IFERROR(INDEX(January!$AI:$AI,MATCH($A66,January!$A:$A,0)),0)+IFERROR(INDEX(February!$AF:$AF,MATCH($A66,February!$A:$A,0)),0)+IFERROR(INDEX(March!$AI:$AI,MATCH($A66,March!$A:$A,0)),0)+IFERROR(INDEX(April!$AH:$AH,MATCH($A66,April!$A:$A,0)),0)+IFERROR(INDEX(May!$AI:$AI,MATCH($A66,May!$A:$A,0)),0)+IFERROR(INDEX(June!$AH:$AH,MATCH($A66,June!$A:$A,0)),0)+IFERROR(INDEX(July!$AI:$AI,MATCH($A66,July!$A:$A,0)),0)+IFERROR(INDEX(August!$AI:$AI,MATCH($A66,August!$A:$A,0)),0)+IFERROR(INDEX(September!$AH:$AH,MATCH($A66,September!$A:$A,0)),0)+IFERROR(INDEX(October!$AI:$AI,MATCH($A66,October!$A:$A,0)),0)+IFERROR(INDEX(November!$AH:$AH,MATCH($A66,November!$A:$A,0)),0)+IFERROR(INDEX(December!$AI:$AI,MATCH($A66,December!$A:$A,0)),0)</f>
        <v>91</v>
      </c>
      <c r="Q66" s="8">
        <f>IFERROR(INDEX(January!$AJ:$AJ,MATCH($A66,January!$A:$A,0)),0)+IFERROR(INDEX(February!$AG:$AG,MATCH($A66,February!$A:$A,0)),0)+IFERROR(INDEX(March!$AJ:$AJ,MATCH($A66,March!$A:$A,0)),0)+IFERROR(INDEX(April!$AI:$AI,MATCH($A66,April!$A:$A,0)),0)+IFERROR(INDEX(May!$AJ:$AJ,MATCH($A66,May!$A:$A,0)),0)+IFERROR(INDEX(June!$AI:$AI,MATCH($A66,June!$A:$A,0)),0)+IFERROR(INDEX(July!$AJ:$AJ,MATCH($A66,July!$A:$A,0)),0)+IFERROR(INDEX(August!$AJ:$AJ,MATCH($A66,August!$A:$A,0)),0)+IFERROR(INDEX(September!$AI:$AI,MATCH($A66,September!$A:$A,0)),0)+IFERROR(INDEX(October!$AJ:$AJ,MATCH($A66,October!$A:$A,0)),0)+IFERROR(INDEX(November!$AI:$AI,MATCH($A66,November!$A:$A,0)),0)+IFERROR(INDEX(December!$AJ:$AJ,MATCH($A66,December!$A:$A,0)),0)</f>
        <v>170</v>
      </c>
      <c r="R66" s="8">
        <f>IFERROR(INDEX(January!$AK:$AK,MATCH($A66,January!$A:$A,0)),0)+IFERROR(INDEX(February!$AH:$AH,MATCH($A66,February!$A:$A,0)),0)+IFERROR(INDEX(March!$AK:$AK,MATCH($A66,March!$A:$A,0)),0)+IFERROR(INDEX(April!$AJ:$AJ,MATCH($A66,April!$A:$A,0)),0)+IFERROR(INDEX(May!$AK:$AK,MATCH($A66,May!$A:$A,0)),0)+IFERROR(INDEX(June!$AJ:$AJ,MATCH($A66,June!$A:$A,0)),0)+IFERROR(INDEX(July!$AK:$AK,MATCH($A66,July!$A:$A,0)),0)+IFERROR(INDEX(August!$AK:$AK,MATCH($A66,August!$A:$A,0)),0)+IFERROR(INDEX(September!$AJ:$AJ,MATCH($A66,September!$A:$A,0)),0)+IFERROR(INDEX(October!$AK:$AK,MATCH($A66,October!$A:$A,0)),0)+IFERROR(INDEX(November!$AJ:$AJ,MATCH($A66,November!$A:$A,0)),0)+IFERROR(INDEX(December!$AK:$AK,MATCH($A66,December!$A:$A,0)),0)</f>
        <v>19</v>
      </c>
      <c r="S66" s="37">
        <f t="shared" si="10"/>
        <v>0.34865900383141762</v>
      </c>
      <c r="T66" s="38"/>
      <c r="U66" s="51">
        <f>IFERROR(INDEX(January!$AQ:$AQ,MATCH($A66,January!$A:$A,0)),0)+IFERROR(INDEX(February!$AN:$AN,MATCH($A66,February!$A:$A,0)),0)+IFERROR(INDEX(March!$AQ:$AQ,MATCH($A66,March!$A:$A,0)),0)+IFERROR(INDEX(April!$AP:$AP,MATCH($A66,April!$A:$A,0)),0)+IFERROR(INDEX(May!$AQ:$AQ,MATCH($A66,May!$A:$A,0)),0)+IFERROR(INDEX(June!$AP:$AP,MATCH($A66,June!$A:$A,0)),0)+IFERROR(INDEX(July!$AQ:$AQ,MATCH($A66,July!$A:$A,0)),0)+IFERROR(INDEX(August!$AQ:$AQ,MATCH($A66,August!$A:$A,0)),0)+IFERROR(INDEX(September!$AP:$AP,MATCH($A66,September!$A:$A,0)),0)+IFERROR(INDEX(October!$AQ:$AQ,MATCH($A66,October!$A:$A,0)),0)+IFERROR(INDEX(November!$AP:$AP,MATCH($A66,November!$A:$A,0)),0)+IFERROR(INDEX(December!$AQ:$AQ,MATCH($A66,December!$A:$A,0)),0)</f>
        <v>116</v>
      </c>
      <c r="V66" s="52">
        <f>IFERROR(INDEX(January!$AJ:$AJ,MATCH($A66,January!$A:$A,0)),0)+IFERROR(INDEX(February!$AG:$AG,MATCH($A66,February!$A:$A,0)),0)+IFERROR(INDEX(March!$AJ:$AJ,MATCH($A66,March!$A:$A,0)),0)+IFERROR(INDEX(April!$AI:$AI,MATCH($A66,April!$A:$A,0)),0)+IFERROR(INDEX(May!$AJ:$AJ,MATCH($A66,May!$A:$A,0)),0)+IFERROR(INDEX(June!$AI:$AI,MATCH($A66,June!$A:$A,0)),0)+IFERROR(INDEX(July!$AJ:$AJ,MATCH($A66,July!$A:$A,0)),0)+IFERROR(INDEX(August!$AJ:$AJ,MATCH($A66,August!$A:$A,0)),0)+IFERROR(INDEX(September!$AI:$AI,MATCH($A66,September!$A:$A,0)),0)+IFERROR(INDEX(October!$AJ:$AJ,MATCH($A66,October!$A:$A,0)),0)+IFERROR(INDEX(November!$AI:$AI,MATCH($A66,November!$A:$A,0)),0)+IFERROR(INDEX(December!$AJ:$AJ,MATCH($A66,December!$A:$A,0)),0)</f>
        <v>170</v>
      </c>
      <c r="W66" s="53">
        <f>IFERROR(INDEX(January!$AO:$AO,MATCH($A66,January!$A:$A,0)),0)+IFERROR(INDEX(February!$AL:$AL,MATCH($A66,February!$A:$A,0)),0)+IFERROR(INDEX(March!$AO:$AO,MATCH($A66,March!$A:$A,0)),0)+IFERROR(INDEX(April!$AN:$AN,MATCH($A66,April!$A:$A,0)),0)+IFERROR(INDEX(May!$AO:$AO,MATCH($A66,May!$A:$A,0)),0)+IFERROR(INDEX(June!$AN:$AN,MATCH($A66,June!$A:$A,0)),0)+IFERROR(INDEX(July!$AO:$AO,MATCH($A66,July!$A:$A,0)),0)+IFERROR(INDEX(August!$AO:$AO,MATCH($A66,August!$A:$A,0)),0)+IFERROR(INDEX(September!$AN:$AN,MATCH($A66,September!$A:$A,0)),0)+IFERROR(INDEX(October!$AO:$AO,MATCH($A66,October!$A:$A,0)),0)+IFERROR(INDEX(November!$AN:$AN,MATCH($A66,November!$A:$A,0)),0)+IFERROR(INDEX(December!$AO:$AO,MATCH($A66,December!$A:$A,0)),0)</f>
        <v>4</v>
      </c>
      <c r="X66" s="53">
        <f t="shared" si="11"/>
        <v>2</v>
      </c>
      <c r="Y66" s="53">
        <f>(IFERROR(INDEX(January!$AL:$AL,MATCH($A66,January!$A:$A,0)),0)+IFERROR(INDEX(February!$AI:$AI,MATCH($A66,February!$A:$A,0)),0)+IFERROR(INDEX(March!$AL:$AL,MATCH($A66,March!$A:$A,0)),0)+IFERROR(INDEX(April!$AK:$AK,MATCH($A66,April!$A:$A,0)),0)+IFERROR(INDEX(May!$AL:$AL,MATCH($A66,May!$A:$A,0)),0)+IFERROR(INDEX(June!$AK:$AK,MATCH($A66,June!$A:$A,0)),0)+IFERROR(INDEX(July!$AL:$AL,MATCH($A66,July!$A:$A,0)),0)+IFERROR(INDEX(August!$AL:$AL,MATCH($A66,August!$A:$A,0)),0)+IFERROR(INDEX(September!$AK:$AK,MATCH($A66,September!$A:$A,0)),0)+IFERROR(INDEX(October!$AL:$AL,MATCH($A66,October!$A:$A,0)),0)+IFERROR(INDEX(November!$AK:$AK,MATCH($A66,November!$A:$A,0)),0)+IFERROR(INDEX(December!$AL:$AL,MATCH($A66,December!$A:$A,0)),0))*0.5</f>
        <v>8</v>
      </c>
      <c r="Z66" s="54">
        <f>IFERROR(INDEX(January!$AK:$AK,MATCH($A66,January!$A:$A,0)),0)+IFERROR(INDEX(February!$AH:$AH,MATCH($A66,February!$A:$A,0)),0)+IFERROR(INDEX(March!$AK:$AK,MATCH($A66,March!$A:$A,0)),0)+IFERROR(INDEX(April!$AJ:$AJ,MATCH($A66,April!$A:$A,0)),0)+IFERROR(INDEX(May!$AK:$AK,MATCH($A66,May!$A:$A,0)),0)+IFERROR(INDEX(June!$AJ:$AJ,MATCH($A66,June!$A:$A,0)),0)+IFERROR(INDEX(July!$AK:$AK,MATCH($A66,July!$A:$A,0)),0)+IFERROR(INDEX(August!$AK:$AK,MATCH($A66,August!$A:$A,0)),0)+IFERROR(INDEX(September!$AJ:$AJ,MATCH($A66,September!$A:$A,0)),0)+IFERROR(INDEX(October!$AK:$AK,MATCH($A66,October!$A:$A,0)),0)+IFERROR(INDEX(November!$AJ:$AJ,MATCH($A66,November!$A:$A,0)),0)+IFERROR(INDEX(December!$AK:$AK,MATCH($A66,December!$A:$A,0)),0)</f>
        <v>19</v>
      </c>
      <c r="AA66" s="51">
        <f t="shared" si="12"/>
        <v>27</v>
      </c>
      <c r="AB66" s="55">
        <v>17</v>
      </c>
      <c r="AC66" s="56">
        <f t="shared" si="13"/>
        <v>44</v>
      </c>
      <c r="AD66" s="57"/>
      <c r="AE66" s="58">
        <f t="shared" si="14"/>
        <v>44</v>
      </c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</row>
    <row r="67" spans="1:49" ht="22" customHeight="1" x14ac:dyDescent="0.35">
      <c r="A67" s="8" t="s">
        <v>159</v>
      </c>
      <c r="B67" s="8" t="s">
        <v>160</v>
      </c>
      <c r="C67" s="8" t="s">
        <v>104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10">
        <v>24</v>
      </c>
      <c r="K67" s="10">
        <v>28</v>
      </c>
      <c r="L67" s="10">
        <v>25</v>
      </c>
      <c r="M67" s="11">
        <v>5</v>
      </c>
      <c r="N67" s="10">
        <v>23</v>
      </c>
      <c r="O67" s="10">
        <v>23</v>
      </c>
      <c r="P67" s="8">
        <f>IFERROR(INDEX(January!$AI:$AI,MATCH($A67,January!$A:$A,0)),0)+IFERROR(INDEX(February!$AF:$AF,MATCH($A67,February!$A:$A,0)),0)+IFERROR(INDEX(March!$AI:$AI,MATCH($A67,March!$A:$A,0)),0)+IFERROR(INDEX(April!$AH:$AH,MATCH($A67,April!$A:$A,0)),0)+IFERROR(INDEX(May!$AI:$AI,MATCH($A67,May!$A:$A,0)),0)+IFERROR(INDEX(June!$AH:$AH,MATCH($A67,June!$A:$A,0)),0)+IFERROR(INDEX(July!$AI:$AI,MATCH($A67,July!$A:$A,0)),0)+IFERROR(INDEX(August!$AI:$AI,MATCH($A67,August!$A:$A,0)),0)+IFERROR(INDEX(September!$AH:$AH,MATCH($A67,September!$A:$A,0)),0)+IFERROR(INDEX(October!$AI:$AI,MATCH($A67,October!$A:$A,0)),0)+IFERROR(INDEX(November!$AH:$AH,MATCH($A67,November!$A:$A,0)),0)+IFERROR(INDEX(December!$AI:$AI,MATCH($A67,December!$A:$A,0)),0)</f>
        <v>92</v>
      </c>
      <c r="Q67" s="8">
        <f>IFERROR(INDEX(January!$AJ:$AJ,MATCH($A67,January!$A:$A,0)),0)+IFERROR(INDEX(February!$AG:$AG,MATCH($A67,February!$A:$A,0)),0)+IFERROR(INDEX(March!$AJ:$AJ,MATCH($A67,March!$A:$A,0)),0)+IFERROR(INDEX(April!$AI:$AI,MATCH($A67,April!$A:$A,0)),0)+IFERROR(INDEX(May!$AJ:$AJ,MATCH($A67,May!$A:$A,0)),0)+IFERROR(INDEX(June!$AI:$AI,MATCH($A67,June!$A:$A,0)),0)+IFERROR(INDEX(July!$AJ:$AJ,MATCH($A67,July!$A:$A,0)),0)+IFERROR(INDEX(August!$AJ:$AJ,MATCH($A67,August!$A:$A,0)),0)+IFERROR(INDEX(September!$AI:$AI,MATCH($A67,September!$A:$A,0)),0)+IFERROR(INDEX(October!$AJ:$AJ,MATCH($A67,October!$A:$A,0)),0)+IFERROR(INDEX(November!$AI:$AI,MATCH($A67,November!$A:$A,0)),0)+IFERROR(INDEX(December!$AJ:$AJ,MATCH($A67,December!$A:$A,0)),0)</f>
        <v>169</v>
      </c>
      <c r="R67" s="8">
        <f>IFERROR(INDEX(January!$AK:$AK,MATCH($A67,January!$A:$A,0)),0)+IFERROR(INDEX(February!$AH:$AH,MATCH($A67,February!$A:$A,0)),0)+IFERROR(INDEX(March!$AK:$AK,MATCH($A67,March!$A:$A,0)),0)+IFERROR(INDEX(April!$AJ:$AJ,MATCH($A67,April!$A:$A,0)),0)+IFERROR(INDEX(May!$AK:$AK,MATCH($A67,May!$A:$A,0)),0)+IFERROR(INDEX(June!$AJ:$AJ,MATCH($A67,June!$A:$A,0)),0)+IFERROR(INDEX(July!$AK:$AK,MATCH($A67,July!$A:$A,0)),0)+IFERROR(INDEX(August!$AK:$AK,MATCH($A67,August!$A:$A,0)),0)+IFERROR(INDEX(September!$AJ:$AJ,MATCH($A67,September!$A:$A,0)),0)+IFERROR(INDEX(October!$AK:$AK,MATCH($A67,October!$A:$A,0)),0)+IFERROR(INDEX(November!$AJ:$AJ,MATCH($A67,November!$A:$A,0)),0)+IFERROR(INDEX(December!$AK:$AK,MATCH($A67,December!$A:$A,0)),0)</f>
        <v>19</v>
      </c>
      <c r="S67" s="37">
        <f t="shared" si="10"/>
        <v>0.35249042145593867</v>
      </c>
      <c r="T67" s="38"/>
      <c r="U67" s="51">
        <f>IFERROR(INDEX(January!$AQ:$AQ,MATCH($A67,January!$A:$A,0)),0)+IFERROR(INDEX(February!$AN:$AN,MATCH($A67,February!$A:$A,0)),0)+IFERROR(INDEX(March!$AQ:$AQ,MATCH($A67,March!$A:$A,0)),0)+IFERROR(INDEX(April!$AP:$AP,MATCH($A67,April!$A:$A,0)),0)+IFERROR(INDEX(May!$AQ:$AQ,MATCH($A67,May!$A:$A,0)),0)+IFERROR(INDEX(June!$AP:$AP,MATCH($A67,June!$A:$A,0)),0)+IFERROR(INDEX(July!$AQ:$AQ,MATCH($A67,July!$A:$A,0)),0)+IFERROR(INDEX(August!$AQ:$AQ,MATCH($A67,August!$A:$A,0)),0)+IFERROR(INDEX(September!$AP:$AP,MATCH($A67,September!$A:$A,0)),0)+IFERROR(INDEX(October!$AQ:$AQ,MATCH($A67,October!$A:$A,0)),0)+IFERROR(INDEX(November!$AP:$AP,MATCH($A67,November!$A:$A,0)),0)+IFERROR(INDEX(December!$AQ:$AQ,MATCH($A67,December!$A:$A,0)),0)</f>
        <v>118.5</v>
      </c>
      <c r="V67" s="52">
        <f>IFERROR(INDEX(January!$AJ:$AJ,MATCH($A67,January!$A:$A,0)),0)+IFERROR(INDEX(February!$AG:$AG,MATCH($A67,February!$A:$A,0)),0)+IFERROR(INDEX(March!$AJ:$AJ,MATCH($A67,March!$A:$A,0)),0)+IFERROR(INDEX(April!$AI:$AI,MATCH($A67,April!$A:$A,0)),0)+IFERROR(INDEX(May!$AJ:$AJ,MATCH($A67,May!$A:$A,0)),0)+IFERROR(INDEX(June!$AI:$AI,MATCH($A67,June!$A:$A,0)),0)+IFERROR(INDEX(July!$AJ:$AJ,MATCH($A67,July!$A:$A,0)),0)+IFERROR(INDEX(August!$AJ:$AJ,MATCH($A67,August!$A:$A,0)),0)+IFERROR(INDEX(September!$AI:$AI,MATCH($A67,September!$A:$A,0)),0)+IFERROR(INDEX(October!$AJ:$AJ,MATCH($A67,October!$A:$A,0)),0)+IFERROR(INDEX(November!$AI:$AI,MATCH($A67,November!$A:$A,0)),0)+IFERROR(INDEX(December!$AJ:$AJ,MATCH($A67,December!$A:$A,0)),0)</f>
        <v>169</v>
      </c>
      <c r="W67" s="53">
        <f>IFERROR(INDEX(January!$AO:$AO,MATCH($A67,January!$A:$A,0)),0)+IFERROR(INDEX(February!$AL:$AL,MATCH($A67,February!$A:$A,0)),0)+IFERROR(INDEX(March!$AO:$AO,MATCH($A67,March!$A:$A,0)),0)+IFERROR(INDEX(April!$AN:$AN,MATCH($A67,April!$A:$A,0)),0)+IFERROR(INDEX(May!$AO:$AO,MATCH($A67,May!$A:$A,0)),0)+IFERROR(INDEX(June!$AN:$AN,MATCH($A67,June!$A:$A,0)),0)+IFERROR(INDEX(July!$AO:$AO,MATCH($A67,July!$A:$A,0)),0)+IFERROR(INDEX(August!$AO:$AO,MATCH($A67,August!$A:$A,0)),0)+IFERROR(INDEX(September!$AN:$AN,MATCH($A67,September!$A:$A,0)),0)+IFERROR(INDEX(October!$AO:$AO,MATCH($A67,October!$A:$A,0)),0)+IFERROR(INDEX(November!$AN:$AN,MATCH($A67,November!$A:$A,0)),0)+IFERROR(INDEX(December!$AO:$AO,MATCH($A67,December!$A:$A,0)),0)</f>
        <v>2</v>
      </c>
      <c r="X67" s="53">
        <f t="shared" si="11"/>
        <v>1</v>
      </c>
      <c r="Y67" s="53">
        <f>(IFERROR(INDEX(January!$AL:$AL,MATCH($A67,January!$A:$A,0)),0)+IFERROR(INDEX(February!$AI:$AI,MATCH($A67,February!$A:$A,0)),0)+IFERROR(INDEX(March!$AL:$AL,MATCH($A67,March!$A:$A,0)),0)+IFERROR(INDEX(April!$AK:$AK,MATCH($A67,April!$A:$A,0)),0)+IFERROR(INDEX(May!$AL:$AL,MATCH($A67,May!$A:$A,0)),0)+IFERROR(INDEX(June!$AK:$AK,MATCH($A67,June!$A:$A,0)),0)+IFERROR(INDEX(July!$AL:$AL,MATCH($A67,July!$A:$A,0)),0)+IFERROR(INDEX(August!$AL:$AL,MATCH($A67,August!$A:$A,0)),0)+IFERROR(INDEX(September!$AK:$AK,MATCH($A67,September!$A:$A,0)),0)+IFERROR(INDEX(October!$AL:$AL,MATCH($A67,October!$A:$A,0)),0)+IFERROR(INDEX(November!$AK:$AK,MATCH($A67,November!$A:$A,0)),0)+IFERROR(INDEX(December!$AL:$AL,MATCH($A67,December!$A:$A,0)),0))*0.5</f>
        <v>8.5</v>
      </c>
      <c r="Z67" s="54">
        <f>IFERROR(INDEX(January!$AK:$AK,MATCH($A67,January!$A:$A,0)),0)+IFERROR(INDEX(February!$AH:$AH,MATCH($A67,February!$A:$A,0)),0)+IFERROR(INDEX(March!$AK:$AK,MATCH($A67,March!$A:$A,0)),0)+IFERROR(INDEX(April!$AJ:$AJ,MATCH($A67,April!$A:$A,0)),0)+IFERROR(INDEX(May!$AK:$AK,MATCH($A67,May!$A:$A,0)),0)+IFERROR(INDEX(June!$AJ:$AJ,MATCH($A67,June!$A:$A,0)),0)+IFERROR(INDEX(July!$AK:$AK,MATCH($A67,July!$A:$A,0)),0)+IFERROR(INDEX(August!$AK:$AK,MATCH($A67,August!$A:$A,0)),0)+IFERROR(INDEX(September!$AJ:$AJ,MATCH($A67,September!$A:$A,0)),0)+IFERROR(INDEX(October!$AK:$AK,MATCH($A67,October!$A:$A,0)),0)+IFERROR(INDEX(November!$AJ:$AJ,MATCH($A67,November!$A:$A,0)),0)+IFERROR(INDEX(December!$AK:$AK,MATCH($A67,December!$A:$A,0)),0)</f>
        <v>19</v>
      </c>
      <c r="AA67" s="51">
        <f t="shared" si="12"/>
        <v>27.5</v>
      </c>
      <c r="AB67" s="55">
        <v>17</v>
      </c>
      <c r="AC67" s="56">
        <f t="shared" si="13"/>
        <v>44.5</v>
      </c>
      <c r="AD67" s="57"/>
      <c r="AE67" s="58">
        <f t="shared" si="14"/>
        <v>44.5</v>
      </c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</row>
    <row r="68" spans="1:49" ht="22" customHeight="1" x14ac:dyDescent="0.35">
      <c r="A68" s="8" t="s">
        <v>161</v>
      </c>
      <c r="B68" s="8" t="s">
        <v>162</v>
      </c>
      <c r="C68" s="8" t="s">
        <v>104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10">
        <v>24</v>
      </c>
      <c r="K68" s="10">
        <v>28</v>
      </c>
      <c r="L68" s="10">
        <v>23</v>
      </c>
      <c r="M68" s="10">
        <v>23</v>
      </c>
      <c r="N68" s="10">
        <v>22</v>
      </c>
      <c r="O68" s="11">
        <v>9</v>
      </c>
      <c r="P68" s="8">
        <f>IFERROR(INDEX(January!$AI:$AI,MATCH($A68,January!$A:$A,0)),0)+IFERROR(INDEX(February!$AF:$AF,MATCH($A68,February!$A:$A,0)),0)+IFERROR(INDEX(March!$AI:$AI,MATCH($A68,March!$A:$A,0)),0)+IFERROR(INDEX(April!$AH:$AH,MATCH($A68,April!$A:$A,0)),0)+IFERROR(INDEX(May!$AI:$AI,MATCH($A68,May!$A:$A,0)),0)+IFERROR(INDEX(June!$AH:$AH,MATCH($A68,June!$A:$A,0)),0)+IFERROR(INDEX(July!$AI:$AI,MATCH($A68,July!$A:$A,0)),0)+IFERROR(INDEX(August!$AI:$AI,MATCH($A68,August!$A:$A,0)),0)+IFERROR(INDEX(September!$AH:$AH,MATCH($A68,September!$A:$A,0)),0)+IFERROR(INDEX(October!$AI:$AI,MATCH($A68,October!$A:$A,0)),0)+IFERROR(INDEX(November!$AH:$AH,MATCH($A68,November!$A:$A,0)),0)+IFERROR(INDEX(December!$AI:$AI,MATCH($A68,December!$A:$A,0)),0)</f>
        <v>92</v>
      </c>
      <c r="Q68" s="8">
        <f>IFERROR(INDEX(January!$AJ:$AJ,MATCH($A68,January!$A:$A,0)),0)+IFERROR(INDEX(February!$AG:$AG,MATCH($A68,February!$A:$A,0)),0)+IFERROR(INDEX(March!$AJ:$AJ,MATCH($A68,March!$A:$A,0)),0)+IFERROR(INDEX(April!$AI:$AI,MATCH($A68,April!$A:$A,0)),0)+IFERROR(INDEX(May!$AJ:$AJ,MATCH($A68,May!$A:$A,0)),0)+IFERROR(INDEX(June!$AI:$AI,MATCH($A68,June!$A:$A,0)),0)+IFERROR(INDEX(July!$AJ:$AJ,MATCH($A68,July!$A:$A,0)),0)+IFERROR(INDEX(August!$AJ:$AJ,MATCH($A68,August!$A:$A,0)),0)+IFERROR(INDEX(September!$AI:$AI,MATCH($A68,September!$A:$A,0)),0)+IFERROR(INDEX(October!$AJ:$AJ,MATCH($A68,October!$A:$A,0)),0)+IFERROR(INDEX(November!$AI:$AI,MATCH($A68,November!$A:$A,0)),0)+IFERROR(INDEX(December!$AJ:$AJ,MATCH($A68,December!$A:$A,0)),0)</f>
        <v>169</v>
      </c>
      <c r="R68" s="8">
        <f>IFERROR(INDEX(January!$AK:$AK,MATCH($A68,January!$A:$A,0)),0)+IFERROR(INDEX(February!$AH:$AH,MATCH($A68,February!$A:$A,0)),0)+IFERROR(INDEX(March!$AK:$AK,MATCH($A68,March!$A:$A,0)),0)+IFERROR(INDEX(April!$AJ:$AJ,MATCH($A68,April!$A:$A,0)),0)+IFERROR(INDEX(May!$AK:$AK,MATCH($A68,May!$A:$A,0)),0)+IFERROR(INDEX(June!$AJ:$AJ,MATCH($A68,June!$A:$A,0)),0)+IFERROR(INDEX(July!$AK:$AK,MATCH($A68,July!$A:$A,0)),0)+IFERROR(INDEX(August!$AK:$AK,MATCH($A68,August!$A:$A,0)),0)+IFERROR(INDEX(September!$AJ:$AJ,MATCH($A68,September!$A:$A,0)),0)+IFERROR(INDEX(October!$AK:$AK,MATCH($A68,October!$A:$A,0)),0)+IFERROR(INDEX(November!$AJ:$AJ,MATCH($A68,November!$A:$A,0)),0)+IFERROR(INDEX(December!$AK:$AK,MATCH($A68,December!$A:$A,0)),0)</f>
        <v>19</v>
      </c>
      <c r="S68" s="37">
        <f t="shared" si="10"/>
        <v>0.35249042145593867</v>
      </c>
      <c r="T68" s="38"/>
      <c r="U68" s="51">
        <f>IFERROR(INDEX(January!$AQ:$AQ,MATCH($A68,January!$A:$A,0)),0)+IFERROR(INDEX(February!$AN:$AN,MATCH($A68,February!$A:$A,0)),0)+IFERROR(INDEX(March!$AQ:$AQ,MATCH($A68,March!$A:$A,0)),0)+IFERROR(INDEX(April!$AP:$AP,MATCH($A68,April!$A:$A,0)),0)+IFERROR(INDEX(May!$AQ:$AQ,MATCH($A68,May!$A:$A,0)),0)+IFERROR(INDEX(June!$AP:$AP,MATCH($A68,June!$A:$A,0)),0)+IFERROR(INDEX(July!$AQ:$AQ,MATCH($A68,July!$A:$A,0)),0)+IFERROR(INDEX(August!$AQ:$AQ,MATCH($A68,August!$A:$A,0)),0)+IFERROR(INDEX(September!$AP:$AP,MATCH($A68,September!$A:$A,0)),0)+IFERROR(INDEX(October!$AQ:$AQ,MATCH($A68,October!$A:$A,0)),0)+IFERROR(INDEX(November!$AP:$AP,MATCH($A68,November!$A:$A,0)),0)+IFERROR(INDEX(December!$AQ:$AQ,MATCH($A68,December!$A:$A,0)),0)</f>
        <v>120</v>
      </c>
      <c r="V68" s="52">
        <f>IFERROR(INDEX(January!$AJ:$AJ,MATCH($A68,January!$A:$A,0)),0)+IFERROR(INDEX(February!$AG:$AG,MATCH($A68,February!$A:$A,0)),0)+IFERROR(INDEX(March!$AJ:$AJ,MATCH($A68,March!$A:$A,0)),0)+IFERROR(INDEX(April!$AI:$AI,MATCH($A68,April!$A:$A,0)),0)+IFERROR(INDEX(May!$AJ:$AJ,MATCH($A68,May!$A:$A,0)),0)+IFERROR(INDEX(June!$AI:$AI,MATCH($A68,June!$A:$A,0)),0)+IFERROR(INDEX(July!$AJ:$AJ,MATCH($A68,July!$A:$A,0)),0)+IFERROR(INDEX(August!$AJ:$AJ,MATCH($A68,August!$A:$A,0)),0)+IFERROR(INDEX(September!$AI:$AI,MATCH($A68,September!$A:$A,0)),0)+IFERROR(INDEX(October!$AJ:$AJ,MATCH($A68,October!$A:$A,0)),0)+IFERROR(INDEX(November!$AI:$AI,MATCH($A68,November!$A:$A,0)),0)+IFERROR(INDEX(December!$AJ:$AJ,MATCH($A68,December!$A:$A,0)),0)</f>
        <v>169</v>
      </c>
      <c r="W68" s="53">
        <f>IFERROR(INDEX(January!$AO:$AO,MATCH($A68,January!$A:$A,0)),0)+IFERROR(INDEX(February!$AL:$AL,MATCH($A68,February!$A:$A,0)),0)+IFERROR(INDEX(March!$AO:$AO,MATCH($A68,March!$A:$A,0)),0)+IFERROR(INDEX(April!$AN:$AN,MATCH($A68,April!$A:$A,0)),0)+IFERROR(INDEX(May!$AO:$AO,MATCH($A68,May!$A:$A,0)),0)+IFERROR(INDEX(June!$AN:$AN,MATCH($A68,June!$A:$A,0)),0)+IFERROR(INDEX(July!$AO:$AO,MATCH($A68,July!$A:$A,0)),0)+IFERROR(INDEX(August!$AO:$AO,MATCH($A68,August!$A:$A,0)),0)+IFERROR(INDEX(September!$AN:$AN,MATCH($A68,September!$A:$A,0)),0)+IFERROR(INDEX(October!$AO:$AO,MATCH($A68,October!$A:$A,0)),0)+IFERROR(INDEX(November!$AN:$AN,MATCH($A68,November!$A:$A,0)),0)+IFERROR(INDEX(December!$AO:$AO,MATCH($A68,December!$A:$A,0)),0)</f>
        <v>0</v>
      </c>
      <c r="X68" s="53">
        <f t="shared" si="11"/>
        <v>0</v>
      </c>
      <c r="Y68" s="53">
        <f>(IFERROR(INDEX(January!$AL:$AL,MATCH($A68,January!$A:$A,0)),0)+IFERROR(INDEX(February!$AI:$AI,MATCH($A68,February!$A:$A,0)),0)+IFERROR(INDEX(March!$AL:$AL,MATCH($A68,March!$A:$A,0)),0)+IFERROR(INDEX(April!$AK:$AK,MATCH($A68,April!$A:$A,0)),0)+IFERROR(INDEX(May!$AL:$AL,MATCH($A68,May!$A:$A,0)),0)+IFERROR(INDEX(June!$AK:$AK,MATCH($A68,June!$A:$A,0)),0)+IFERROR(INDEX(July!$AL:$AL,MATCH($A68,July!$A:$A,0)),0)+IFERROR(INDEX(August!$AL:$AL,MATCH($A68,August!$A:$A,0)),0)+IFERROR(INDEX(September!$AK:$AK,MATCH($A68,September!$A:$A,0)),0)+IFERROR(INDEX(October!$AL:$AL,MATCH($A68,October!$A:$A,0)),0)+IFERROR(INDEX(November!$AK:$AK,MATCH($A68,November!$A:$A,0)),0)+IFERROR(INDEX(December!$AL:$AL,MATCH($A68,December!$A:$A,0)),0))*0.5</f>
        <v>9</v>
      </c>
      <c r="Z68" s="54">
        <f>IFERROR(INDEX(January!$AK:$AK,MATCH($A68,January!$A:$A,0)),0)+IFERROR(INDEX(February!$AH:$AH,MATCH($A68,February!$A:$A,0)),0)+IFERROR(INDEX(March!$AK:$AK,MATCH($A68,March!$A:$A,0)),0)+IFERROR(INDEX(April!$AJ:$AJ,MATCH($A68,April!$A:$A,0)),0)+IFERROR(INDEX(May!$AK:$AK,MATCH($A68,May!$A:$A,0)),0)+IFERROR(INDEX(June!$AJ:$AJ,MATCH($A68,June!$A:$A,0)),0)+IFERROR(INDEX(July!$AK:$AK,MATCH($A68,July!$A:$A,0)),0)+IFERROR(INDEX(August!$AK:$AK,MATCH($A68,August!$A:$A,0)),0)+IFERROR(INDEX(September!$AJ:$AJ,MATCH($A68,September!$A:$A,0)),0)+IFERROR(INDEX(October!$AK:$AK,MATCH($A68,October!$A:$A,0)),0)+IFERROR(INDEX(November!$AJ:$AJ,MATCH($A68,November!$A:$A,0)),0)+IFERROR(INDEX(December!$AK:$AK,MATCH($A68,December!$A:$A,0)),0)</f>
        <v>19</v>
      </c>
      <c r="AA68" s="51">
        <f t="shared" si="12"/>
        <v>28</v>
      </c>
      <c r="AB68" s="55">
        <v>17</v>
      </c>
      <c r="AC68" s="56">
        <f t="shared" si="13"/>
        <v>45</v>
      </c>
      <c r="AD68" s="57"/>
      <c r="AE68" s="58">
        <f t="shared" si="14"/>
        <v>45</v>
      </c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</row>
    <row r="69" spans="1:49" ht="22" customHeight="1" x14ac:dyDescent="0.35">
      <c r="A69" s="8" t="s">
        <v>163</v>
      </c>
      <c r="B69" s="8" t="s">
        <v>164</v>
      </c>
      <c r="C69" s="8" t="s">
        <v>104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10">
        <v>24</v>
      </c>
      <c r="K69" s="10">
        <v>28</v>
      </c>
      <c r="L69" s="10">
        <v>23</v>
      </c>
      <c r="M69" s="10">
        <v>24</v>
      </c>
      <c r="N69" s="10">
        <v>24</v>
      </c>
      <c r="O69" s="11">
        <v>8</v>
      </c>
      <c r="P69" s="8">
        <f>IFERROR(INDEX(January!$AI:$AI,MATCH($A69,January!$A:$A,0)),0)+IFERROR(INDEX(February!$AF:$AF,MATCH($A69,February!$A:$A,0)),0)+IFERROR(INDEX(March!$AI:$AI,MATCH($A69,March!$A:$A,0)),0)+IFERROR(INDEX(April!$AH:$AH,MATCH($A69,April!$A:$A,0)),0)+IFERROR(INDEX(May!$AI:$AI,MATCH($A69,May!$A:$A,0)),0)+IFERROR(INDEX(June!$AH:$AH,MATCH($A69,June!$A:$A,0)),0)+IFERROR(INDEX(July!$AI:$AI,MATCH($A69,July!$A:$A,0)),0)+IFERROR(INDEX(August!$AI:$AI,MATCH($A69,August!$A:$A,0)),0)+IFERROR(INDEX(September!$AH:$AH,MATCH($A69,September!$A:$A,0)),0)+IFERROR(INDEX(October!$AI:$AI,MATCH($A69,October!$A:$A,0)),0)+IFERROR(INDEX(November!$AH:$AH,MATCH($A69,November!$A:$A,0)),0)+IFERROR(INDEX(December!$AI:$AI,MATCH($A69,December!$A:$A,0)),0)</f>
        <v>95</v>
      </c>
      <c r="Q69" s="8">
        <f>IFERROR(INDEX(January!$AJ:$AJ,MATCH($A69,January!$A:$A,0)),0)+IFERROR(INDEX(February!$AG:$AG,MATCH($A69,February!$A:$A,0)),0)+IFERROR(INDEX(March!$AJ:$AJ,MATCH($A69,March!$A:$A,0)),0)+IFERROR(INDEX(April!$AI:$AI,MATCH($A69,April!$A:$A,0)),0)+IFERROR(INDEX(May!$AJ:$AJ,MATCH($A69,May!$A:$A,0)),0)+IFERROR(INDEX(June!$AI:$AI,MATCH($A69,June!$A:$A,0)),0)+IFERROR(INDEX(July!$AJ:$AJ,MATCH($A69,July!$A:$A,0)),0)+IFERROR(INDEX(August!$AJ:$AJ,MATCH($A69,August!$A:$A,0)),0)+IFERROR(INDEX(September!$AI:$AI,MATCH($A69,September!$A:$A,0)),0)+IFERROR(INDEX(October!$AJ:$AJ,MATCH($A69,October!$A:$A,0)),0)+IFERROR(INDEX(November!$AI:$AI,MATCH($A69,November!$A:$A,0)),0)+IFERROR(INDEX(December!$AJ:$AJ,MATCH($A69,December!$A:$A,0)),0)</f>
        <v>166</v>
      </c>
      <c r="R69" s="8">
        <f>IFERROR(INDEX(January!$AK:$AK,MATCH($A69,January!$A:$A,0)),0)+IFERROR(INDEX(February!$AH:$AH,MATCH($A69,February!$A:$A,0)),0)+IFERROR(INDEX(March!$AK:$AK,MATCH($A69,March!$A:$A,0)),0)+IFERROR(INDEX(April!$AJ:$AJ,MATCH($A69,April!$A:$A,0)),0)+IFERROR(INDEX(May!$AK:$AK,MATCH($A69,May!$A:$A,0)),0)+IFERROR(INDEX(June!$AJ:$AJ,MATCH($A69,June!$A:$A,0)),0)+IFERROR(INDEX(July!$AK:$AK,MATCH($A69,July!$A:$A,0)),0)+IFERROR(INDEX(August!$AK:$AK,MATCH($A69,August!$A:$A,0)),0)+IFERROR(INDEX(September!$AJ:$AJ,MATCH($A69,September!$A:$A,0)),0)+IFERROR(INDEX(October!$AK:$AK,MATCH($A69,October!$A:$A,0)),0)+IFERROR(INDEX(November!$AJ:$AJ,MATCH($A69,November!$A:$A,0)),0)+IFERROR(INDEX(December!$AK:$AK,MATCH($A69,December!$A:$A,0)),0)</f>
        <v>19</v>
      </c>
      <c r="S69" s="37">
        <f t="shared" si="10"/>
        <v>0.36398467432950193</v>
      </c>
      <c r="T69" s="38"/>
      <c r="U69" s="51">
        <f>IFERROR(INDEX(January!$AQ:$AQ,MATCH($A69,January!$A:$A,0)),0)+IFERROR(INDEX(February!$AN:$AN,MATCH($A69,February!$A:$A,0)),0)+IFERROR(INDEX(March!$AQ:$AQ,MATCH($A69,March!$A:$A,0)),0)+IFERROR(INDEX(April!$AP:$AP,MATCH($A69,April!$A:$A,0)),0)+IFERROR(INDEX(May!$AQ:$AQ,MATCH($A69,May!$A:$A,0)),0)+IFERROR(INDEX(June!$AP:$AP,MATCH($A69,June!$A:$A,0)),0)+IFERROR(INDEX(July!$AQ:$AQ,MATCH($A69,July!$A:$A,0)),0)+IFERROR(INDEX(August!$AQ:$AQ,MATCH($A69,August!$A:$A,0)),0)+IFERROR(INDEX(September!$AP:$AP,MATCH($A69,September!$A:$A,0)),0)+IFERROR(INDEX(October!$AQ:$AQ,MATCH($A69,October!$A:$A,0)),0)+IFERROR(INDEX(November!$AP:$AP,MATCH($A69,November!$A:$A,0)),0)+IFERROR(INDEX(December!$AQ:$AQ,MATCH($A69,December!$A:$A,0)),0)</f>
        <v>122</v>
      </c>
      <c r="V69" s="52">
        <f>IFERROR(INDEX(January!$AJ:$AJ,MATCH($A69,January!$A:$A,0)),0)+IFERROR(INDEX(February!$AG:$AG,MATCH($A69,February!$A:$A,0)),0)+IFERROR(INDEX(March!$AJ:$AJ,MATCH($A69,March!$A:$A,0)),0)+IFERROR(INDEX(April!$AI:$AI,MATCH($A69,April!$A:$A,0)),0)+IFERROR(INDEX(May!$AJ:$AJ,MATCH($A69,May!$A:$A,0)),0)+IFERROR(INDEX(June!$AI:$AI,MATCH($A69,June!$A:$A,0)),0)+IFERROR(INDEX(July!$AJ:$AJ,MATCH($A69,July!$A:$A,0)),0)+IFERROR(INDEX(August!$AJ:$AJ,MATCH($A69,August!$A:$A,0)),0)+IFERROR(INDEX(September!$AI:$AI,MATCH($A69,September!$A:$A,0)),0)+IFERROR(INDEX(October!$AJ:$AJ,MATCH($A69,October!$A:$A,0)),0)+IFERROR(INDEX(November!$AI:$AI,MATCH($A69,November!$A:$A,0)),0)+IFERROR(INDEX(December!$AJ:$AJ,MATCH($A69,December!$A:$A,0)),0)</f>
        <v>166</v>
      </c>
      <c r="W69" s="53">
        <f>IFERROR(INDEX(January!$AO:$AO,MATCH($A69,January!$A:$A,0)),0)+IFERROR(INDEX(February!$AL:$AL,MATCH($A69,February!$A:$A,0)),0)+IFERROR(INDEX(March!$AO:$AO,MATCH($A69,March!$A:$A,0)),0)+IFERROR(INDEX(April!$AN:$AN,MATCH($A69,April!$A:$A,0)),0)+IFERROR(INDEX(May!$AO:$AO,MATCH($A69,May!$A:$A,0)),0)+IFERROR(INDEX(June!$AN:$AN,MATCH($A69,June!$A:$A,0)),0)+IFERROR(INDEX(July!$AO:$AO,MATCH($A69,July!$A:$A,0)),0)+IFERROR(INDEX(August!$AO:$AO,MATCH($A69,August!$A:$A,0)),0)+IFERROR(INDEX(September!$AN:$AN,MATCH($A69,September!$A:$A,0)),0)+IFERROR(INDEX(October!$AO:$AO,MATCH($A69,October!$A:$A,0)),0)+IFERROR(INDEX(November!$AN:$AN,MATCH($A69,November!$A:$A,0)),0)+IFERROR(INDEX(December!$AO:$AO,MATCH($A69,December!$A:$A,0)),0)</f>
        <v>1</v>
      </c>
      <c r="X69" s="53">
        <f t="shared" si="11"/>
        <v>0.5</v>
      </c>
      <c r="Y69" s="53">
        <f>(IFERROR(INDEX(January!$AL:$AL,MATCH($A69,January!$A:$A,0)),0)+IFERROR(INDEX(February!$AI:$AI,MATCH($A69,February!$A:$A,0)),0)+IFERROR(INDEX(March!$AL:$AL,MATCH($A69,March!$A:$A,0)),0)+IFERROR(INDEX(April!$AK:$AK,MATCH($A69,April!$A:$A,0)),0)+IFERROR(INDEX(May!$AL:$AL,MATCH($A69,May!$A:$A,0)),0)+IFERROR(INDEX(June!$AK:$AK,MATCH($A69,June!$A:$A,0)),0)+IFERROR(INDEX(July!$AL:$AL,MATCH($A69,July!$A:$A,0)),0)+IFERROR(INDEX(August!$AL:$AL,MATCH($A69,August!$A:$A,0)),0)+IFERROR(INDEX(September!$AK:$AK,MATCH($A69,September!$A:$A,0)),0)+IFERROR(INDEX(October!$AL:$AL,MATCH($A69,October!$A:$A,0)),0)+IFERROR(INDEX(November!$AK:$AK,MATCH($A69,November!$A:$A,0)),0)+IFERROR(INDEX(December!$AL:$AL,MATCH($A69,December!$A:$A,0)),0))*0.5</f>
        <v>8.5</v>
      </c>
      <c r="Z69" s="54">
        <f>IFERROR(INDEX(January!$AK:$AK,MATCH($A69,January!$A:$A,0)),0)+IFERROR(INDEX(February!$AH:$AH,MATCH($A69,February!$A:$A,0)),0)+IFERROR(INDEX(March!$AK:$AK,MATCH($A69,March!$A:$A,0)),0)+IFERROR(INDEX(April!$AJ:$AJ,MATCH($A69,April!$A:$A,0)),0)+IFERROR(INDEX(May!$AK:$AK,MATCH($A69,May!$A:$A,0)),0)+IFERROR(INDEX(June!$AJ:$AJ,MATCH($A69,June!$A:$A,0)),0)+IFERROR(INDEX(July!$AK:$AK,MATCH($A69,July!$A:$A,0)),0)+IFERROR(INDEX(August!$AK:$AK,MATCH($A69,August!$A:$A,0)),0)+IFERROR(INDEX(September!$AJ:$AJ,MATCH($A69,September!$A:$A,0)),0)+IFERROR(INDEX(October!$AK:$AK,MATCH($A69,October!$A:$A,0)),0)+IFERROR(INDEX(November!$AJ:$AJ,MATCH($A69,November!$A:$A,0)),0)+IFERROR(INDEX(December!$AK:$AK,MATCH($A69,December!$A:$A,0)),0)</f>
        <v>19</v>
      </c>
      <c r="AA69" s="51">
        <f t="shared" si="12"/>
        <v>27.5</v>
      </c>
      <c r="AB69" s="55">
        <v>17</v>
      </c>
      <c r="AC69" s="56">
        <f t="shared" si="13"/>
        <v>44.5</v>
      </c>
      <c r="AD69" s="57"/>
      <c r="AE69" s="58">
        <f t="shared" si="14"/>
        <v>44.5</v>
      </c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</row>
    <row r="70" spans="1:49" ht="22" customHeight="1" x14ac:dyDescent="0.35">
      <c r="A70" s="8" t="s">
        <v>165</v>
      </c>
      <c r="B70" s="8" t="s">
        <v>166</v>
      </c>
      <c r="C70" s="8" t="s">
        <v>104</v>
      </c>
      <c r="D70" s="10">
        <v>26</v>
      </c>
      <c r="E70" s="10">
        <v>27</v>
      </c>
      <c r="F70" s="10">
        <v>27</v>
      </c>
      <c r="G70" s="11">
        <v>3</v>
      </c>
      <c r="H70" s="11">
        <v>19</v>
      </c>
      <c r="I70" s="10">
        <v>22</v>
      </c>
      <c r="J70" s="10">
        <v>30</v>
      </c>
      <c r="K70" s="10">
        <v>25</v>
      </c>
      <c r="L70" s="10">
        <v>26</v>
      </c>
      <c r="M70" s="10">
        <v>31</v>
      </c>
      <c r="N70" s="10">
        <v>30</v>
      </c>
      <c r="O70" s="11">
        <v>18</v>
      </c>
      <c r="P70" s="8">
        <f>IFERROR(INDEX(January!$AI:$AI,MATCH($A70,January!$A:$A,0)),0)+IFERROR(INDEX(February!$AF:$AF,MATCH($A70,February!$A:$A,0)),0)+IFERROR(INDEX(March!$AI:$AI,MATCH($A70,March!$A:$A,0)),0)+IFERROR(INDEX(April!$AH:$AH,MATCH($A70,April!$A:$A,0)),0)+IFERROR(INDEX(May!$AI:$AI,MATCH($A70,May!$A:$A,0)),0)+IFERROR(INDEX(June!$AH:$AH,MATCH($A70,June!$A:$A,0)),0)+IFERROR(INDEX(July!$AI:$AI,MATCH($A70,July!$A:$A,0)),0)+IFERROR(INDEX(August!$AI:$AI,MATCH($A70,August!$A:$A,0)),0)+IFERROR(INDEX(September!$AH:$AH,MATCH($A70,September!$A:$A,0)),0)+IFERROR(INDEX(October!$AI:$AI,MATCH($A70,October!$A:$A,0)),0)+IFERROR(INDEX(November!$AH:$AH,MATCH($A70,November!$A:$A,0)),0)+IFERROR(INDEX(December!$AI:$AI,MATCH($A70,December!$A:$A,0)),0)</f>
        <v>208</v>
      </c>
      <c r="Q70" s="8">
        <f>IFERROR(INDEX(January!$AJ:$AJ,MATCH($A70,January!$A:$A,0)),0)+IFERROR(INDEX(February!$AG:$AG,MATCH($A70,February!$A:$A,0)),0)+IFERROR(INDEX(March!$AJ:$AJ,MATCH($A70,March!$A:$A,0)),0)+IFERROR(INDEX(April!$AI:$AI,MATCH($A70,April!$A:$A,0)),0)+IFERROR(INDEX(May!$AJ:$AJ,MATCH($A70,May!$A:$A,0)),0)+IFERROR(INDEX(June!$AI:$AI,MATCH($A70,June!$A:$A,0)),0)+IFERROR(INDEX(July!$AJ:$AJ,MATCH($A70,July!$A:$A,0)),0)+IFERROR(INDEX(August!$AJ:$AJ,MATCH($A70,August!$A:$A,0)),0)+IFERROR(INDEX(September!$AI:$AI,MATCH($A70,September!$A:$A,0)),0)+IFERROR(INDEX(October!$AJ:$AJ,MATCH($A70,October!$A:$A,0)),0)+IFERROR(INDEX(November!$AI:$AI,MATCH($A70,November!$A:$A,0)),0)+IFERROR(INDEX(December!$AJ:$AJ,MATCH($A70,December!$A:$A,0)),0)</f>
        <v>53</v>
      </c>
      <c r="R70" s="8">
        <f>IFERROR(INDEX(January!$AK:$AK,MATCH($A70,January!$A:$A,0)),0)+IFERROR(INDEX(February!$AH:$AH,MATCH($A70,February!$A:$A,0)),0)+IFERROR(INDEX(March!$AK:$AK,MATCH($A70,March!$A:$A,0)),0)+IFERROR(INDEX(April!$AJ:$AJ,MATCH($A70,April!$A:$A,0)),0)+IFERROR(INDEX(May!$AK:$AK,MATCH($A70,May!$A:$A,0)),0)+IFERROR(INDEX(June!$AJ:$AJ,MATCH($A70,June!$A:$A,0)),0)+IFERROR(INDEX(July!$AK:$AK,MATCH($A70,July!$A:$A,0)),0)+IFERROR(INDEX(August!$AK:$AK,MATCH($A70,August!$A:$A,0)),0)+IFERROR(INDEX(September!$AJ:$AJ,MATCH($A70,September!$A:$A,0)),0)+IFERROR(INDEX(October!$AK:$AK,MATCH($A70,October!$A:$A,0)),0)+IFERROR(INDEX(November!$AJ:$AJ,MATCH($A70,November!$A:$A,0)),0)+IFERROR(INDEX(December!$AK:$AK,MATCH($A70,December!$A:$A,0)),0)</f>
        <v>38</v>
      </c>
      <c r="S70" s="35">
        <f t="shared" si="10"/>
        <v>0.79693486590038309</v>
      </c>
      <c r="T70" s="38"/>
      <c r="U70" s="51">
        <f>IFERROR(INDEX(January!$AQ:$AQ,MATCH($A70,January!$A:$A,0)),0)+IFERROR(INDEX(February!$AN:$AN,MATCH($A70,February!$A:$A,0)),0)+IFERROR(INDEX(March!$AQ:$AQ,MATCH($A70,March!$A:$A,0)),0)+IFERROR(INDEX(April!$AP:$AP,MATCH($A70,April!$A:$A,0)),0)+IFERROR(INDEX(May!$AQ:$AQ,MATCH($A70,May!$A:$A,0)),0)+IFERROR(INDEX(June!$AP:$AP,MATCH($A70,June!$A:$A,0)),0)+IFERROR(INDEX(July!$AQ:$AQ,MATCH($A70,July!$A:$A,0)),0)+IFERROR(INDEX(August!$AQ:$AQ,MATCH($A70,August!$A:$A,0)),0)+IFERROR(INDEX(September!$AP:$AP,MATCH($A70,September!$A:$A,0)),0)+IFERROR(INDEX(October!$AQ:$AQ,MATCH($A70,October!$A:$A,0)),0)+IFERROR(INDEX(November!$AP:$AP,MATCH($A70,November!$A:$A,0)),0)+IFERROR(INDEX(December!$AQ:$AQ,MATCH($A70,December!$A:$A,0)),0)</f>
        <v>262.5</v>
      </c>
      <c r="V70" s="52">
        <f>IFERROR(INDEX(January!$AJ:$AJ,MATCH($A70,January!$A:$A,0)),0)+IFERROR(INDEX(February!$AG:$AG,MATCH($A70,February!$A:$A,0)),0)+IFERROR(INDEX(March!$AJ:$AJ,MATCH($A70,March!$A:$A,0)),0)+IFERROR(INDEX(April!$AI:$AI,MATCH($A70,April!$A:$A,0)),0)+IFERROR(INDEX(May!$AJ:$AJ,MATCH($A70,May!$A:$A,0)),0)+IFERROR(INDEX(June!$AI:$AI,MATCH($A70,June!$A:$A,0)),0)+IFERROR(INDEX(July!$AJ:$AJ,MATCH($A70,July!$A:$A,0)),0)+IFERROR(INDEX(August!$AJ:$AJ,MATCH($A70,August!$A:$A,0)),0)+IFERROR(INDEX(September!$AI:$AI,MATCH($A70,September!$A:$A,0)),0)+IFERROR(INDEX(October!$AJ:$AJ,MATCH($A70,October!$A:$A,0)),0)+IFERROR(INDEX(November!$AI:$AI,MATCH($A70,November!$A:$A,0)),0)+IFERROR(INDEX(December!$AJ:$AJ,MATCH($A70,December!$A:$A,0)),0)</f>
        <v>53</v>
      </c>
      <c r="W70" s="53">
        <f>IFERROR(INDEX(January!$AO:$AO,MATCH($A70,January!$A:$A,0)),0)+IFERROR(INDEX(February!$AL:$AL,MATCH($A70,February!$A:$A,0)),0)+IFERROR(INDEX(March!$AO:$AO,MATCH($A70,March!$A:$A,0)),0)+IFERROR(INDEX(April!$AN:$AN,MATCH($A70,April!$A:$A,0)),0)+IFERROR(INDEX(May!$AO:$AO,MATCH($A70,May!$A:$A,0)),0)+IFERROR(INDEX(June!$AN:$AN,MATCH($A70,June!$A:$A,0)),0)+IFERROR(INDEX(July!$AO:$AO,MATCH($A70,July!$A:$A,0)),0)+IFERROR(INDEX(August!$AO:$AO,MATCH($A70,August!$A:$A,0)),0)+IFERROR(INDEX(September!$AN:$AN,MATCH($A70,September!$A:$A,0)),0)+IFERROR(INDEX(October!$AO:$AO,MATCH($A70,October!$A:$A,0)),0)+IFERROR(INDEX(November!$AN:$AN,MATCH($A70,November!$A:$A,0)),0)+IFERROR(INDEX(December!$AO:$AO,MATCH($A70,December!$A:$A,0)),0)</f>
        <v>5</v>
      </c>
      <c r="X70" s="53">
        <f t="shared" si="11"/>
        <v>2.5</v>
      </c>
      <c r="Y70" s="53">
        <f>(IFERROR(INDEX(January!$AL:$AL,MATCH($A70,January!$A:$A,0)),0)+IFERROR(INDEX(February!$AI:$AI,MATCH($A70,February!$A:$A,0)),0)+IFERROR(INDEX(March!$AL:$AL,MATCH($A70,March!$A:$A,0)),0)+IFERROR(INDEX(April!$AK:$AK,MATCH($A70,April!$A:$A,0)),0)+IFERROR(INDEX(May!$AL:$AL,MATCH($A70,May!$A:$A,0)),0)+IFERROR(INDEX(June!$AK:$AK,MATCH($A70,June!$A:$A,0)),0)+IFERROR(INDEX(July!$AL:$AL,MATCH($A70,July!$A:$A,0)),0)+IFERROR(INDEX(August!$AL:$AL,MATCH($A70,August!$A:$A,0)),0)+IFERROR(INDEX(September!$AK:$AK,MATCH($A70,September!$A:$A,0)),0)+IFERROR(INDEX(October!$AL:$AL,MATCH($A70,October!$A:$A,0)),0)+IFERROR(INDEX(November!$AK:$AK,MATCH($A70,November!$A:$A,0)),0)+IFERROR(INDEX(December!$AL:$AL,MATCH($A70,December!$A:$A,0)),0))*0.5</f>
        <v>19</v>
      </c>
      <c r="Z70" s="54">
        <f>IFERROR(INDEX(January!$AK:$AK,MATCH($A70,January!$A:$A,0)),0)+IFERROR(INDEX(February!$AH:$AH,MATCH($A70,February!$A:$A,0)),0)+IFERROR(INDEX(March!$AK:$AK,MATCH($A70,March!$A:$A,0)),0)+IFERROR(INDEX(April!$AJ:$AJ,MATCH($A70,April!$A:$A,0)),0)+IFERROR(INDEX(May!$AK:$AK,MATCH($A70,May!$A:$A,0)),0)+IFERROR(INDEX(June!$AJ:$AJ,MATCH($A70,June!$A:$A,0)),0)+IFERROR(INDEX(July!$AK:$AK,MATCH($A70,July!$A:$A,0)),0)+IFERROR(INDEX(August!$AK:$AK,MATCH($A70,August!$A:$A,0)),0)+IFERROR(INDEX(September!$AJ:$AJ,MATCH($A70,September!$A:$A,0)),0)+IFERROR(INDEX(October!$AK:$AK,MATCH($A70,October!$A:$A,0)),0)+IFERROR(INDEX(November!$AJ:$AJ,MATCH($A70,November!$A:$A,0)),0)+IFERROR(INDEX(December!$AK:$AK,MATCH($A70,December!$A:$A,0)),0)</f>
        <v>38</v>
      </c>
      <c r="AA70" s="51">
        <f t="shared" si="12"/>
        <v>57</v>
      </c>
      <c r="AB70" s="55">
        <v>17</v>
      </c>
      <c r="AC70" s="56">
        <f t="shared" si="13"/>
        <v>74</v>
      </c>
      <c r="AD70" s="57"/>
      <c r="AE70" s="58">
        <f t="shared" si="14"/>
        <v>74</v>
      </c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</row>
    <row r="71" spans="1:49" ht="22" customHeight="1" x14ac:dyDescent="0.35">
      <c r="A71" s="8" t="s">
        <v>167</v>
      </c>
      <c r="B71" s="8" t="s">
        <v>168</v>
      </c>
      <c r="C71" s="8" t="s">
        <v>104</v>
      </c>
      <c r="D71" s="10">
        <v>22</v>
      </c>
      <c r="E71" s="10">
        <v>21</v>
      </c>
      <c r="F71" s="10">
        <v>20</v>
      </c>
      <c r="G71" s="11">
        <v>7</v>
      </c>
      <c r="H71" s="11">
        <v>11</v>
      </c>
      <c r="I71" s="10">
        <v>24</v>
      </c>
      <c r="J71" s="10">
        <v>30</v>
      </c>
      <c r="K71" s="10">
        <v>27</v>
      </c>
      <c r="L71" s="10">
        <v>23</v>
      </c>
      <c r="M71" s="11">
        <v>2</v>
      </c>
      <c r="N71" s="10">
        <v>22</v>
      </c>
      <c r="O71" s="11">
        <v>19</v>
      </c>
      <c r="P71" s="8">
        <f>IFERROR(INDEX(January!$AI:$AI,MATCH($A71,January!$A:$A,0)),0)+IFERROR(INDEX(February!$AF:$AF,MATCH($A71,February!$A:$A,0)),0)+IFERROR(INDEX(March!$AI:$AI,MATCH($A71,March!$A:$A,0)),0)+IFERROR(INDEX(April!$AH:$AH,MATCH($A71,April!$A:$A,0)),0)+IFERROR(INDEX(May!$AI:$AI,MATCH($A71,May!$A:$A,0)),0)+IFERROR(INDEX(June!$AH:$AH,MATCH($A71,June!$A:$A,0)),0)+IFERROR(INDEX(July!$AI:$AI,MATCH($A71,July!$A:$A,0)),0)+IFERROR(INDEX(August!$AI:$AI,MATCH($A71,August!$A:$A,0)),0)+IFERROR(INDEX(September!$AH:$AH,MATCH($A71,September!$A:$A,0)),0)+IFERROR(INDEX(October!$AI:$AI,MATCH($A71,October!$A:$A,0)),0)+IFERROR(INDEX(November!$AH:$AH,MATCH($A71,November!$A:$A,0)),0)+IFERROR(INDEX(December!$AI:$AI,MATCH($A71,December!$A:$A,0)),0)</f>
        <v>167</v>
      </c>
      <c r="Q71" s="8">
        <f>IFERROR(INDEX(January!$AJ:$AJ,MATCH($A71,January!$A:$A,0)),0)+IFERROR(INDEX(February!$AG:$AG,MATCH($A71,February!$A:$A,0)),0)+IFERROR(INDEX(March!$AJ:$AJ,MATCH($A71,March!$A:$A,0)),0)+IFERROR(INDEX(April!$AI:$AI,MATCH($A71,April!$A:$A,0)),0)+IFERROR(INDEX(May!$AJ:$AJ,MATCH($A71,May!$A:$A,0)),0)+IFERROR(INDEX(June!$AI:$AI,MATCH($A71,June!$A:$A,0)),0)+IFERROR(INDEX(July!$AJ:$AJ,MATCH($A71,July!$A:$A,0)),0)+IFERROR(INDEX(August!$AJ:$AJ,MATCH($A71,August!$A:$A,0)),0)+IFERROR(INDEX(September!$AI:$AI,MATCH($A71,September!$A:$A,0)),0)+IFERROR(INDEX(October!$AJ:$AJ,MATCH($A71,October!$A:$A,0)),0)+IFERROR(INDEX(November!$AI:$AI,MATCH($A71,November!$A:$A,0)),0)+IFERROR(INDEX(December!$AJ:$AJ,MATCH($A71,December!$A:$A,0)),0)</f>
        <v>94</v>
      </c>
      <c r="R71" s="8">
        <f>IFERROR(INDEX(January!$AK:$AK,MATCH($A71,January!$A:$A,0)),0)+IFERROR(INDEX(February!$AH:$AH,MATCH($A71,February!$A:$A,0)),0)+IFERROR(INDEX(March!$AK:$AK,MATCH($A71,March!$A:$A,0)),0)+IFERROR(INDEX(April!$AJ:$AJ,MATCH($A71,April!$A:$A,0)),0)+IFERROR(INDEX(May!$AK:$AK,MATCH($A71,May!$A:$A,0)),0)+IFERROR(INDEX(June!$AJ:$AJ,MATCH($A71,June!$A:$A,0)),0)+IFERROR(INDEX(July!$AK:$AK,MATCH($A71,July!$A:$A,0)),0)+IFERROR(INDEX(August!$AK:$AK,MATCH($A71,August!$A:$A,0)),0)+IFERROR(INDEX(September!$AJ:$AJ,MATCH($A71,September!$A:$A,0)),0)+IFERROR(INDEX(October!$AK:$AK,MATCH($A71,October!$A:$A,0)),0)+IFERROR(INDEX(November!$AJ:$AJ,MATCH($A71,November!$A:$A,0)),0)+IFERROR(INDEX(December!$AK:$AK,MATCH($A71,December!$A:$A,0)),0)</f>
        <v>32</v>
      </c>
      <c r="S71" s="36">
        <f t="shared" si="10"/>
        <v>0.63984674329501912</v>
      </c>
      <c r="T71" s="38"/>
      <c r="U71" s="51">
        <f>IFERROR(INDEX(January!$AQ:$AQ,MATCH($A71,January!$A:$A,0)),0)+IFERROR(INDEX(February!$AN:$AN,MATCH($A71,February!$A:$A,0)),0)+IFERROR(INDEX(March!$AQ:$AQ,MATCH($A71,March!$A:$A,0)),0)+IFERROR(INDEX(April!$AP:$AP,MATCH($A71,April!$A:$A,0)),0)+IFERROR(INDEX(May!$AQ:$AQ,MATCH($A71,May!$A:$A,0)),0)+IFERROR(INDEX(June!$AP:$AP,MATCH($A71,June!$A:$A,0)),0)+IFERROR(INDEX(July!$AQ:$AQ,MATCH($A71,July!$A:$A,0)),0)+IFERROR(INDEX(August!$AQ:$AQ,MATCH($A71,August!$A:$A,0)),0)+IFERROR(INDEX(September!$AP:$AP,MATCH($A71,September!$A:$A,0)),0)+IFERROR(INDEX(October!$AQ:$AQ,MATCH($A71,October!$A:$A,0)),0)+IFERROR(INDEX(November!$AP:$AP,MATCH($A71,November!$A:$A,0)),0)+IFERROR(INDEX(December!$AQ:$AQ,MATCH($A71,December!$A:$A,0)),0)</f>
        <v>211.5</v>
      </c>
      <c r="V71" s="52">
        <f>IFERROR(INDEX(January!$AJ:$AJ,MATCH($A71,January!$A:$A,0)),0)+IFERROR(INDEX(February!$AG:$AG,MATCH($A71,February!$A:$A,0)),0)+IFERROR(INDEX(March!$AJ:$AJ,MATCH($A71,March!$A:$A,0)),0)+IFERROR(INDEX(April!$AI:$AI,MATCH($A71,April!$A:$A,0)),0)+IFERROR(INDEX(May!$AJ:$AJ,MATCH($A71,May!$A:$A,0)),0)+IFERROR(INDEX(June!$AI:$AI,MATCH($A71,June!$A:$A,0)),0)+IFERROR(INDEX(July!$AJ:$AJ,MATCH($A71,July!$A:$A,0)),0)+IFERROR(INDEX(August!$AJ:$AJ,MATCH($A71,August!$A:$A,0)),0)+IFERROR(INDEX(September!$AI:$AI,MATCH($A71,September!$A:$A,0)),0)+IFERROR(INDEX(October!$AJ:$AJ,MATCH($A71,October!$A:$A,0)),0)+IFERROR(INDEX(November!$AI:$AI,MATCH($A71,November!$A:$A,0)),0)+IFERROR(INDEX(December!$AJ:$AJ,MATCH($A71,December!$A:$A,0)),0)</f>
        <v>94</v>
      </c>
      <c r="W71" s="53">
        <f>IFERROR(INDEX(January!$AO:$AO,MATCH($A71,January!$A:$A,0)),0)+IFERROR(INDEX(February!$AL:$AL,MATCH($A71,February!$A:$A,0)),0)+IFERROR(INDEX(March!$AO:$AO,MATCH($A71,March!$A:$A,0)),0)+IFERROR(INDEX(April!$AN:$AN,MATCH($A71,April!$A:$A,0)),0)+IFERROR(INDEX(May!$AO:$AO,MATCH($A71,May!$A:$A,0)),0)+IFERROR(INDEX(June!$AN:$AN,MATCH($A71,June!$A:$A,0)),0)+IFERROR(INDEX(July!$AO:$AO,MATCH($A71,July!$A:$A,0)),0)+IFERROR(INDEX(August!$AO:$AO,MATCH($A71,August!$A:$A,0)),0)+IFERROR(INDEX(September!$AN:$AN,MATCH($A71,September!$A:$A,0)),0)+IFERROR(INDEX(October!$AO:$AO,MATCH($A71,October!$A:$A,0)),0)+IFERROR(INDEX(November!$AN:$AN,MATCH($A71,November!$A:$A,0)),0)+IFERROR(INDEX(December!$AO:$AO,MATCH($A71,December!$A:$A,0)),0)</f>
        <v>4</v>
      </c>
      <c r="X71" s="53">
        <f t="shared" si="11"/>
        <v>2</v>
      </c>
      <c r="Y71" s="53">
        <f>(IFERROR(INDEX(January!$AL:$AL,MATCH($A71,January!$A:$A,0)),0)+IFERROR(INDEX(February!$AI:$AI,MATCH($A71,February!$A:$A,0)),0)+IFERROR(INDEX(March!$AL:$AL,MATCH($A71,March!$A:$A,0)),0)+IFERROR(INDEX(April!$AK:$AK,MATCH($A71,April!$A:$A,0)),0)+IFERROR(INDEX(May!$AL:$AL,MATCH($A71,May!$A:$A,0)),0)+IFERROR(INDEX(June!$AK:$AK,MATCH($A71,June!$A:$A,0)),0)+IFERROR(INDEX(July!$AL:$AL,MATCH($A71,July!$A:$A,0)),0)+IFERROR(INDEX(August!$AL:$AL,MATCH($A71,August!$A:$A,0)),0)+IFERROR(INDEX(September!$AK:$AK,MATCH($A71,September!$A:$A,0)),0)+IFERROR(INDEX(October!$AL:$AL,MATCH($A71,October!$A:$A,0)),0)+IFERROR(INDEX(November!$AK:$AK,MATCH($A71,November!$A:$A,0)),0)+IFERROR(INDEX(December!$AL:$AL,MATCH($A71,December!$A:$A,0)),0))*0.5</f>
        <v>14.5</v>
      </c>
      <c r="Z71" s="54">
        <f>IFERROR(INDEX(January!$AK:$AK,MATCH($A71,January!$A:$A,0)),0)+IFERROR(INDEX(February!$AH:$AH,MATCH($A71,February!$A:$A,0)),0)+IFERROR(INDEX(March!$AK:$AK,MATCH($A71,March!$A:$A,0)),0)+IFERROR(INDEX(April!$AJ:$AJ,MATCH($A71,April!$A:$A,0)),0)+IFERROR(INDEX(May!$AK:$AK,MATCH($A71,May!$A:$A,0)),0)+IFERROR(INDEX(June!$AJ:$AJ,MATCH($A71,June!$A:$A,0)),0)+IFERROR(INDEX(July!$AK:$AK,MATCH($A71,July!$A:$A,0)),0)+IFERROR(INDEX(August!$AK:$AK,MATCH($A71,August!$A:$A,0)),0)+IFERROR(INDEX(September!$AJ:$AJ,MATCH($A71,September!$A:$A,0)),0)+IFERROR(INDEX(October!$AK:$AK,MATCH($A71,October!$A:$A,0)),0)+IFERROR(INDEX(November!$AJ:$AJ,MATCH($A71,November!$A:$A,0)),0)+IFERROR(INDEX(December!$AK:$AK,MATCH($A71,December!$A:$A,0)),0)</f>
        <v>32</v>
      </c>
      <c r="AA71" s="51">
        <f t="shared" si="12"/>
        <v>46.5</v>
      </c>
      <c r="AB71" s="55">
        <v>17</v>
      </c>
      <c r="AC71" s="56">
        <f t="shared" si="13"/>
        <v>63.5</v>
      </c>
      <c r="AD71" s="57"/>
      <c r="AE71" s="58">
        <f t="shared" si="14"/>
        <v>63.5</v>
      </c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</row>
    <row r="72" spans="1:49" ht="22" customHeight="1" x14ac:dyDescent="0.35">
      <c r="A72" s="8" t="s">
        <v>169</v>
      </c>
      <c r="B72" s="8" t="s">
        <v>170</v>
      </c>
      <c r="C72" s="8" t="s">
        <v>104</v>
      </c>
      <c r="D72" s="11">
        <v>19</v>
      </c>
      <c r="E72" s="10">
        <v>21</v>
      </c>
      <c r="F72" s="10">
        <v>24</v>
      </c>
      <c r="G72" s="11">
        <v>3</v>
      </c>
      <c r="H72" s="11">
        <v>19</v>
      </c>
      <c r="I72" s="10">
        <v>21</v>
      </c>
      <c r="J72" s="10">
        <v>27</v>
      </c>
      <c r="K72" s="10">
        <v>29</v>
      </c>
      <c r="L72" s="10">
        <v>23</v>
      </c>
      <c r="M72" s="10">
        <v>26</v>
      </c>
      <c r="N72" s="11">
        <v>10</v>
      </c>
      <c r="O72" s="11">
        <v>19</v>
      </c>
      <c r="P72" s="8">
        <f>IFERROR(INDEX(January!$AI:$AI,MATCH($A72,January!$A:$A,0)),0)+IFERROR(INDEX(February!$AF:$AF,MATCH($A72,February!$A:$A,0)),0)+IFERROR(INDEX(March!$AI:$AI,MATCH($A72,March!$A:$A,0)),0)+IFERROR(INDEX(April!$AH:$AH,MATCH($A72,April!$A:$A,0)),0)+IFERROR(INDEX(May!$AI:$AI,MATCH($A72,May!$A:$A,0)),0)+IFERROR(INDEX(June!$AH:$AH,MATCH($A72,June!$A:$A,0)),0)+IFERROR(INDEX(July!$AI:$AI,MATCH($A72,July!$A:$A,0)),0)+IFERROR(INDEX(August!$AI:$AI,MATCH($A72,August!$A:$A,0)),0)+IFERROR(INDEX(September!$AH:$AH,MATCH($A72,September!$A:$A,0)),0)+IFERROR(INDEX(October!$AI:$AI,MATCH($A72,October!$A:$A,0)),0)+IFERROR(INDEX(November!$AH:$AH,MATCH($A72,November!$A:$A,0)),0)+IFERROR(INDEX(December!$AI:$AI,MATCH($A72,December!$A:$A,0)),0)</f>
        <v>183</v>
      </c>
      <c r="Q72" s="8">
        <f>IFERROR(INDEX(January!$AJ:$AJ,MATCH($A72,January!$A:$A,0)),0)+IFERROR(INDEX(February!$AG:$AG,MATCH($A72,February!$A:$A,0)),0)+IFERROR(INDEX(March!$AJ:$AJ,MATCH($A72,March!$A:$A,0)),0)+IFERROR(INDEX(April!$AI:$AI,MATCH($A72,April!$A:$A,0)),0)+IFERROR(INDEX(May!$AJ:$AJ,MATCH($A72,May!$A:$A,0)),0)+IFERROR(INDEX(June!$AI:$AI,MATCH($A72,June!$A:$A,0)),0)+IFERROR(INDEX(July!$AJ:$AJ,MATCH($A72,July!$A:$A,0)),0)+IFERROR(INDEX(August!$AJ:$AJ,MATCH($A72,August!$A:$A,0)),0)+IFERROR(INDEX(September!$AI:$AI,MATCH($A72,September!$A:$A,0)),0)+IFERROR(INDEX(October!$AJ:$AJ,MATCH($A72,October!$A:$A,0)),0)+IFERROR(INDEX(November!$AI:$AI,MATCH($A72,November!$A:$A,0)),0)+IFERROR(INDEX(December!$AJ:$AJ,MATCH($A72,December!$A:$A,0)),0)</f>
        <v>78</v>
      </c>
      <c r="R72" s="8">
        <f>IFERROR(INDEX(January!$AK:$AK,MATCH($A72,January!$A:$A,0)),0)+IFERROR(INDEX(February!$AH:$AH,MATCH($A72,February!$A:$A,0)),0)+IFERROR(INDEX(March!$AK:$AK,MATCH($A72,March!$A:$A,0)),0)+IFERROR(INDEX(April!$AJ:$AJ,MATCH($A72,April!$A:$A,0)),0)+IFERROR(INDEX(May!$AK:$AK,MATCH($A72,May!$A:$A,0)),0)+IFERROR(INDEX(June!$AJ:$AJ,MATCH($A72,June!$A:$A,0)),0)+IFERROR(INDEX(July!$AK:$AK,MATCH($A72,July!$A:$A,0)),0)+IFERROR(INDEX(August!$AK:$AK,MATCH($A72,August!$A:$A,0)),0)+IFERROR(INDEX(September!$AJ:$AJ,MATCH($A72,September!$A:$A,0)),0)+IFERROR(INDEX(October!$AK:$AK,MATCH($A72,October!$A:$A,0)),0)+IFERROR(INDEX(November!$AJ:$AJ,MATCH($A72,November!$A:$A,0)),0)+IFERROR(INDEX(December!$AK:$AK,MATCH($A72,December!$A:$A,0)),0)</f>
        <v>28</v>
      </c>
      <c r="S72" s="35">
        <f t="shared" si="10"/>
        <v>0.70114942528735635</v>
      </c>
      <c r="T72" s="38"/>
      <c r="U72" s="51">
        <f>IFERROR(INDEX(January!$AQ:$AQ,MATCH($A72,January!$A:$A,0)),0)+IFERROR(INDEX(February!$AN:$AN,MATCH($A72,February!$A:$A,0)),0)+IFERROR(INDEX(March!$AQ:$AQ,MATCH($A72,March!$A:$A,0)),0)+IFERROR(INDEX(April!$AP:$AP,MATCH($A72,April!$A:$A,0)),0)+IFERROR(INDEX(May!$AQ:$AQ,MATCH($A72,May!$A:$A,0)),0)+IFERROR(INDEX(June!$AP:$AP,MATCH($A72,June!$A:$A,0)),0)+IFERROR(INDEX(July!$AQ:$AQ,MATCH($A72,July!$A:$A,0)),0)+IFERROR(INDEX(August!$AQ:$AQ,MATCH($A72,August!$A:$A,0)),0)+IFERROR(INDEX(September!$AP:$AP,MATCH($A72,September!$A:$A,0)),0)+IFERROR(INDEX(October!$AQ:$AQ,MATCH($A72,October!$A:$A,0)),0)+IFERROR(INDEX(November!$AP:$AP,MATCH($A72,November!$A:$A,0)),0)+IFERROR(INDEX(December!$AQ:$AQ,MATCH($A72,December!$A:$A,0)),0)</f>
        <v>223</v>
      </c>
      <c r="V72" s="52">
        <f>IFERROR(INDEX(January!$AJ:$AJ,MATCH($A72,January!$A:$A,0)),0)+IFERROR(INDEX(February!$AG:$AG,MATCH($A72,February!$A:$A,0)),0)+IFERROR(INDEX(March!$AJ:$AJ,MATCH($A72,March!$A:$A,0)),0)+IFERROR(INDEX(April!$AI:$AI,MATCH($A72,April!$A:$A,0)),0)+IFERROR(INDEX(May!$AJ:$AJ,MATCH($A72,May!$A:$A,0)),0)+IFERROR(INDEX(June!$AI:$AI,MATCH($A72,June!$A:$A,0)),0)+IFERROR(INDEX(July!$AJ:$AJ,MATCH($A72,July!$A:$A,0)),0)+IFERROR(INDEX(August!$AJ:$AJ,MATCH($A72,August!$A:$A,0)),0)+IFERROR(INDEX(September!$AI:$AI,MATCH($A72,September!$A:$A,0)),0)+IFERROR(INDEX(October!$AJ:$AJ,MATCH($A72,October!$A:$A,0)),0)+IFERROR(INDEX(November!$AI:$AI,MATCH($A72,November!$A:$A,0)),0)+IFERROR(INDEX(December!$AJ:$AJ,MATCH($A72,December!$A:$A,0)),0)</f>
        <v>78</v>
      </c>
      <c r="W72" s="53">
        <f>IFERROR(INDEX(January!$AO:$AO,MATCH($A72,January!$A:$A,0)),0)+IFERROR(INDEX(February!$AL:$AL,MATCH($A72,February!$A:$A,0)),0)+IFERROR(INDEX(March!$AO:$AO,MATCH($A72,March!$A:$A,0)),0)+IFERROR(INDEX(April!$AN:$AN,MATCH($A72,April!$A:$A,0)),0)+IFERROR(INDEX(May!$AO:$AO,MATCH($A72,May!$A:$A,0)),0)+IFERROR(INDEX(June!$AN:$AN,MATCH($A72,June!$A:$A,0)),0)+IFERROR(INDEX(July!$AO:$AO,MATCH($A72,July!$A:$A,0)),0)+IFERROR(INDEX(August!$AO:$AO,MATCH($A72,August!$A:$A,0)),0)+IFERROR(INDEX(September!$AN:$AN,MATCH($A72,September!$A:$A,0)),0)+IFERROR(INDEX(October!$AO:$AO,MATCH($A72,October!$A:$A,0)),0)+IFERROR(INDEX(November!$AN:$AN,MATCH($A72,November!$A:$A,0)),0)+IFERROR(INDEX(December!$AO:$AO,MATCH($A72,December!$A:$A,0)),0)</f>
        <v>6</v>
      </c>
      <c r="X72" s="53">
        <f t="shared" si="11"/>
        <v>3</v>
      </c>
      <c r="Y72" s="53">
        <f>(IFERROR(INDEX(January!$AL:$AL,MATCH($A72,January!$A:$A,0)),0)+IFERROR(INDEX(February!$AI:$AI,MATCH($A72,February!$A:$A,0)),0)+IFERROR(INDEX(March!$AL:$AL,MATCH($A72,March!$A:$A,0)),0)+IFERROR(INDEX(April!$AK:$AK,MATCH($A72,April!$A:$A,0)),0)+IFERROR(INDEX(May!$AL:$AL,MATCH($A72,May!$A:$A,0)),0)+IFERROR(INDEX(June!$AK:$AK,MATCH($A72,June!$A:$A,0)),0)+IFERROR(INDEX(July!$AL:$AL,MATCH($A72,July!$A:$A,0)),0)+IFERROR(INDEX(August!$AL:$AL,MATCH($A72,August!$A:$A,0)),0)+IFERROR(INDEX(September!$AK:$AK,MATCH($A72,September!$A:$A,0)),0)+IFERROR(INDEX(October!$AL:$AL,MATCH($A72,October!$A:$A,0)),0)+IFERROR(INDEX(November!$AK:$AK,MATCH($A72,November!$A:$A,0)),0)+IFERROR(INDEX(December!$AL:$AL,MATCH($A72,December!$A:$A,0)),0))*0.5</f>
        <v>15</v>
      </c>
      <c r="Z72" s="54">
        <f>IFERROR(INDEX(January!$AK:$AK,MATCH($A72,January!$A:$A,0)),0)+IFERROR(INDEX(February!$AH:$AH,MATCH($A72,February!$A:$A,0)),0)+IFERROR(INDEX(March!$AK:$AK,MATCH($A72,March!$A:$A,0)),0)+IFERROR(INDEX(April!$AJ:$AJ,MATCH($A72,April!$A:$A,0)),0)+IFERROR(INDEX(May!$AK:$AK,MATCH($A72,May!$A:$A,0)),0)+IFERROR(INDEX(June!$AJ:$AJ,MATCH($A72,June!$A:$A,0)),0)+IFERROR(INDEX(July!$AK:$AK,MATCH($A72,July!$A:$A,0)),0)+IFERROR(INDEX(August!$AK:$AK,MATCH($A72,August!$A:$A,0)),0)+IFERROR(INDEX(September!$AJ:$AJ,MATCH($A72,September!$A:$A,0)),0)+IFERROR(INDEX(October!$AK:$AK,MATCH($A72,October!$A:$A,0)),0)+IFERROR(INDEX(November!$AJ:$AJ,MATCH($A72,November!$A:$A,0)),0)+IFERROR(INDEX(December!$AK:$AK,MATCH($A72,December!$A:$A,0)),0)</f>
        <v>28</v>
      </c>
      <c r="AA72" s="51">
        <f t="shared" si="12"/>
        <v>43</v>
      </c>
      <c r="AB72" s="55">
        <v>17</v>
      </c>
      <c r="AC72" s="56">
        <f t="shared" si="13"/>
        <v>60</v>
      </c>
      <c r="AD72" s="57"/>
      <c r="AE72" s="58">
        <f t="shared" si="14"/>
        <v>60</v>
      </c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</row>
    <row r="73" spans="1:49" ht="22" customHeight="1" x14ac:dyDescent="0.35">
      <c r="A73" s="8" t="s">
        <v>171</v>
      </c>
      <c r="B73" s="8" t="s">
        <v>172</v>
      </c>
      <c r="C73" s="8" t="s">
        <v>104</v>
      </c>
      <c r="D73" s="10">
        <v>22</v>
      </c>
      <c r="E73" s="10">
        <v>20</v>
      </c>
      <c r="F73" s="10">
        <v>25</v>
      </c>
      <c r="G73" s="11">
        <v>9</v>
      </c>
      <c r="H73" s="11">
        <v>6</v>
      </c>
      <c r="I73" s="10">
        <v>28</v>
      </c>
      <c r="J73" s="10">
        <v>29</v>
      </c>
      <c r="K73" s="10">
        <v>25</v>
      </c>
      <c r="L73" s="10">
        <v>20</v>
      </c>
      <c r="M73" s="10">
        <v>28</v>
      </c>
      <c r="N73" s="10">
        <v>22</v>
      </c>
      <c r="O73" s="11">
        <v>7</v>
      </c>
      <c r="P73" s="8">
        <f>IFERROR(INDEX(January!$AI:$AI,MATCH($A73,January!$A:$A,0)),0)+IFERROR(INDEX(February!$AF:$AF,MATCH($A73,February!$A:$A,0)),0)+IFERROR(INDEX(March!$AI:$AI,MATCH($A73,March!$A:$A,0)),0)+IFERROR(INDEX(April!$AH:$AH,MATCH($A73,April!$A:$A,0)),0)+IFERROR(INDEX(May!$AI:$AI,MATCH($A73,May!$A:$A,0)),0)+IFERROR(INDEX(June!$AH:$AH,MATCH($A73,June!$A:$A,0)),0)+IFERROR(INDEX(July!$AI:$AI,MATCH($A73,July!$A:$A,0)),0)+IFERROR(INDEX(August!$AI:$AI,MATCH($A73,August!$A:$A,0)),0)+IFERROR(INDEX(September!$AH:$AH,MATCH($A73,September!$A:$A,0)),0)+IFERROR(INDEX(October!$AI:$AI,MATCH($A73,October!$A:$A,0)),0)+IFERROR(INDEX(November!$AH:$AH,MATCH($A73,November!$A:$A,0)),0)+IFERROR(INDEX(December!$AI:$AI,MATCH($A73,December!$A:$A,0)),0)</f>
        <v>174</v>
      </c>
      <c r="Q73" s="8">
        <f>IFERROR(INDEX(January!$AJ:$AJ,MATCH($A73,January!$A:$A,0)),0)+IFERROR(INDEX(February!$AG:$AG,MATCH($A73,February!$A:$A,0)),0)+IFERROR(INDEX(March!$AJ:$AJ,MATCH($A73,March!$A:$A,0)),0)+IFERROR(INDEX(April!$AI:$AI,MATCH($A73,April!$A:$A,0)),0)+IFERROR(INDEX(May!$AJ:$AJ,MATCH($A73,May!$A:$A,0)),0)+IFERROR(INDEX(June!$AI:$AI,MATCH($A73,June!$A:$A,0)),0)+IFERROR(INDEX(July!$AJ:$AJ,MATCH($A73,July!$A:$A,0)),0)+IFERROR(INDEX(August!$AJ:$AJ,MATCH($A73,August!$A:$A,0)),0)+IFERROR(INDEX(September!$AI:$AI,MATCH($A73,September!$A:$A,0)),0)+IFERROR(INDEX(October!$AJ:$AJ,MATCH($A73,October!$A:$A,0)),0)+IFERROR(INDEX(November!$AI:$AI,MATCH($A73,November!$A:$A,0)),0)+IFERROR(INDEX(December!$AJ:$AJ,MATCH($A73,December!$A:$A,0)),0)</f>
        <v>87</v>
      </c>
      <c r="R73" s="8">
        <f>IFERROR(INDEX(January!$AK:$AK,MATCH($A73,January!$A:$A,0)),0)+IFERROR(INDEX(February!$AH:$AH,MATCH($A73,February!$A:$A,0)),0)+IFERROR(INDEX(March!$AK:$AK,MATCH($A73,March!$A:$A,0)),0)+IFERROR(INDEX(April!$AJ:$AJ,MATCH($A73,April!$A:$A,0)),0)+IFERROR(INDEX(May!$AK:$AK,MATCH($A73,May!$A:$A,0)),0)+IFERROR(INDEX(June!$AJ:$AJ,MATCH($A73,June!$A:$A,0)),0)+IFERROR(INDEX(July!$AK:$AK,MATCH($A73,July!$A:$A,0)),0)+IFERROR(INDEX(August!$AK:$AK,MATCH($A73,August!$A:$A,0)),0)+IFERROR(INDEX(September!$AJ:$AJ,MATCH($A73,September!$A:$A,0)),0)+IFERROR(INDEX(October!$AK:$AK,MATCH($A73,October!$A:$A,0)),0)+IFERROR(INDEX(November!$AJ:$AJ,MATCH($A73,November!$A:$A,0)),0)+IFERROR(INDEX(December!$AK:$AK,MATCH($A73,December!$A:$A,0)),0)</f>
        <v>34</v>
      </c>
      <c r="S73" s="35">
        <f t="shared" si="10"/>
        <v>0.66666666666666663</v>
      </c>
      <c r="T73" s="38"/>
      <c r="U73" s="51">
        <f>IFERROR(INDEX(January!$AQ:$AQ,MATCH($A73,January!$A:$A,0)),0)+IFERROR(INDEX(February!$AN:$AN,MATCH($A73,February!$A:$A,0)),0)+IFERROR(INDEX(March!$AQ:$AQ,MATCH($A73,March!$A:$A,0)),0)+IFERROR(INDEX(April!$AP:$AP,MATCH($A73,April!$A:$A,0)),0)+IFERROR(INDEX(May!$AQ:$AQ,MATCH($A73,May!$A:$A,0)),0)+IFERROR(INDEX(June!$AP:$AP,MATCH($A73,June!$A:$A,0)),0)+IFERROR(INDEX(July!$AQ:$AQ,MATCH($A73,July!$A:$A,0)),0)+IFERROR(INDEX(August!$AQ:$AQ,MATCH($A73,August!$A:$A,0)),0)+IFERROR(INDEX(September!$AP:$AP,MATCH($A73,September!$A:$A,0)),0)+IFERROR(INDEX(October!$AQ:$AQ,MATCH($A73,October!$A:$A,0)),0)+IFERROR(INDEX(November!$AP:$AP,MATCH($A73,November!$A:$A,0)),0)+IFERROR(INDEX(December!$AQ:$AQ,MATCH($A73,December!$A:$A,0)),0)</f>
        <v>221.5</v>
      </c>
      <c r="V73" s="52">
        <f>IFERROR(INDEX(January!$AJ:$AJ,MATCH($A73,January!$A:$A,0)),0)+IFERROR(INDEX(February!$AG:$AG,MATCH($A73,February!$A:$A,0)),0)+IFERROR(INDEX(March!$AJ:$AJ,MATCH($A73,March!$A:$A,0)),0)+IFERROR(INDEX(April!$AI:$AI,MATCH($A73,April!$A:$A,0)),0)+IFERROR(INDEX(May!$AJ:$AJ,MATCH($A73,May!$A:$A,0)),0)+IFERROR(INDEX(June!$AI:$AI,MATCH($A73,June!$A:$A,0)),0)+IFERROR(INDEX(July!$AJ:$AJ,MATCH($A73,July!$A:$A,0)),0)+IFERROR(INDEX(August!$AJ:$AJ,MATCH($A73,August!$A:$A,0)),0)+IFERROR(INDEX(September!$AI:$AI,MATCH($A73,September!$A:$A,0)),0)+IFERROR(INDEX(October!$AJ:$AJ,MATCH($A73,October!$A:$A,0)),0)+IFERROR(INDEX(November!$AI:$AI,MATCH($A73,November!$A:$A,0)),0)+IFERROR(INDEX(December!$AJ:$AJ,MATCH($A73,December!$A:$A,0)),0)</f>
        <v>87</v>
      </c>
      <c r="W73" s="53">
        <f>IFERROR(INDEX(January!$AO:$AO,MATCH($A73,January!$A:$A,0)),0)+IFERROR(INDEX(February!$AL:$AL,MATCH($A73,February!$A:$A,0)),0)+IFERROR(INDEX(March!$AO:$AO,MATCH($A73,March!$A:$A,0)),0)+IFERROR(INDEX(April!$AN:$AN,MATCH($A73,April!$A:$A,0)),0)+IFERROR(INDEX(May!$AO:$AO,MATCH($A73,May!$A:$A,0)),0)+IFERROR(INDEX(June!$AN:$AN,MATCH($A73,June!$A:$A,0)),0)+IFERROR(INDEX(July!$AO:$AO,MATCH($A73,July!$A:$A,0)),0)+IFERROR(INDEX(August!$AO:$AO,MATCH($A73,August!$A:$A,0)),0)+IFERROR(INDEX(September!$AN:$AN,MATCH($A73,September!$A:$A,0)),0)+IFERROR(INDEX(October!$AO:$AO,MATCH($A73,October!$A:$A,0)),0)+IFERROR(INDEX(November!$AN:$AN,MATCH($A73,November!$A:$A,0)),0)+IFERROR(INDEX(December!$AO:$AO,MATCH($A73,December!$A:$A,0)),0)</f>
        <v>6</v>
      </c>
      <c r="X73" s="53">
        <f t="shared" si="11"/>
        <v>3</v>
      </c>
      <c r="Y73" s="53">
        <f>(IFERROR(INDEX(January!$AL:$AL,MATCH($A73,January!$A:$A,0)),0)+IFERROR(INDEX(February!$AI:$AI,MATCH($A73,February!$A:$A,0)),0)+IFERROR(INDEX(March!$AL:$AL,MATCH($A73,March!$A:$A,0)),0)+IFERROR(INDEX(April!$AK:$AK,MATCH($A73,April!$A:$A,0)),0)+IFERROR(INDEX(May!$AL:$AL,MATCH($A73,May!$A:$A,0)),0)+IFERROR(INDEX(June!$AK:$AK,MATCH($A73,June!$A:$A,0)),0)+IFERROR(INDEX(July!$AL:$AL,MATCH($A73,July!$A:$A,0)),0)+IFERROR(INDEX(August!$AL:$AL,MATCH($A73,August!$A:$A,0)),0)+IFERROR(INDEX(September!$AK:$AK,MATCH($A73,September!$A:$A,0)),0)+IFERROR(INDEX(October!$AL:$AL,MATCH($A73,October!$A:$A,0)),0)+IFERROR(INDEX(November!$AK:$AK,MATCH($A73,November!$A:$A,0)),0)+IFERROR(INDEX(December!$AL:$AL,MATCH($A73,December!$A:$A,0)),0))*0.5</f>
        <v>16.5</v>
      </c>
      <c r="Z73" s="54">
        <f>IFERROR(INDEX(January!$AK:$AK,MATCH($A73,January!$A:$A,0)),0)+IFERROR(INDEX(February!$AH:$AH,MATCH($A73,February!$A:$A,0)),0)+IFERROR(INDEX(March!$AK:$AK,MATCH($A73,March!$A:$A,0)),0)+IFERROR(INDEX(April!$AJ:$AJ,MATCH($A73,April!$A:$A,0)),0)+IFERROR(INDEX(May!$AK:$AK,MATCH($A73,May!$A:$A,0)),0)+IFERROR(INDEX(June!$AJ:$AJ,MATCH($A73,June!$A:$A,0)),0)+IFERROR(INDEX(July!$AK:$AK,MATCH($A73,July!$A:$A,0)),0)+IFERROR(INDEX(August!$AK:$AK,MATCH($A73,August!$A:$A,0)),0)+IFERROR(INDEX(September!$AJ:$AJ,MATCH($A73,September!$A:$A,0)),0)+IFERROR(INDEX(October!$AK:$AK,MATCH($A73,October!$A:$A,0)),0)+IFERROR(INDEX(November!$AJ:$AJ,MATCH($A73,November!$A:$A,0)),0)+IFERROR(INDEX(December!$AK:$AK,MATCH($A73,December!$A:$A,0)),0)</f>
        <v>34</v>
      </c>
      <c r="AA73" s="51">
        <f t="shared" si="12"/>
        <v>50.5</v>
      </c>
      <c r="AB73" s="55">
        <v>17</v>
      </c>
      <c r="AC73" s="56">
        <f t="shared" si="13"/>
        <v>67.5</v>
      </c>
      <c r="AD73" s="57"/>
      <c r="AE73" s="58">
        <f t="shared" si="14"/>
        <v>67.5</v>
      </c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</row>
    <row r="74" spans="1:49" ht="22" customHeight="1" x14ac:dyDescent="0.35">
      <c r="A74" s="8" t="s">
        <v>173</v>
      </c>
      <c r="B74" s="8" t="s">
        <v>174</v>
      </c>
      <c r="C74" s="8" t="s">
        <v>104</v>
      </c>
      <c r="D74" s="10">
        <v>23</v>
      </c>
      <c r="E74" s="10">
        <v>28</v>
      </c>
      <c r="F74" s="11">
        <v>19</v>
      </c>
      <c r="G74" s="11">
        <v>10</v>
      </c>
      <c r="H74" s="10">
        <v>22</v>
      </c>
      <c r="I74" s="10">
        <v>22</v>
      </c>
      <c r="J74" s="10">
        <v>25</v>
      </c>
      <c r="K74" s="10">
        <v>29</v>
      </c>
      <c r="L74" s="10">
        <v>29</v>
      </c>
      <c r="M74" s="10">
        <v>22</v>
      </c>
      <c r="N74" s="10">
        <v>27</v>
      </c>
      <c r="O74" s="10">
        <v>27</v>
      </c>
      <c r="P74" s="8">
        <f>IFERROR(INDEX(January!$AI:$AI,MATCH($A74,January!$A:$A,0)),0)+IFERROR(INDEX(February!$AF:$AF,MATCH($A74,February!$A:$A,0)),0)+IFERROR(INDEX(March!$AI:$AI,MATCH($A74,March!$A:$A,0)),0)+IFERROR(INDEX(April!$AH:$AH,MATCH($A74,April!$A:$A,0)),0)+IFERROR(INDEX(May!$AI:$AI,MATCH($A74,May!$A:$A,0)),0)+IFERROR(INDEX(June!$AH:$AH,MATCH($A74,June!$A:$A,0)),0)+IFERROR(INDEX(July!$AI:$AI,MATCH($A74,July!$A:$A,0)),0)+IFERROR(INDEX(August!$AI:$AI,MATCH($A74,August!$A:$A,0)),0)+IFERROR(INDEX(September!$AH:$AH,MATCH($A74,September!$A:$A,0)),0)+IFERROR(INDEX(October!$AI:$AI,MATCH($A74,October!$A:$A,0)),0)+IFERROR(INDEX(November!$AH:$AH,MATCH($A74,November!$A:$A,0)),0)+IFERROR(INDEX(December!$AI:$AI,MATCH($A74,December!$A:$A,0)),0)</f>
        <v>208</v>
      </c>
      <c r="Q74" s="8">
        <f>IFERROR(INDEX(January!$AJ:$AJ,MATCH($A74,January!$A:$A,0)),0)+IFERROR(INDEX(February!$AG:$AG,MATCH($A74,February!$A:$A,0)),0)+IFERROR(INDEX(March!$AJ:$AJ,MATCH($A74,March!$A:$A,0)),0)+IFERROR(INDEX(April!$AI:$AI,MATCH($A74,April!$A:$A,0)),0)+IFERROR(INDEX(May!$AJ:$AJ,MATCH($A74,May!$A:$A,0)),0)+IFERROR(INDEX(June!$AI:$AI,MATCH($A74,June!$A:$A,0)),0)+IFERROR(INDEX(July!$AJ:$AJ,MATCH($A74,July!$A:$A,0)),0)+IFERROR(INDEX(August!$AJ:$AJ,MATCH($A74,August!$A:$A,0)),0)+IFERROR(INDEX(September!$AI:$AI,MATCH($A74,September!$A:$A,0)),0)+IFERROR(INDEX(October!$AJ:$AJ,MATCH($A74,October!$A:$A,0)),0)+IFERROR(INDEX(November!$AI:$AI,MATCH($A74,November!$A:$A,0)),0)+IFERROR(INDEX(December!$AJ:$AJ,MATCH($A74,December!$A:$A,0)),0)</f>
        <v>53</v>
      </c>
      <c r="R74" s="8">
        <f>IFERROR(INDEX(January!$AK:$AK,MATCH($A74,January!$A:$A,0)),0)+IFERROR(INDEX(February!$AH:$AH,MATCH($A74,February!$A:$A,0)),0)+IFERROR(INDEX(March!$AK:$AK,MATCH($A74,March!$A:$A,0)),0)+IFERROR(INDEX(April!$AJ:$AJ,MATCH($A74,April!$A:$A,0)),0)+IFERROR(INDEX(May!$AK:$AK,MATCH($A74,May!$A:$A,0)),0)+IFERROR(INDEX(June!$AJ:$AJ,MATCH($A74,June!$A:$A,0)),0)+IFERROR(INDEX(July!$AK:$AK,MATCH($A74,July!$A:$A,0)),0)+IFERROR(INDEX(August!$AK:$AK,MATCH($A74,August!$A:$A,0)),0)+IFERROR(INDEX(September!$AJ:$AJ,MATCH($A74,September!$A:$A,0)),0)+IFERROR(INDEX(October!$AK:$AK,MATCH($A74,October!$A:$A,0)),0)+IFERROR(INDEX(November!$AJ:$AJ,MATCH($A74,November!$A:$A,0)),0)+IFERROR(INDEX(December!$AK:$AK,MATCH($A74,December!$A:$A,0)),0)</f>
        <v>38</v>
      </c>
      <c r="S74" s="35">
        <f t="shared" si="10"/>
        <v>0.79693486590038309</v>
      </c>
      <c r="T74" s="38"/>
      <c r="U74" s="51">
        <f>IFERROR(INDEX(January!$AQ:$AQ,MATCH($A74,January!$A:$A,0)),0)+IFERROR(INDEX(February!$AN:$AN,MATCH($A74,February!$A:$A,0)),0)+IFERROR(INDEX(March!$AQ:$AQ,MATCH($A74,March!$A:$A,0)),0)+IFERROR(INDEX(April!$AP:$AP,MATCH($A74,April!$A:$A,0)),0)+IFERROR(INDEX(May!$AQ:$AQ,MATCH($A74,May!$A:$A,0)),0)+IFERROR(INDEX(June!$AP:$AP,MATCH($A74,June!$A:$A,0)),0)+IFERROR(INDEX(July!$AQ:$AQ,MATCH($A74,July!$A:$A,0)),0)+IFERROR(INDEX(August!$AQ:$AQ,MATCH($A74,August!$A:$A,0)),0)+IFERROR(INDEX(September!$AP:$AP,MATCH($A74,September!$A:$A,0)),0)+IFERROR(INDEX(October!$AQ:$AQ,MATCH($A74,October!$A:$A,0)),0)+IFERROR(INDEX(November!$AP:$AP,MATCH($A74,November!$A:$A,0)),0)+IFERROR(INDEX(December!$AQ:$AQ,MATCH($A74,December!$A:$A,0)),0)</f>
        <v>262.5</v>
      </c>
      <c r="V74" s="52">
        <f>IFERROR(INDEX(January!$AJ:$AJ,MATCH($A74,January!$A:$A,0)),0)+IFERROR(INDEX(February!$AG:$AG,MATCH($A74,February!$A:$A,0)),0)+IFERROR(INDEX(March!$AJ:$AJ,MATCH($A74,March!$A:$A,0)),0)+IFERROR(INDEX(April!$AI:$AI,MATCH($A74,April!$A:$A,0)),0)+IFERROR(INDEX(May!$AJ:$AJ,MATCH($A74,May!$A:$A,0)),0)+IFERROR(INDEX(June!$AI:$AI,MATCH($A74,June!$A:$A,0)),0)+IFERROR(INDEX(July!$AJ:$AJ,MATCH($A74,July!$A:$A,0)),0)+IFERROR(INDEX(August!$AJ:$AJ,MATCH($A74,August!$A:$A,0)),0)+IFERROR(INDEX(September!$AI:$AI,MATCH($A74,September!$A:$A,0)),0)+IFERROR(INDEX(October!$AJ:$AJ,MATCH($A74,October!$A:$A,0)),0)+IFERROR(INDEX(November!$AI:$AI,MATCH($A74,November!$A:$A,0)),0)+IFERROR(INDEX(December!$AJ:$AJ,MATCH($A74,December!$A:$A,0)),0)</f>
        <v>53</v>
      </c>
      <c r="W74" s="53">
        <f>IFERROR(INDEX(January!$AO:$AO,MATCH($A74,January!$A:$A,0)),0)+IFERROR(INDEX(February!$AL:$AL,MATCH($A74,February!$A:$A,0)),0)+IFERROR(INDEX(March!$AO:$AO,MATCH($A74,March!$A:$A,0)),0)+IFERROR(INDEX(April!$AN:$AN,MATCH($A74,April!$A:$A,0)),0)+IFERROR(INDEX(May!$AO:$AO,MATCH($A74,May!$A:$A,0)),0)+IFERROR(INDEX(June!$AN:$AN,MATCH($A74,June!$A:$A,0)),0)+IFERROR(INDEX(July!$AO:$AO,MATCH($A74,July!$A:$A,0)),0)+IFERROR(INDEX(August!$AO:$AO,MATCH($A74,August!$A:$A,0)),0)+IFERROR(INDEX(September!$AN:$AN,MATCH($A74,September!$A:$A,0)),0)+IFERROR(INDEX(October!$AO:$AO,MATCH($A74,October!$A:$A,0)),0)+IFERROR(INDEX(November!$AN:$AN,MATCH($A74,November!$A:$A,0)),0)+IFERROR(INDEX(December!$AO:$AO,MATCH($A74,December!$A:$A,0)),0)</f>
        <v>4</v>
      </c>
      <c r="X74" s="53">
        <f t="shared" si="11"/>
        <v>2</v>
      </c>
      <c r="Y74" s="53">
        <f>(IFERROR(INDEX(January!$AL:$AL,MATCH($A74,January!$A:$A,0)),0)+IFERROR(INDEX(February!$AI:$AI,MATCH($A74,February!$A:$A,0)),0)+IFERROR(INDEX(March!$AL:$AL,MATCH($A74,March!$A:$A,0)),0)+IFERROR(INDEX(April!$AK:$AK,MATCH($A74,April!$A:$A,0)),0)+IFERROR(INDEX(May!$AL:$AL,MATCH($A74,May!$A:$A,0)),0)+IFERROR(INDEX(June!$AK:$AK,MATCH($A74,June!$A:$A,0)),0)+IFERROR(INDEX(July!$AL:$AL,MATCH($A74,July!$A:$A,0)),0)+IFERROR(INDEX(August!$AL:$AL,MATCH($A74,August!$A:$A,0)),0)+IFERROR(INDEX(September!$AK:$AK,MATCH($A74,September!$A:$A,0)),0)+IFERROR(INDEX(October!$AL:$AL,MATCH($A74,October!$A:$A,0)),0)+IFERROR(INDEX(November!$AK:$AK,MATCH($A74,November!$A:$A,0)),0)+IFERROR(INDEX(December!$AL:$AL,MATCH($A74,December!$A:$A,0)),0))*0.5</f>
        <v>18.5</v>
      </c>
      <c r="Z74" s="54">
        <f>IFERROR(INDEX(January!$AK:$AK,MATCH($A74,January!$A:$A,0)),0)+IFERROR(INDEX(February!$AH:$AH,MATCH($A74,February!$A:$A,0)),0)+IFERROR(INDEX(March!$AK:$AK,MATCH($A74,March!$A:$A,0)),0)+IFERROR(INDEX(April!$AJ:$AJ,MATCH($A74,April!$A:$A,0)),0)+IFERROR(INDEX(May!$AK:$AK,MATCH($A74,May!$A:$A,0)),0)+IFERROR(INDEX(June!$AJ:$AJ,MATCH($A74,June!$A:$A,0)),0)+IFERROR(INDEX(July!$AK:$AK,MATCH($A74,July!$A:$A,0)),0)+IFERROR(INDEX(August!$AK:$AK,MATCH($A74,August!$A:$A,0)),0)+IFERROR(INDEX(September!$AJ:$AJ,MATCH($A74,September!$A:$A,0)),0)+IFERROR(INDEX(October!$AK:$AK,MATCH($A74,October!$A:$A,0)),0)+IFERROR(INDEX(November!$AJ:$AJ,MATCH($A74,November!$A:$A,0)),0)+IFERROR(INDEX(December!$AK:$AK,MATCH($A74,December!$A:$A,0)),0)</f>
        <v>38</v>
      </c>
      <c r="AA74" s="51">
        <f t="shared" si="12"/>
        <v>56.5</v>
      </c>
      <c r="AB74" s="55">
        <v>17</v>
      </c>
      <c r="AC74" s="56">
        <f t="shared" si="13"/>
        <v>73.5</v>
      </c>
      <c r="AD74" s="57"/>
      <c r="AE74" s="58">
        <f t="shared" si="14"/>
        <v>73.5</v>
      </c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</row>
    <row r="75" spans="1:49" ht="22" customHeight="1" x14ac:dyDescent="0.35">
      <c r="A75" s="8" t="s">
        <v>175</v>
      </c>
      <c r="B75" s="8" t="s">
        <v>176</v>
      </c>
      <c r="C75" s="8" t="s">
        <v>104</v>
      </c>
      <c r="D75" s="10">
        <v>25</v>
      </c>
      <c r="E75" s="10">
        <v>24</v>
      </c>
      <c r="F75" s="10">
        <v>24</v>
      </c>
      <c r="G75" s="11">
        <v>13</v>
      </c>
      <c r="H75" s="11">
        <v>10</v>
      </c>
      <c r="I75" s="10">
        <v>24</v>
      </c>
      <c r="J75" s="10">
        <v>24</v>
      </c>
      <c r="K75" s="10">
        <v>30</v>
      </c>
      <c r="L75" s="10">
        <v>26</v>
      </c>
      <c r="M75" s="11">
        <v>4</v>
      </c>
      <c r="N75" s="11">
        <v>16</v>
      </c>
      <c r="O75" s="11">
        <v>18</v>
      </c>
      <c r="P75" s="8">
        <f>IFERROR(INDEX(January!$AI:$AI,MATCH($A75,January!$A:$A,0)),0)+IFERROR(INDEX(February!$AF:$AF,MATCH($A75,February!$A:$A,0)),0)+IFERROR(INDEX(March!$AI:$AI,MATCH($A75,March!$A:$A,0)),0)+IFERROR(INDEX(April!$AH:$AH,MATCH($A75,April!$A:$A,0)),0)+IFERROR(INDEX(May!$AI:$AI,MATCH($A75,May!$A:$A,0)),0)+IFERROR(INDEX(June!$AH:$AH,MATCH($A75,June!$A:$A,0)),0)+IFERROR(INDEX(July!$AI:$AI,MATCH($A75,July!$A:$A,0)),0)+IFERROR(INDEX(August!$AI:$AI,MATCH($A75,August!$A:$A,0)),0)+IFERROR(INDEX(September!$AH:$AH,MATCH($A75,September!$A:$A,0)),0)+IFERROR(INDEX(October!$AI:$AI,MATCH($A75,October!$A:$A,0)),0)+IFERROR(INDEX(November!$AH:$AH,MATCH($A75,November!$A:$A,0)),0)+IFERROR(INDEX(December!$AI:$AI,MATCH($A75,December!$A:$A,0)),0)</f>
        <v>175</v>
      </c>
      <c r="Q75" s="8">
        <f>IFERROR(INDEX(January!$AJ:$AJ,MATCH($A75,January!$A:$A,0)),0)+IFERROR(INDEX(February!$AG:$AG,MATCH($A75,February!$A:$A,0)),0)+IFERROR(INDEX(March!$AJ:$AJ,MATCH($A75,March!$A:$A,0)),0)+IFERROR(INDEX(April!$AI:$AI,MATCH($A75,April!$A:$A,0)),0)+IFERROR(INDEX(May!$AJ:$AJ,MATCH($A75,May!$A:$A,0)),0)+IFERROR(INDEX(June!$AI:$AI,MATCH($A75,June!$A:$A,0)),0)+IFERROR(INDEX(July!$AJ:$AJ,MATCH($A75,July!$A:$A,0)),0)+IFERROR(INDEX(August!$AJ:$AJ,MATCH($A75,August!$A:$A,0)),0)+IFERROR(INDEX(September!$AI:$AI,MATCH($A75,September!$A:$A,0)),0)+IFERROR(INDEX(October!$AJ:$AJ,MATCH($A75,October!$A:$A,0)),0)+IFERROR(INDEX(November!$AI:$AI,MATCH($A75,November!$A:$A,0)),0)+IFERROR(INDEX(December!$AJ:$AJ,MATCH($A75,December!$A:$A,0)),0)</f>
        <v>86</v>
      </c>
      <c r="R75" s="8">
        <f>IFERROR(INDEX(January!$AK:$AK,MATCH($A75,January!$A:$A,0)),0)+IFERROR(INDEX(February!$AH:$AH,MATCH($A75,February!$A:$A,0)),0)+IFERROR(INDEX(March!$AK:$AK,MATCH($A75,March!$A:$A,0)),0)+IFERROR(INDEX(April!$AJ:$AJ,MATCH($A75,April!$A:$A,0)),0)+IFERROR(INDEX(May!$AK:$AK,MATCH($A75,May!$A:$A,0)),0)+IFERROR(INDEX(June!$AJ:$AJ,MATCH($A75,June!$A:$A,0)),0)+IFERROR(INDEX(July!$AK:$AK,MATCH($A75,July!$A:$A,0)),0)+IFERROR(INDEX(August!$AK:$AK,MATCH($A75,August!$A:$A,0)),0)+IFERROR(INDEX(September!$AJ:$AJ,MATCH($A75,September!$A:$A,0)),0)+IFERROR(INDEX(October!$AK:$AK,MATCH($A75,October!$A:$A,0)),0)+IFERROR(INDEX(November!$AJ:$AJ,MATCH($A75,November!$A:$A,0)),0)+IFERROR(INDEX(December!$AK:$AK,MATCH($A75,December!$A:$A,0)),0)</f>
        <v>31</v>
      </c>
      <c r="S75" s="35">
        <f t="shared" si="10"/>
        <v>0.67049808429118773</v>
      </c>
      <c r="T75" s="38"/>
      <c r="U75" s="51">
        <f>IFERROR(INDEX(January!$AQ:$AQ,MATCH($A75,January!$A:$A,0)),0)+IFERROR(INDEX(February!$AN:$AN,MATCH($A75,February!$A:$A,0)),0)+IFERROR(INDEX(March!$AQ:$AQ,MATCH($A75,March!$A:$A,0)),0)+IFERROR(INDEX(April!$AP:$AP,MATCH($A75,April!$A:$A,0)),0)+IFERROR(INDEX(May!$AQ:$AQ,MATCH($A75,May!$A:$A,0)),0)+IFERROR(INDEX(June!$AP:$AP,MATCH($A75,June!$A:$A,0)),0)+IFERROR(INDEX(July!$AQ:$AQ,MATCH($A75,July!$A:$A,0)),0)+IFERROR(INDEX(August!$AQ:$AQ,MATCH($A75,August!$A:$A,0)),0)+IFERROR(INDEX(September!$AP:$AP,MATCH($A75,September!$A:$A,0)),0)+IFERROR(INDEX(October!$AQ:$AQ,MATCH($A75,October!$A:$A,0)),0)+IFERROR(INDEX(November!$AP:$AP,MATCH($A75,November!$A:$A,0)),0)+IFERROR(INDEX(December!$AQ:$AQ,MATCH($A75,December!$A:$A,0)),0)</f>
        <v>219.5</v>
      </c>
      <c r="V75" s="52">
        <f>IFERROR(INDEX(January!$AJ:$AJ,MATCH($A75,January!$A:$A,0)),0)+IFERROR(INDEX(February!$AG:$AG,MATCH($A75,February!$A:$A,0)),0)+IFERROR(INDEX(March!$AJ:$AJ,MATCH($A75,March!$A:$A,0)),0)+IFERROR(INDEX(April!$AI:$AI,MATCH($A75,April!$A:$A,0)),0)+IFERROR(INDEX(May!$AJ:$AJ,MATCH($A75,May!$A:$A,0)),0)+IFERROR(INDEX(June!$AI:$AI,MATCH($A75,June!$A:$A,0)),0)+IFERROR(INDEX(July!$AJ:$AJ,MATCH($A75,July!$A:$A,0)),0)+IFERROR(INDEX(August!$AJ:$AJ,MATCH($A75,August!$A:$A,0)),0)+IFERROR(INDEX(September!$AI:$AI,MATCH($A75,September!$A:$A,0)),0)+IFERROR(INDEX(October!$AJ:$AJ,MATCH($A75,October!$A:$A,0)),0)+IFERROR(INDEX(November!$AI:$AI,MATCH($A75,November!$A:$A,0)),0)+IFERROR(INDEX(December!$AJ:$AJ,MATCH($A75,December!$A:$A,0)),0)</f>
        <v>86</v>
      </c>
      <c r="W75" s="53">
        <f>IFERROR(INDEX(January!$AO:$AO,MATCH($A75,January!$A:$A,0)),0)+IFERROR(INDEX(February!$AL:$AL,MATCH($A75,February!$A:$A,0)),0)+IFERROR(INDEX(March!$AO:$AO,MATCH($A75,March!$A:$A,0)),0)+IFERROR(INDEX(April!$AN:$AN,MATCH($A75,April!$A:$A,0)),0)+IFERROR(INDEX(May!$AO:$AO,MATCH($A75,May!$A:$A,0)),0)+IFERROR(INDEX(June!$AN:$AN,MATCH($A75,June!$A:$A,0)),0)+IFERROR(INDEX(July!$AO:$AO,MATCH($A75,July!$A:$A,0)),0)+IFERROR(INDEX(August!$AO:$AO,MATCH($A75,August!$A:$A,0)),0)+IFERROR(INDEX(September!$AN:$AN,MATCH($A75,September!$A:$A,0)),0)+IFERROR(INDEX(October!$AO:$AO,MATCH($A75,October!$A:$A,0)),0)+IFERROR(INDEX(November!$AN:$AN,MATCH($A75,November!$A:$A,0)),0)+IFERROR(INDEX(December!$AO:$AO,MATCH($A75,December!$A:$A,0)),0)</f>
        <v>5</v>
      </c>
      <c r="X75" s="53">
        <f t="shared" si="11"/>
        <v>2.5</v>
      </c>
      <c r="Y75" s="53">
        <f>(IFERROR(INDEX(January!$AL:$AL,MATCH($A75,January!$A:$A,0)),0)+IFERROR(INDEX(February!$AI:$AI,MATCH($A75,February!$A:$A,0)),0)+IFERROR(INDEX(March!$AL:$AL,MATCH($A75,March!$A:$A,0)),0)+IFERROR(INDEX(April!$AK:$AK,MATCH($A75,April!$A:$A,0)),0)+IFERROR(INDEX(May!$AL:$AL,MATCH($A75,May!$A:$A,0)),0)+IFERROR(INDEX(June!$AK:$AK,MATCH($A75,June!$A:$A,0)),0)+IFERROR(INDEX(July!$AL:$AL,MATCH($A75,July!$A:$A,0)),0)+IFERROR(INDEX(August!$AL:$AL,MATCH($A75,August!$A:$A,0)),0)+IFERROR(INDEX(September!$AK:$AK,MATCH($A75,September!$A:$A,0)),0)+IFERROR(INDEX(October!$AL:$AL,MATCH($A75,October!$A:$A,0)),0)+IFERROR(INDEX(November!$AK:$AK,MATCH($A75,November!$A:$A,0)),0)+IFERROR(INDEX(December!$AL:$AL,MATCH($A75,December!$A:$A,0)),0))*0.5</f>
        <v>16</v>
      </c>
      <c r="Z75" s="54">
        <f>IFERROR(INDEX(January!$AK:$AK,MATCH($A75,January!$A:$A,0)),0)+IFERROR(INDEX(February!$AH:$AH,MATCH($A75,February!$A:$A,0)),0)+IFERROR(INDEX(March!$AK:$AK,MATCH($A75,March!$A:$A,0)),0)+IFERROR(INDEX(April!$AJ:$AJ,MATCH($A75,April!$A:$A,0)),0)+IFERROR(INDEX(May!$AK:$AK,MATCH($A75,May!$A:$A,0)),0)+IFERROR(INDEX(June!$AJ:$AJ,MATCH($A75,June!$A:$A,0)),0)+IFERROR(INDEX(July!$AK:$AK,MATCH($A75,July!$A:$A,0)),0)+IFERROR(INDEX(August!$AK:$AK,MATCH($A75,August!$A:$A,0)),0)+IFERROR(INDEX(September!$AJ:$AJ,MATCH($A75,September!$A:$A,0)),0)+IFERROR(INDEX(October!$AK:$AK,MATCH($A75,October!$A:$A,0)),0)+IFERROR(INDEX(November!$AJ:$AJ,MATCH($A75,November!$A:$A,0)),0)+IFERROR(INDEX(December!$AK:$AK,MATCH($A75,December!$A:$A,0)),0)</f>
        <v>31</v>
      </c>
      <c r="AA75" s="51">
        <f t="shared" si="12"/>
        <v>47</v>
      </c>
      <c r="AB75" s="55">
        <v>17</v>
      </c>
      <c r="AC75" s="56">
        <f t="shared" si="13"/>
        <v>64</v>
      </c>
      <c r="AD75" s="57"/>
      <c r="AE75" s="58">
        <f t="shared" si="14"/>
        <v>64</v>
      </c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</row>
    <row r="77" spans="1:49" ht="25" customHeight="1" x14ac:dyDescent="0.35">
      <c r="A77" s="64" t="s">
        <v>177</v>
      </c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</row>
    <row r="78" spans="1:49" ht="22" customHeight="1" x14ac:dyDescent="0.35">
      <c r="A78" s="8" t="s">
        <v>178</v>
      </c>
      <c r="B78" s="8" t="s">
        <v>179</v>
      </c>
      <c r="C78" s="8" t="s">
        <v>180</v>
      </c>
      <c r="D78" s="10">
        <v>24</v>
      </c>
      <c r="E78" s="10">
        <v>23</v>
      </c>
      <c r="F78" s="10">
        <v>26</v>
      </c>
      <c r="G78" s="11">
        <v>4</v>
      </c>
      <c r="H78" s="11">
        <v>5</v>
      </c>
      <c r="I78" s="10">
        <v>26</v>
      </c>
      <c r="J78" s="10">
        <v>26</v>
      </c>
      <c r="K78" s="10">
        <v>27</v>
      </c>
      <c r="L78" s="10">
        <v>26</v>
      </c>
      <c r="M78" s="11">
        <v>15</v>
      </c>
      <c r="N78" s="11">
        <v>14</v>
      </c>
      <c r="O78" s="10">
        <v>24</v>
      </c>
      <c r="P78" s="8">
        <f>IFERROR(INDEX(January!$AI:$AI,MATCH($A78,January!$A:$A,0)),0)+IFERROR(INDEX(February!$AF:$AF,MATCH($A78,February!$A:$A,0)),0)+IFERROR(INDEX(March!$AI:$AI,MATCH($A78,March!$A:$A,0)),0)+IFERROR(INDEX(April!$AH:$AH,MATCH($A78,April!$A:$A,0)),0)+IFERROR(INDEX(May!$AI:$AI,MATCH($A78,May!$A:$A,0)),0)+IFERROR(INDEX(June!$AH:$AH,MATCH($A78,June!$A:$A,0)),0)+IFERROR(INDEX(July!$AI:$AI,MATCH($A78,July!$A:$A,0)),0)+IFERROR(INDEX(August!$AI:$AI,MATCH($A78,August!$A:$A,0)),0)+IFERROR(INDEX(September!$AH:$AH,MATCH($A78,September!$A:$A,0)),0)+IFERROR(INDEX(October!$AI:$AI,MATCH($A78,October!$A:$A,0)),0)+IFERROR(INDEX(November!$AH:$AH,MATCH($A78,November!$A:$A,0)),0)+IFERROR(INDEX(December!$AI:$AI,MATCH($A78,December!$A:$A,0)),0)</f>
        <v>183</v>
      </c>
      <c r="Q78" s="8">
        <f>IFERROR(INDEX(January!$AJ:$AJ,MATCH($A78,January!$A:$A,0)),0)+IFERROR(INDEX(February!$AG:$AG,MATCH($A78,February!$A:$A,0)),0)+IFERROR(INDEX(March!$AJ:$AJ,MATCH($A78,March!$A:$A,0)),0)+IFERROR(INDEX(April!$AI:$AI,MATCH($A78,April!$A:$A,0)),0)+IFERROR(INDEX(May!$AJ:$AJ,MATCH($A78,May!$A:$A,0)),0)+IFERROR(INDEX(June!$AI:$AI,MATCH($A78,June!$A:$A,0)),0)+IFERROR(INDEX(July!$AJ:$AJ,MATCH($A78,July!$A:$A,0)),0)+IFERROR(INDEX(August!$AJ:$AJ,MATCH($A78,August!$A:$A,0)),0)+IFERROR(INDEX(September!$AI:$AI,MATCH($A78,September!$A:$A,0)),0)+IFERROR(INDEX(October!$AJ:$AJ,MATCH($A78,October!$A:$A,0)),0)+IFERROR(INDEX(November!$AI:$AI,MATCH($A78,November!$A:$A,0)),0)+IFERROR(INDEX(December!$AJ:$AJ,MATCH($A78,December!$A:$A,0)),0)</f>
        <v>78</v>
      </c>
      <c r="R78" s="8">
        <f>IFERROR(INDEX(January!$AK:$AK,MATCH($A78,January!$A:$A,0)),0)+IFERROR(INDEX(February!$AH:$AH,MATCH($A78,February!$A:$A,0)),0)+IFERROR(INDEX(March!$AK:$AK,MATCH($A78,March!$A:$A,0)),0)+IFERROR(INDEX(April!$AJ:$AJ,MATCH($A78,April!$A:$A,0)),0)+IFERROR(INDEX(May!$AK:$AK,MATCH($A78,May!$A:$A,0)),0)+IFERROR(INDEX(June!$AJ:$AJ,MATCH($A78,June!$A:$A,0)),0)+IFERROR(INDEX(July!$AK:$AK,MATCH($A78,July!$A:$A,0)),0)+IFERROR(INDEX(August!$AK:$AK,MATCH($A78,August!$A:$A,0)),0)+IFERROR(INDEX(September!$AJ:$AJ,MATCH($A78,September!$A:$A,0)),0)+IFERROR(INDEX(October!$AK:$AK,MATCH($A78,October!$A:$A,0)),0)+IFERROR(INDEX(November!$AJ:$AJ,MATCH($A78,November!$A:$A,0)),0)+IFERROR(INDEX(December!$AK:$AK,MATCH($A78,December!$A:$A,0)),0)</f>
        <v>28</v>
      </c>
      <c r="S78" s="35">
        <f t="shared" ref="S78:S83" si="15">IF((P78+Q78)=0,"",P78/(P78+Q78))</f>
        <v>0.70114942528735635</v>
      </c>
      <c r="T78" s="38"/>
      <c r="U78" s="51">
        <f>IFERROR(INDEX(January!$AQ:$AQ,MATCH($A78,January!$A:$A,0)),0)+IFERROR(INDEX(February!$AN:$AN,MATCH($A78,February!$A:$A,0)),0)+IFERROR(INDEX(March!$AQ:$AQ,MATCH($A78,March!$A:$A,0)),0)+IFERROR(INDEX(April!$AP:$AP,MATCH($A78,April!$A:$A,0)),0)+IFERROR(INDEX(May!$AQ:$AQ,MATCH($A78,May!$A:$A,0)),0)+IFERROR(INDEX(June!$AP:$AP,MATCH($A78,June!$A:$A,0)),0)+IFERROR(INDEX(July!$AQ:$AQ,MATCH($A78,July!$A:$A,0)),0)+IFERROR(INDEX(August!$AQ:$AQ,MATCH($A78,August!$A:$A,0)),0)+IFERROR(INDEX(September!$AP:$AP,MATCH($A78,September!$A:$A,0)),0)+IFERROR(INDEX(October!$AQ:$AQ,MATCH($A78,October!$A:$A,0)),0)+IFERROR(INDEX(November!$AP:$AP,MATCH($A78,November!$A:$A,0)),0)+IFERROR(INDEX(December!$AQ:$AQ,MATCH($A78,December!$A:$A,0)),0)</f>
        <v>220</v>
      </c>
      <c r="V78" s="52">
        <f>IFERROR(INDEX(January!$AJ:$AJ,MATCH($A78,January!$A:$A,0)),0)+IFERROR(INDEX(February!$AG:$AG,MATCH($A78,February!$A:$A,0)),0)+IFERROR(INDEX(March!$AJ:$AJ,MATCH($A78,March!$A:$A,0)),0)+IFERROR(INDEX(April!$AI:$AI,MATCH($A78,April!$A:$A,0)),0)+IFERROR(INDEX(May!$AJ:$AJ,MATCH($A78,May!$A:$A,0)),0)+IFERROR(INDEX(June!$AI:$AI,MATCH($A78,June!$A:$A,0)),0)+IFERROR(INDEX(July!$AJ:$AJ,MATCH($A78,July!$A:$A,0)),0)+IFERROR(INDEX(August!$AJ:$AJ,MATCH($A78,August!$A:$A,0)),0)+IFERROR(INDEX(September!$AI:$AI,MATCH($A78,September!$A:$A,0)),0)+IFERROR(INDEX(October!$AJ:$AJ,MATCH($A78,October!$A:$A,0)),0)+IFERROR(INDEX(November!$AI:$AI,MATCH($A78,November!$A:$A,0)),0)+IFERROR(INDEX(December!$AJ:$AJ,MATCH($A78,December!$A:$A,0)),0)</f>
        <v>78</v>
      </c>
      <c r="W78" s="53">
        <f>IFERROR(INDEX(January!$AO:$AO,MATCH($A78,January!$A:$A,0)),0)+IFERROR(INDEX(February!$AL:$AL,MATCH($A78,February!$A:$A,0)),0)+IFERROR(INDEX(March!$AO:$AO,MATCH($A78,March!$A:$A,0)),0)+IFERROR(INDEX(April!$AN:$AN,MATCH($A78,April!$A:$A,0)),0)+IFERROR(INDEX(May!$AO:$AO,MATCH($A78,May!$A:$A,0)),0)+IFERROR(INDEX(June!$AN:$AN,MATCH($A78,June!$A:$A,0)),0)+IFERROR(INDEX(July!$AO:$AO,MATCH($A78,July!$A:$A,0)),0)+IFERROR(INDEX(August!$AO:$AO,MATCH($A78,August!$A:$A,0)),0)+IFERROR(INDEX(September!$AN:$AN,MATCH($A78,September!$A:$A,0)),0)+IFERROR(INDEX(October!$AO:$AO,MATCH($A78,October!$A:$A,0)),0)+IFERROR(INDEX(November!$AN:$AN,MATCH($A78,November!$A:$A,0)),0)+IFERROR(INDEX(December!$AO:$AO,MATCH($A78,December!$A:$A,0)),0)</f>
        <v>11</v>
      </c>
      <c r="X78" s="53">
        <f t="shared" ref="X78:X83" si="16">W78/2</f>
        <v>5.5</v>
      </c>
      <c r="Y78" s="53">
        <f>(IFERROR(INDEX(January!$AL:$AL,MATCH($A78,January!$A:$A,0)),0)+IFERROR(INDEX(February!$AI:$AI,MATCH($A78,February!$A:$A,0)),0)+IFERROR(INDEX(March!$AL:$AL,MATCH($A78,March!$A:$A,0)),0)+IFERROR(INDEX(April!$AK:$AK,MATCH($A78,April!$A:$A,0)),0)+IFERROR(INDEX(May!$AL:$AL,MATCH($A78,May!$A:$A,0)),0)+IFERROR(INDEX(June!$AK:$AK,MATCH($A78,June!$A:$A,0)),0)+IFERROR(INDEX(July!$AL:$AL,MATCH($A78,July!$A:$A,0)),0)+IFERROR(INDEX(August!$AL:$AL,MATCH($A78,August!$A:$A,0)),0)+IFERROR(INDEX(September!$AK:$AK,MATCH($A78,September!$A:$A,0)),0)+IFERROR(INDEX(October!$AL:$AL,MATCH($A78,October!$A:$A,0)),0)+IFERROR(INDEX(November!$AK:$AK,MATCH($A78,November!$A:$A,0)),0)+IFERROR(INDEX(December!$AL:$AL,MATCH($A78,December!$A:$A,0)),0))*0.5</f>
        <v>14.5</v>
      </c>
      <c r="Z78" s="54">
        <f>IFERROR(INDEX(January!$AK:$AK,MATCH($A78,January!$A:$A,0)),0)+IFERROR(INDEX(February!$AH:$AH,MATCH($A78,February!$A:$A,0)),0)+IFERROR(INDEX(March!$AK:$AK,MATCH($A78,March!$A:$A,0)),0)+IFERROR(INDEX(April!$AJ:$AJ,MATCH($A78,April!$A:$A,0)),0)+IFERROR(INDEX(May!$AK:$AK,MATCH($A78,May!$A:$A,0)),0)+IFERROR(INDEX(June!$AJ:$AJ,MATCH($A78,June!$A:$A,0)),0)+IFERROR(INDEX(July!$AK:$AK,MATCH($A78,July!$A:$A,0)),0)+IFERROR(INDEX(August!$AK:$AK,MATCH($A78,August!$A:$A,0)),0)+IFERROR(INDEX(September!$AJ:$AJ,MATCH($A78,September!$A:$A,0)),0)+IFERROR(INDEX(October!$AK:$AK,MATCH($A78,October!$A:$A,0)),0)+IFERROR(INDEX(November!$AJ:$AJ,MATCH($A78,November!$A:$A,0)),0)+IFERROR(INDEX(December!$AK:$AK,MATCH($A78,December!$A:$A,0)),0)</f>
        <v>28</v>
      </c>
      <c r="AA78" s="51">
        <f t="shared" ref="AA78:AA83" si="17">Y78+Z78</f>
        <v>42.5</v>
      </c>
      <c r="AB78" s="55"/>
      <c r="AC78" s="56">
        <f t="shared" ref="AC78:AC83" si="18">AA78+IF(AB78="",0,AB78)</f>
        <v>42.5</v>
      </c>
      <c r="AD78" s="57"/>
      <c r="AE78" s="58">
        <f t="shared" ref="AE78:AE83" si="19">AC78-IF(AD78="",0,AD78)</f>
        <v>42.5</v>
      </c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</row>
    <row r="79" spans="1:49" ht="22" customHeight="1" x14ac:dyDescent="0.35">
      <c r="A79" s="8" t="s">
        <v>181</v>
      </c>
      <c r="B79" s="8" t="s">
        <v>182</v>
      </c>
      <c r="C79" s="8" t="s">
        <v>180</v>
      </c>
      <c r="D79" s="10">
        <v>23</v>
      </c>
      <c r="E79" s="10">
        <v>23</v>
      </c>
      <c r="F79" s="10">
        <v>26</v>
      </c>
      <c r="G79" s="10">
        <v>25</v>
      </c>
      <c r="H79" s="10">
        <v>26</v>
      </c>
      <c r="I79" s="10">
        <v>24</v>
      </c>
      <c r="J79" s="10">
        <v>27</v>
      </c>
      <c r="K79" s="10">
        <v>25</v>
      </c>
      <c r="L79" s="10">
        <v>26</v>
      </c>
      <c r="M79" s="10">
        <v>27</v>
      </c>
      <c r="N79" s="11">
        <v>18</v>
      </c>
      <c r="O79" s="11">
        <v>3</v>
      </c>
      <c r="P79" s="8">
        <f>IFERROR(INDEX(January!$AI:$AI,MATCH($A79,January!$A:$A,0)),0)+IFERROR(INDEX(February!$AF:$AF,MATCH($A79,February!$A:$A,0)),0)+IFERROR(INDEX(March!$AI:$AI,MATCH($A79,March!$A:$A,0)),0)+IFERROR(INDEX(April!$AH:$AH,MATCH($A79,April!$A:$A,0)),0)+IFERROR(INDEX(May!$AI:$AI,MATCH($A79,May!$A:$A,0)),0)+IFERROR(INDEX(June!$AH:$AH,MATCH($A79,June!$A:$A,0)),0)+IFERROR(INDEX(July!$AI:$AI,MATCH($A79,July!$A:$A,0)),0)+IFERROR(INDEX(August!$AI:$AI,MATCH($A79,August!$A:$A,0)),0)+IFERROR(INDEX(September!$AH:$AH,MATCH($A79,September!$A:$A,0)),0)+IFERROR(INDEX(October!$AI:$AI,MATCH($A79,October!$A:$A,0)),0)+IFERROR(INDEX(November!$AH:$AH,MATCH($A79,November!$A:$A,0)),0)+IFERROR(INDEX(December!$AI:$AI,MATCH($A79,December!$A:$A,0)),0)</f>
        <v>205</v>
      </c>
      <c r="Q79" s="8">
        <f>IFERROR(INDEX(January!$AJ:$AJ,MATCH($A79,January!$A:$A,0)),0)+IFERROR(INDEX(February!$AG:$AG,MATCH($A79,February!$A:$A,0)),0)+IFERROR(INDEX(March!$AJ:$AJ,MATCH($A79,March!$A:$A,0)),0)+IFERROR(INDEX(April!$AI:$AI,MATCH($A79,April!$A:$A,0)),0)+IFERROR(INDEX(May!$AJ:$AJ,MATCH($A79,May!$A:$A,0)),0)+IFERROR(INDEX(June!$AI:$AI,MATCH($A79,June!$A:$A,0)),0)+IFERROR(INDEX(July!$AJ:$AJ,MATCH($A79,July!$A:$A,0)),0)+IFERROR(INDEX(August!$AJ:$AJ,MATCH($A79,August!$A:$A,0)),0)+IFERROR(INDEX(September!$AI:$AI,MATCH($A79,September!$A:$A,0)),0)+IFERROR(INDEX(October!$AJ:$AJ,MATCH($A79,October!$A:$A,0)),0)+IFERROR(INDEX(November!$AI:$AI,MATCH($A79,November!$A:$A,0)),0)+IFERROR(INDEX(December!$AJ:$AJ,MATCH($A79,December!$A:$A,0)),0)</f>
        <v>56</v>
      </c>
      <c r="R79" s="8">
        <f>IFERROR(INDEX(January!$AK:$AK,MATCH($A79,January!$A:$A,0)),0)+IFERROR(INDEX(February!$AH:$AH,MATCH($A79,February!$A:$A,0)),0)+IFERROR(INDEX(March!$AK:$AK,MATCH($A79,March!$A:$A,0)),0)+IFERROR(INDEX(April!$AJ:$AJ,MATCH($A79,April!$A:$A,0)),0)+IFERROR(INDEX(May!$AK:$AK,MATCH($A79,May!$A:$A,0)),0)+IFERROR(INDEX(June!$AJ:$AJ,MATCH($A79,June!$A:$A,0)),0)+IFERROR(INDEX(July!$AK:$AK,MATCH($A79,July!$A:$A,0)),0)+IFERROR(INDEX(August!$AK:$AK,MATCH($A79,August!$A:$A,0)),0)+IFERROR(INDEX(September!$AJ:$AJ,MATCH($A79,September!$A:$A,0)),0)+IFERROR(INDEX(October!$AK:$AK,MATCH($A79,October!$A:$A,0)),0)+IFERROR(INDEX(November!$AJ:$AJ,MATCH($A79,November!$A:$A,0)),0)+IFERROR(INDEX(December!$AK:$AK,MATCH($A79,December!$A:$A,0)),0)</f>
        <v>34</v>
      </c>
      <c r="S79" s="35">
        <f t="shared" si="15"/>
        <v>0.78544061302681989</v>
      </c>
      <c r="T79" s="38"/>
      <c r="U79" s="51">
        <f>IFERROR(INDEX(January!$AQ:$AQ,MATCH($A79,January!$A:$A,0)),0)+IFERROR(INDEX(February!$AN:$AN,MATCH($A79,February!$A:$A,0)),0)+IFERROR(INDEX(March!$AQ:$AQ,MATCH($A79,March!$A:$A,0)),0)+IFERROR(INDEX(April!$AP:$AP,MATCH($A79,April!$A:$A,0)),0)+IFERROR(INDEX(May!$AQ:$AQ,MATCH($A79,May!$A:$A,0)),0)+IFERROR(INDEX(June!$AP:$AP,MATCH($A79,June!$A:$A,0)),0)+IFERROR(INDEX(July!$AQ:$AQ,MATCH($A79,July!$A:$A,0)),0)+IFERROR(INDEX(August!$AQ:$AQ,MATCH($A79,August!$A:$A,0)),0)+IFERROR(INDEX(September!$AP:$AP,MATCH($A79,September!$A:$A,0)),0)+IFERROR(INDEX(October!$AQ:$AQ,MATCH($A79,October!$A:$A,0)),0)+IFERROR(INDEX(November!$AP:$AP,MATCH($A79,November!$A:$A,0)),0)+IFERROR(INDEX(December!$AQ:$AQ,MATCH($A79,December!$A:$A,0)),0)</f>
        <v>251</v>
      </c>
      <c r="V79" s="52">
        <f>IFERROR(INDEX(January!$AJ:$AJ,MATCH($A79,January!$A:$A,0)),0)+IFERROR(INDEX(February!$AG:$AG,MATCH($A79,February!$A:$A,0)),0)+IFERROR(INDEX(March!$AJ:$AJ,MATCH($A79,March!$A:$A,0)),0)+IFERROR(INDEX(April!$AI:$AI,MATCH($A79,April!$A:$A,0)),0)+IFERROR(INDEX(May!$AJ:$AJ,MATCH($A79,May!$A:$A,0)),0)+IFERROR(INDEX(June!$AI:$AI,MATCH($A79,June!$A:$A,0)),0)+IFERROR(INDEX(July!$AJ:$AJ,MATCH($A79,July!$A:$A,0)),0)+IFERROR(INDEX(August!$AJ:$AJ,MATCH($A79,August!$A:$A,0)),0)+IFERROR(INDEX(September!$AI:$AI,MATCH($A79,September!$A:$A,0)),0)+IFERROR(INDEX(October!$AJ:$AJ,MATCH($A79,October!$A:$A,0)),0)+IFERROR(INDEX(November!$AI:$AI,MATCH($A79,November!$A:$A,0)),0)+IFERROR(INDEX(December!$AJ:$AJ,MATCH($A79,December!$A:$A,0)),0)</f>
        <v>56</v>
      </c>
      <c r="W79" s="53">
        <f>IFERROR(INDEX(January!$AO:$AO,MATCH($A79,January!$A:$A,0)),0)+IFERROR(INDEX(February!$AL:$AL,MATCH($A79,February!$A:$A,0)),0)+IFERROR(INDEX(March!$AO:$AO,MATCH($A79,March!$A:$A,0)),0)+IFERROR(INDEX(April!$AN:$AN,MATCH($A79,April!$A:$A,0)),0)+IFERROR(INDEX(May!$AO:$AO,MATCH($A79,May!$A:$A,0)),0)+IFERROR(INDEX(June!$AN:$AN,MATCH($A79,June!$A:$A,0)),0)+IFERROR(INDEX(July!$AO:$AO,MATCH($A79,July!$A:$A,0)),0)+IFERROR(INDEX(August!$AO:$AO,MATCH($A79,August!$A:$A,0)),0)+IFERROR(INDEX(September!$AN:$AN,MATCH($A79,September!$A:$A,0)),0)+IFERROR(INDEX(October!$AO:$AO,MATCH($A79,October!$A:$A,0)),0)+IFERROR(INDEX(November!$AN:$AN,MATCH($A79,November!$A:$A,0)),0)+IFERROR(INDEX(December!$AO:$AO,MATCH($A79,December!$A:$A,0)),0)</f>
        <v>10</v>
      </c>
      <c r="X79" s="53">
        <f t="shared" si="16"/>
        <v>5</v>
      </c>
      <c r="Y79" s="53">
        <f>(IFERROR(INDEX(January!$AL:$AL,MATCH($A79,January!$A:$A,0)),0)+IFERROR(INDEX(February!$AI:$AI,MATCH($A79,February!$A:$A,0)),0)+IFERROR(INDEX(March!$AL:$AL,MATCH($A79,March!$A:$A,0)),0)+IFERROR(INDEX(April!$AK:$AK,MATCH($A79,April!$A:$A,0)),0)+IFERROR(INDEX(May!$AL:$AL,MATCH($A79,May!$A:$A,0)),0)+IFERROR(INDEX(June!$AK:$AK,MATCH($A79,June!$A:$A,0)),0)+IFERROR(INDEX(July!$AL:$AL,MATCH($A79,July!$A:$A,0)),0)+IFERROR(INDEX(August!$AL:$AL,MATCH($A79,August!$A:$A,0)),0)+IFERROR(INDEX(September!$AK:$AK,MATCH($A79,September!$A:$A,0)),0)+IFERROR(INDEX(October!$AL:$AL,MATCH($A79,October!$A:$A,0)),0)+IFERROR(INDEX(November!$AK:$AK,MATCH($A79,November!$A:$A,0)),0)+IFERROR(INDEX(December!$AL:$AL,MATCH($A79,December!$A:$A,0)),0))*0.5</f>
        <v>17</v>
      </c>
      <c r="Z79" s="54">
        <f>IFERROR(INDEX(January!$AK:$AK,MATCH($A79,January!$A:$A,0)),0)+IFERROR(INDEX(February!$AH:$AH,MATCH($A79,February!$A:$A,0)),0)+IFERROR(INDEX(March!$AK:$AK,MATCH($A79,March!$A:$A,0)),0)+IFERROR(INDEX(April!$AJ:$AJ,MATCH($A79,April!$A:$A,0)),0)+IFERROR(INDEX(May!$AK:$AK,MATCH($A79,May!$A:$A,0)),0)+IFERROR(INDEX(June!$AJ:$AJ,MATCH($A79,June!$A:$A,0)),0)+IFERROR(INDEX(July!$AK:$AK,MATCH($A79,July!$A:$A,0)),0)+IFERROR(INDEX(August!$AK:$AK,MATCH($A79,August!$A:$A,0)),0)+IFERROR(INDEX(September!$AJ:$AJ,MATCH($A79,September!$A:$A,0)),0)+IFERROR(INDEX(October!$AK:$AK,MATCH($A79,October!$A:$A,0)),0)+IFERROR(INDEX(November!$AJ:$AJ,MATCH($A79,November!$A:$A,0)),0)+IFERROR(INDEX(December!$AK:$AK,MATCH($A79,December!$A:$A,0)),0)</f>
        <v>34</v>
      </c>
      <c r="AA79" s="51">
        <f t="shared" si="17"/>
        <v>51</v>
      </c>
      <c r="AB79" s="55"/>
      <c r="AC79" s="56">
        <f t="shared" si="18"/>
        <v>51</v>
      </c>
      <c r="AD79" s="57"/>
      <c r="AE79" s="58">
        <f t="shared" si="19"/>
        <v>51</v>
      </c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</row>
    <row r="80" spans="1:49" ht="22" customHeight="1" x14ac:dyDescent="0.35">
      <c r="A80" s="8" t="s">
        <v>183</v>
      </c>
      <c r="B80" s="8" t="s">
        <v>184</v>
      </c>
      <c r="C80" s="8" t="s">
        <v>180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11">
        <v>13</v>
      </c>
      <c r="K80" s="10">
        <v>27</v>
      </c>
      <c r="L80" s="10">
        <v>27</v>
      </c>
      <c r="M80" s="10">
        <v>26</v>
      </c>
      <c r="N80" s="10">
        <v>25</v>
      </c>
      <c r="O80" s="10">
        <v>28</v>
      </c>
      <c r="P80" s="8">
        <f>IFERROR(INDEX(January!$AI:$AI,MATCH($A80,January!$A:$A,0)),0)+IFERROR(INDEX(February!$AF:$AF,MATCH($A80,February!$A:$A,0)),0)+IFERROR(INDEX(March!$AI:$AI,MATCH($A80,March!$A:$A,0)),0)+IFERROR(INDEX(April!$AH:$AH,MATCH($A80,April!$A:$A,0)),0)+IFERROR(INDEX(May!$AI:$AI,MATCH($A80,May!$A:$A,0)),0)+IFERROR(INDEX(June!$AH:$AH,MATCH($A80,June!$A:$A,0)),0)+IFERROR(INDEX(July!$AI:$AI,MATCH($A80,July!$A:$A,0)),0)+IFERROR(INDEX(August!$AI:$AI,MATCH($A80,August!$A:$A,0)),0)+IFERROR(INDEX(September!$AH:$AH,MATCH($A80,September!$A:$A,0)),0)+IFERROR(INDEX(October!$AI:$AI,MATCH($A80,October!$A:$A,0)),0)+IFERROR(INDEX(November!$AH:$AH,MATCH($A80,November!$A:$A,0)),0)+IFERROR(INDEX(December!$AI:$AI,MATCH($A80,December!$A:$A,0)),0)</f>
        <v>119</v>
      </c>
      <c r="Q80" s="8">
        <f>IFERROR(INDEX(January!$AJ:$AJ,MATCH($A80,January!$A:$A,0)),0)+IFERROR(INDEX(February!$AG:$AG,MATCH($A80,February!$A:$A,0)),0)+IFERROR(INDEX(March!$AJ:$AJ,MATCH($A80,March!$A:$A,0)),0)+IFERROR(INDEX(April!$AI:$AI,MATCH($A80,April!$A:$A,0)),0)+IFERROR(INDEX(May!$AJ:$AJ,MATCH($A80,May!$A:$A,0)),0)+IFERROR(INDEX(June!$AI:$AI,MATCH($A80,June!$A:$A,0)),0)+IFERROR(INDEX(July!$AJ:$AJ,MATCH($A80,July!$A:$A,0)),0)+IFERROR(INDEX(August!$AJ:$AJ,MATCH($A80,August!$A:$A,0)),0)+IFERROR(INDEX(September!$AI:$AI,MATCH($A80,September!$A:$A,0)),0)+IFERROR(INDEX(October!$AJ:$AJ,MATCH($A80,October!$A:$A,0)),0)+IFERROR(INDEX(November!$AI:$AI,MATCH($A80,November!$A:$A,0)),0)+IFERROR(INDEX(December!$AJ:$AJ,MATCH($A80,December!$A:$A,0)),0)</f>
        <v>142</v>
      </c>
      <c r="R80" s="8">
        <f>IFERROR(INDEX(January!$AK:$AK,MATCH($A80,January!$A:$A,0)),0)+IFERROR(INDEX(February!$AH:$AH,MATCH($A80,February!$A:$A,0)),0)+IFERROR(INDEX(March!$AK:$AK,MATCH($A80,March!$A:$A,0)),0)+IFERROR(INDEX(April!$AJ:$AJ,MATCH($A80,April!$A:$A,0)),0)+IFERROR(INDEX(May!$AK:$AK,MATCH($A80,May!$A:$A,0)),0)+IFERROR(INDEX(June!$AJ:$AJ,MATCH($A80,June!$A:$A,0)),0)+IFERROR(INDEX(July!$AK:$AK,MATCH($A80,July!$A:$A,0)),0)+IFERROR(INDEX(August!$AK:$AK,MATCH($A80,August!$A:$A,0)),0)+IFERROR(INDEX(September!$AJ:$AJ,MATCH($A80,September!$A:$A,0)),0)+IFERROR(INDEX(October!$AK:$AK,MATCH($A80,October!$A:$A,0)),0)+IFERROR(INDEX(November!$AJ:$AJ,MATCH($A80,November!$A:$A,0)),0)+IFERROR(INDEX(December!$AK:$AK,MATCH($A80,December!$A:$A,0)),0)</f>
        <v>14</v>
      </c>
      <c r="S80" s="36">
        <f t="shared" si="15"/>
        <v>0.45593869731800768</v>
      </c>
      <c r="T80" s="38"/>
      <c r="U80" s="51">
        <f>IFERROR(INDEX(January!$AQ:$AQ,MATCH($A80,January!$A:$A,0)),0)+IFERROR(INDEX(February!$AN:$AN,MATCH($A80,February!$A:$A,0)),0)+IFERROR(INDEX(March!$AQ:$AQ,MATCH($A80,March!$A:$A,0)),0)+IFERROR(INDEX(April!$AP:$AP,MATCH($A80,April!$A:$A,0)),0)+IFERROR(INDEX(May!$AQ:$AQ,MATCH($A80,May!$A:$A,0)),0)+IFERROR(INDEX(June!$AP:$AP,MATCH($A80,June!$A:$A,0)),0)+IFERROR(INDEX(July!$AQ:$AQ,MATCH($A80,July!$A:$A,0)),0)+IFERROR(INDEX(August!$AQ:$AQ,MATCH($A80,August!$A:$A,0)),0)+IFERROR(INDEX(September!$AP:$AP,MATCH($A80,September!$A:$A,0)),0)+IFERROR(INDEX(October!$AQ:$AQ,MATCH($A80,October!$A:$A,0)),0)+IFERROR(INDEX(November!$AP:$AP,MATCH($A80,November!$A:$A,0)),0)+IFERROR(INDEX(December!$AQ:$AQ,MATCH($A80,December!$A:$A,0)),0)</f>
        <v>134</v>
      </c>
      <c r="V80" s="52">
        <f>IFERROR(INDEX(January!$AJ:$AJ,MATCH($A80,January!$A:$A,0)),0)+IFERROR(INDEX(February!$AG:$AG,MATCH($A80,February!$A:$A,0)),0)+IFERROR(INDEX(March!$AJ:$AJ,MATCH($A80,March!$A:$A,0)),0)+IFERROR(INDEX(April!$AI:$AI,MATCH($A80,April!$A:$A,0)),0)+IFERROR(INDEX(May!$AJ:$AJ,MATCH($A80,May!$A:$A,0)),0)+IFERROR(INDEX(June!$AI:$AI,MATCH($A80,June!$A:$A,0)),0)+IFERROR(INDEX(July!$AJ:$AJ,MATCH($A80,July!$A:$A,0)),0)+IFERROR(INDEX(August!$AJ:$AJ,MATCH($A80,August!$A:$A,0)),0)+IFERROR(INDEX(September!$AI:$AI,MATCH($A80,September!$A:$A,0)),0)+IFERROR(INDEX(October!$AJ:$AJ,MATCH($A80,October!$A:$A,0)),0)+IFERROR(INDEX(November!$AI:$AI,MATCH($A80,November!$A:$A,0)),0)+IFERROR(INDEX(December!$AJ:$AJ,MATCH($A80,December!$A:$A,0)),0)</f>
        <v>142</v>
      </c>
      <c r="W80" s="53">
        <f>IFERROR(INDEX(January!$AO:$AO,MATCH($A80,January!$A:$A,0)),0)+IFERROR(INDEX(February!$AL:$AL,MATCH($A80,February!$A:$A,0)),0)+IFERROR(INDEX(March!$AO:$AO,MATCH($A80,March!$A:$A,0)),0)+IFERROR(INDEX(April!$AN:$AN,MATCH($A80,April!$A:$A,0)),0)+IFERROR(INDEX(May!$AO:$AO,MATCH($A80,May!$A:$A,0)),0)+IFERROR(INDEX(June!$AN:$AN,MATCH($A80,June!$A:$A,0)),0)+IFERROR(INDEX(July!$AO:$AO,MATCH($A80,July!$A:$A,0)),0)+IFERROR(INDEX(August!$AO:$AO,MATCH($A80,August!$A:$A,0)),0)+IFERROR(INDEX(September!$AN:$AN,MATCH($A80,September!$A:$A,0)),0)+IFERROR(INDEX(October!$AO:$AO,MATCH($A80,October!$A:$A,0)),0)+IFERROR(INDEX(November!$AN:$AN,MATCH($A80,November!$A:$A,0)),0)+IFERROR(INDEX(December!$AO:$AO,MATCH($A80,December!$A:$A,0)),0)</f>
        <v>11</v>
      </c>
      <c r="X80" s="53">
        <f t="shared" si="16"/>
        <v>5.5</v>
      </c>
      <c r="Y80" s="53">
        <f>(IFERROR(INDEX(January!$AL:$AL,MATCH($A80,January!$A:$A,0)),0)+IFERROR(INDEX(February!$AI:$AI,MATCH($A80,February!$A:$A,0)),0)+IFERROR(INDEX(March!$AL:$AL,MATCH($A80,March!$A:$A,0)),0)+IFERROR(INDEX(April!$AK:$AK,MATCH($A80,April!$A:$A,0)),0)+IFERROR(INDEX(May!$AL:$AL,MATCH($A80,May!$A:$A,0)),0)+IFERROR(INDEX(June!$AK:$AK,MATCH($A80,June!$A:$A,0)),0)+IFERROR(INDEX(July!$AL:$AL,MATCH($A80,July!$A:$A,0)),0)+IFERROR(INDEX(August!$AL:$AL,MATCH($A80,August!$A:$A,0)),0)+IFERROR(INDEX(September!$AK:$AK,MATCH($A80,September!$A:$A,0)),0)+IFERROR(INDEX(October!$AL:$AL,MATCH($A80,October!$A:$A,0)),0)+IFERROR(INDEX(November!$AK:$AK,MATCH($A80,November!$A:$A,0)),0)+IFERROR(INDEX(December!$AL:$AL,MATCH($A80,December!$A:$A,0)),0))*0.5</f>
        <v>6.5</v>
      </c>
      <c r="Z80" s="54">
        <f>IFERROR(INDEX(January!$AK:$AK,MATCH($A80,January!$A:$A,0)),0)+IFERROR(INDEX(February!$AH:$AH,MATCH($A80,February!$A:$A,0)),0)+IFERROR(INDEX(March!$AK:$AK,MATCH($A80,March!$A:$A,0)),0)+IFERROR(INDEX(April!$AJ:$AJ,MATCH($A80,April!$A:$A,0)),0)+IFERROR(INDEX(May!$AK:$AK,MATCH($A80,May!$A:$A,0)),0)+IFERROR(INDEX(June!$AJ:$AJ,MATCH($A80,June!$A:$A,0)),0)+IFERROR(INDEX(July!$AK:$AK,MATCH($A80,July!$A:$A,0)),0)+IFERROR(INDEX(August!$AK:$AK,MATCH($A80,August!$A:$A,0)),0)+IFERROR(INDEX(September!$AJ:$AJ,MATCH($A80,September!$A:$A,0)),0)+IFERROR(INDEX(October!$AK:$AK,MATCH($A80,October!$A:$A,0)),0)+IFERROR(INDEX(November!$AJ:$AJ,MATCH($A80,November!$A:$A,0)),0)+IFERROR(INDEX(December!$AK:$AK,MATCH($A80,December!$A:$A,0)),0)</f>
        <v>14</v>
      </c>
      <c r="AA80" s="51">
        <f t="shared" si="17"/>
        <v>20.5</v>
      </c>
      <c r="AB80" s="55"/>
      <c r="AC80" s="56">
        <f t="shared" si="18"/>
        <v>20.5</v>
      </c>
      <c r="AD80" s="57"/>
      <c r="AE80" s="58">
        <f t="shared" si="19"/>
        <v>20.5</v>
      </c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</row>
    <row r="81" spans="1:49" ht="22" customHeight="1" x14ac:dyDescent="0.35">
      <c r="A81" s="8" t="s">
        <v>185</v>
      </c>
      <c r="B81" s="8" t="s">
        <v>186</v>
      </c>
      <c r="C81" s="8" t="s">
        <v>180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11">
        <v>15</v>
      </c>
      <c r="K81" s="10">
        <v>24</v>
      </c>
      <c r="L81" s="10">
        <v>26</v>
      </c>
      <c r="M81" s="10">
        <v>27</v>
      </c>
      <c r="N81" s="10">
        <v>24</v>
      </c>
      <c r="O81" s="10">
        <v>27</v>
      </c>
      <c r="P81" s="8">
        <f>IFERROR(INDEX(January!$AI:$AI,MATCH($A81,January!$A:$A,0)),0)+IFERROR(INDEX(February!$AF:$AF,MATCH($A81,February!$A:$A,0)),0)+IFERROR(INDEX(March!$AI:$AI,MATCH($A81,March!$A:$A,0)),0)+IFERROR(INDEX(April!$AH:$AH,MATCH($A81,April!$A:$A,0)),0)+IFERROR(INDEX(May!$AI:$AI,MATCH($A81,May!$A:$A,0)),0)+IFERROR(INDEX(June!$AH:$AH,MATCH($A81,June!$A:$A,0)),0)+IFERROR(INDEX(July!$AI:$AI,MATCH($A81,July!$A:$A,0)),0)+IFERROR(INDEX(August!$AI:$AI,MATCH($A81,August!$A:$A,0)),0)+IFERROR(INDEX(September!$AH:$AH,MATCH($A81,September!$A:$A,0)),0)+IFERROR(INDEX(October!$AI:$AI,MATCH($A81,October!$A:$A,0)),0)+IFERROR(INDEX(November!$AH:$AH,MATCH($A81,November!$A:$A,0)),0)+IFERROR(INDEX(December!$AI:$AI,MATCH($A81,December!$A:$A,0)),0)</f>
        <v>116</v>
      </c>
      <c r="Q81" s="8">
        <f>IFERROR(INDEX(January!$AJ:$AJ,MATCH($A81,January!$A:$A,0)),0)+IFERROR(INDEX(February!$AG:$AG,MATCH($A81,February!$A:$A,0)),0)+IFERROR(INDEX(March!$AJ:$AJ,MATCH($A81,March!$A:$A,0)),0)+IFERROR(INDEX(April!$AI:$AI,MATCH($A81,April!$A:$A,0)),0)+IFERROR(INDEX(May!$AJ:$AJ,MATCH($A81,May!$A:$A,0)),0)+IFERROR(INDEX(June!$AI:$AI,MATCH($A81,June!$A:$A,0)),0)+IFERROR(INDEX(July!$AJ:$AJ,MATCH($A81,July!$A:$A,0)),0)+IFERROR(INDEX(August!$AJ:$AJ,MATCH($A81,August!$A:$A,0)),0)+IFERROR(INDEX(September!$AI:$AI,MATCH($A81,September!$A:$A,0)),0)+IFERROR(INDEX(October!$AJ:$AJ,MATCH($A81,October!$A:$A,0)),0)+IFERROR(INDEX(November!$AI:$AI,MATCH($A81,November!$A:$A,0)),0)+IFERROR(INDEX(December!$AJ:$AJ,MATCH($A81,December!$A:$A,0)),0)</f>
        <v>145</v>
      </c>
      <c r="R81" s="8">
        <f>IFERROR(INDEX(January!$AK:$AK,MATCH($A81,January!$A:$A,0)),0)+IFERROR(INDEX(February!$AH:$AH,MATCH($A81,February!$A:$A,0)),0)+IFERROR(INDEX(March!$AK:$AK,MATCH($A81,March!$A:$A,0)),0)+IFERROR(INDEX(April!$AJ:$AJ,MATCH($A81,April!$A:$A,0)),0)+IFERROR(INDEX(May!$AK:$AK,MATCH($A81,May!$A:$A,0)),0)+IFERROR(INDEX(June!$AJ:$AJ,MATCH($A81,June!$A:$A,0)),0)+IFERROR(INDEX(July!$AK:$AK,MATCH($A81,July!$A:$A,0)),0)+IFERROR(INDEX(August!$AK:$AK,MATCH($A81,August!$A:$A,0)),0)+IFERROR(INDEX(September!$AJ:$AJ,MATCH($A81,September!$A:$A,0)),0)+IFERROR(INDEX(October!$AK:$AK,MATCH($A81,October!$A:$A,0)),0)+IFERROR(INDEX(November!$AJ:$AJ,MATCH($A81,November!$A:$A,0)),0)+IFERROR(INDEX(December!$AK:$AK,MATCH($A81,December!$A:$A,0)),0)</f>
        <v>13</v>
      </c>
      <c r="S81" s="37">
        <f t="shared" si="15"/>
        <v>0.44444444444444442</v>
      </c>
      <c r="T81" s="38"/>
      <c r="U81" s="51">
        <f>IFERROR(INDEX(January!$AQ:$AQ,MATCH($A81,January!$A:$A,0)),0)+IFERROR(INDEX(February!$AN:$AN,MATCH($A81,February!$A:$A,0)),0)+IFERROR(INDEX(March!$AQ:$AQ,MATCH($A81,March!$A:$A,0)),0)+IFERROR(INDEX(April!$AP:$AP,MATCH($A81,April!$A:$A,0)),0)+IFERROR(INDEX(May!$AQ:$AQ,MATCH($A81,May!$A:$A,0)),0)+IFERROR(INDEX(June!$AP:$AP,MATCH($A81,June!$A:$A,0)),0)+IFERROR(INDEX(July!$AQ:$AQ,MATCH($A81,July!$A:$A,0)),0)+IFERROR(INDEX(August!$AQ:$AQ,MATCH($A81,August!$A:$A,0)),0)+IFERROR(INDEX(September!$AP:$AP,MATCH($A81,September!$A:$A,0)),0)+IFERROR(INDEX(October!$AQ:$AQ,MATCH($A81,October!$A:$A,0)),0)+IFERROR(INDEX(November!$AP:$AP,MATCH($A81,November!$A:$A,0)),0)+IFERROR(INDEX(December!$AQ:$AQ,MATCH($A81,December!$A:$A,0)),0)</f>
        <v>132.5</v>
      </c>
      <c r="V81" s="52">
        <f>IFERROR(INDEX(January!$AJ:$AJ,MATCH($A81,January!$A:$A,0)),0)+IFERROR(INDEX(February!$AG:$AG,MATCH($A81,February!$A:$A,0)),0)+IFERROR(INDEX(March!$AJ:$AJ,MATCH($A81,March!$A:$A,0)),0)+IFERROR(INDEX(April!$AI:$AI,MATCH($A81,April!$A:$A,0)),0)+IFERROR(INDEX(May!$AJ:$AJ,MATCH($A81,May!$A:$A,0)),0)+IFERROR(INDEX(June!$AI:$AI,MATCH($A81,June!$A:$A,0)),0)+IFERROR(INDEX(July!$AJ:$AJ,MATCH($A81,July!$A:$A,0)),0)+IFERROR(INDEX(August!$AJ:$AJ,MATCH($A81,August!$A:$A,0)),0)+IFERROR(INDEX(September!$AI:$AI,MATCH($A81,September!$A:$A,0)),0)+IFERROR(INDEX(October!$AJ:$AJ,MATCH($A81,October!$A:$A,0)),0)+IFERROR(INDEX(November!$AI:$AI,MATCH($A81,November!$A:$A,0)),0)+IFERROR(INDEX(December!$AJ:$AJ,MATCH($A81,December!$A:$A,0)),0)</f>
        <v>145</v>
      </c>
      <c r="W81" s="53">
        <f>IFERROR(INDEX(January!$AO:$AO,MATCH($A81,January!$A:$A,0)),0)+IFERROR(INDEX(February!$AL:$AL,MATCH($A81,February!$A:$A,0)),0)+IFERROR(INDEX(March!$AO:$AO,MATCH($A81,March!$A:$A,0)),0)+IFERROR(INDEX(April!$AN:$AN,MATCH($A81,April!$A:$A,0)),0)+IFERROR(INDEX(May!$AO:$AO,MATCH($A81,May!$A:$A,0)),0)+IFERROR(INDEX(June!$AN:$AN,MATCH($A81,June!$A:$A,0)),0)+IFERROR(INDEX(July!$AO:$AO,MATCH($A81,July!$A:$A,0)),0)+IFERROR(INDEX(August!$AO:$AO,MATCH($A81,August!$A:$A,0)),0)+IFERROR(INDEX(September!$AN:$AN,MATCH($A81,September!$A:$A,0)),0)+IFERROR(INDEX(October!$AO:$AO,MATCH($A81,October!$A:$A,0)),0)+IFERROR(INDEX(November!$AN:$AN,MATCH($A81,November!$A:$A,0)),0)+IFERROR(INDEX(December!$AO:$AO,MATCH($A81,December!$A:$A,0)),0)</f>
        <v>7</v>
      </c>
      <c r="X81" s="53">
        <f t="shared" si="16"/>
        <v>3.5</v>
      </c>
      <c r="Y81" s="53">
        <f>(IFERROR(INDEX(January!$AL:$AL,MATCH($A81,January!$A:$A,0)),0)+IFERROR(INDEX(February!$AI:$AI,MATCH($A81,February!$A:$A,0)),0)+IFERROR(INDEX(March!$AL:$AL,MATCH($A81,March!$A:$A,0)),0)+IFERROR(INDEX(April!$AK:$AK,MATCH($A81,April!$A:$A,0)),0)+IFERROR(INDEX(May!$AL:$AL,MATCH($A81,May!$A:$A,0)),0)+IFERROR(INDEX(June!$AK:$AK,MATCH($A81,June!$A:$A,0)),0)+IFERROR(INDEX(July!$AL:$AL,MATCH($A81,July!$A:$A,0)),0)+IFERROR(INDEX(August!$AL:$AL,MATCH($A81,August!$A:$A,0)),0)+IFERROR(INDEX(September!$AK:$AK,MATCH($A81,September!$A:$A,0)),0)+IFERROR(INDEX(October!$AL:$AL,MATCH($A81,October!$A:$A,0)),0)+IFERROR(INDEX(November!$AK:$AK,MATCH($A81,November!$A:$A,0)),0)+IFERROR(INDEX(December!$AL:$AL,MATCH($A81,December!$A:$A,0)),0))*0.5</f>
        <v>7</v>
      </c>
      <c r="Z81" s="54">
        <f>IFERROR(INDEX(January!$AK:$AK,MATCH($A81,January!$A:$A,0)),0)+IFERROR(INDEX(February!$AH:$AH,MATCH($A81,February!$A:$A,0)),0)+IFERROR(INDEX(March!$AK:$AK,MATCH($A81,March!$A:$A,0)),0)+IFERROR(INDEX(April!$AJ:$AJ,MATCH($A81,April!$A:$A,0)),0)+IFERROR(INDEX(May!$AK:$AK,MATCH($A81,May!$A:$A,0)),0)+IFERROR(INDEX(June!$AJ:$AJ,MATCH($A81,June!$A:$A,0)),0)+IFERROR(INDEX(July!$AK:$AK,MATCH($A81,July!$A:$A,0)),0)+IFERROR(INDEX(August!$AK:$AK,MATCH($A81,August!$A:$A,0)),0)+IFERROR(INDEX(September!$AJ:$AJ,MATCH($A81,September!$A:$A,0)),0)+IFERROR(INDEX(October!$AK:$AK,MATCH($A81,October!$A:$A,0)),0)+IFERROR(INDEX(November!$AJ:$AJ,MATCH($A81,November!$A:$A,0)),0)+IFERROR(INDEX(December!$AK:$AK,MATCH($A81,December!$A:$A,0)),0)</f>
        <v>13</v>
      </c>
      <c r="AA81" s="51">
        <f t="shared" si="17"/>
        <v>20</v>
      </c>
      <c r="AB81" s="55"/>
      <c r="AC81" s="56">
        <f t="shared" si="18"/>
        <v>20</v>
      </c>
      <c r="AD81" s="57"/>
      <c r="AE81" s="58">
        <f t="shared" si="19"/>
        <v>20</v>
      </c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</row>
    <row r="82" spans="1:49" ht="22" customHeight="1" x14ac:dyDescent="0.35">
      <c r="A82" s="8" t="s">
        <v>187</v>
      </c>
      <c r="B82" s="8" t="s">
        <v>188</v>
      </c>
      <c r="C82" s="8" t="s">
        <v>180</v>
      </c>
      <c r="D82" s="10">
        <v>24</v>
      </c>
      <c r="E82" s="10">
        <v>26</v>
      </c>
      <c r="F82" s="10">
        <v>27</v>
      </c>
      <c r="G82" s="10">
        <v>26</v>
      </c>
      <c r="H82" s="10">
        <v>26</v>
      </c>
      <c r="I82" s="10">
        <v>28</v>
      </c>
      <c r="J82" s="10">
        <v>26</v>
      </c>
      <c r="K82" s="11">
        <v>5</v>
      </c>
      <c r="L82" s="11">
        <v>11</v>
      </c>
      <c r="M82" s="10">
        <v>27</v>
      </c>
      <c r="N82" s="10">
        <v>26</v>
      </c>
      <c r="O82" s="10">
        <v>20</v>
      </c>
      <c r="P82" s="8">
        <f>IFERROR(INDEX(January!$AI:$AI,MATCH($A82,January!$A:$A,0)),0)+IFERROR(INDEX(February!$AF:$AF,MATCH($A82,February!$A:$A,0)),0)+IFERROR(INDEX(March!$AI:$AI,MATCH($A82,March!$A:$A,0)),0)+IFERROR(INDEX(April!$AH:$AH,MATCH($A82,April!$A:$A,0)),0)+IFERROR(INDEX(May!$AI:$AI,MATCH($A82,May!$A:$A,0)),0)+IFERROR(INDEX(June!$AH:$AH,MATCH($A82,June!$A:$A,0)),0)+IFERROR(INDEX(July!$AI:$AI,MATCH($A82,July!$A:$A,0)),0)+IFERROR(INDEX(August!$AI:$AI,MATCH($A82,August!$A:$A,0)),0)+IFERROR(INDEX(September!$AH:$AH,MATCH($A82,September!$A:$A,0)),0)+IFERROR(INDEX(October!$AI:$AI,MATCH($A82,October!$A:$A,0)),0)+IFERROR(INDEX(November!$AH:$AH,MATCH($A82,November!$A:$A,0)),0)+IFERROR(INDEX(December!$AI:$AI,MATCH($A82,December!$A:$A,0)),0)</f>
        <v>202</v>
      </c>
      <c r="Q82" s="8">
        <f>IFERROR(INDEX(January!$AJ:$AJ,MATCH($A82,January!$A:$A,0)),0)+IFERROR(INDEX(February!$AG:$AG,MATCH($A82,February!$A:$A,0)),0)+IFERROR(INDEX(March!$AJ:$AJ,MATCH($A82,March!$A:$A,0)),0)+IFERROR(INDEX(April!$AI:$AI,MATCH($A82,April!$A:$A,0)),0)+IFERROR(INDEX(May!$AJ:$AJ,MATCH($A82,May!$A:$A,0)),0)+IFERROR(INDEX(June!$AI:$AI,MATCH($A82,June!$A:$A,0)),0)+IFERROR(INDEX(July!$AJ:$AJ,MATCH($A82,July!$A:$A,0)),0)+IFERROR(INDEX(August!$AJ:$AJ,MATCH($A82,August!$A:$A,0)),0)+IFERROR(INDEX(September!$AI:$AI,MATCH($A82,September!$A:$A,0)),0)+IFERROR(INDEX(October!$AJ:$AJ,MATCH($A82,October!$A:$A,0)),0)+IFERROR(INDEX(November!$AI:$AI,MATCH($A82,November!$A:$A,0)),0)+IFERROR(INDEX(December!$AJ:$AJ,MATCH($A82,December!$A:$A,0)),0)</f>
        <v>59</v>
      </c>
      <c r="R82" s="8">
        <f>IFERROR(INDEX(January!$AK:$AK,MATCH($A82,January!$A:$A,0)),0)+IFERROR(INDEX(February!$AH:$AH,MATCH($A82,February!$A:$A,0)),0)+IFERROR(INDEX(March!$AK:$AK,MATCH($A82,March!$A:$A,0)),0)+IFERROR(INDEX(April!$AJ:$AJ,MATCH($A82,April!$A:$A,0)),0)+IFERROR(INDEX(May!$AK:$AK,MATCH($A82,May!$A:$A,0)),0)+IFERROR(INDEX(June!$AJ:$AJ,MATCH($A82,June!$A:$A,0)),0)+IFERROR(INDEX(July!$AK:$AK,MATCH($A82,July!$A:$A,0)),0)+IFERROR(INDEX(August!$AK:$AK,MATCH($A82,August!$A:$A,0)),0)+IFERROR(INDEX(September!$AJ:$AJ,MATCH($A82,September!$A:$A,0)),0)+IFERROR(INDEX(October!$AK:$AK,MATCH($A82,October!$A:$A,0)),0)+IFERROR(INDEX(November!$AJ:$AJ,MATCH($A82,November!$A:$A,0)),0)+IFERROR(INDEX(December!$AK:$AK,MATCH($A82,December!$A:$A,0)),0)</f>
        <v>35</v>
      </c>
      <c r="S82" s="35">
        <f t="shared" si="15"/>
        <v>0.77394636015325668</v>
      </c>
      <c r="T82" s="38"/>
      <c r="U82" s="51">
        <f>IFERROR(INDEX(January!$AQ:$AQ,MATCH($A82,January!$A:$A,0)),0)+IFERROR(INDEX(February!$AN:$AN,MATCH($A82,February!$A:$A,0)),0)+IFERROR(INDEX(March!$AQ:$AQ,MATCH($A82,March!$A:$A,0)),0)+IFERROR(INDEX(April!$AP:$AP,MATCH($A82,April!$A:$A,0)),0)+IFERROR(INDEX(May!$AQ:$AQ,MATCH($A82,May!$A:$A,0)),0)+IFERROR(INDEX(June!$AP:$AP,MATCH($A82,June!$A:$A,0)),0)+IFERROR(INDEX(July!$AQ:$AQ,MATCH($A82,July!$A:$A,0)),0)+IFERROR(INDEX(August!$AQ:$AQ,MATCH($A82,August!$A:$A,0)),0)+IFERROR(INDEX(September!$AP:$AP,MATCH($A82,September!$A:$A,0)),0)+IFERROR(INDEX(October!$AQ:$AQ,MATCH($A82,October!$A:$A,0)),0)+IFERROR(INDEX(November!$AP:$AP,MATCH($A82,November!$A:$A,0)),0)+IFERROR(INDEX(December!$AQ:$AQ,MATCH($A82,December!$A:$A,0)),0)</f>
        <v>251</v>
      </c>
      <c r="V82" s="52">
        <f>IFERROR(INDEX(January!$AJ:$AJ,MATCH($A82,January!$A:$A,0)),0)+IFERROR(INDEX(February!$AG:$AG,MATCH($A82,February!$A:$A,0)),0)+IFERROR(INDEX(March!$AJ:$AJ,MATCH($A82,March!$A:$A,0)),0)+IFERROR(INDEX(April!$AI:$AI,MATCH($A82,April!$A:$A,0)),0)+IFERROR(INDEX(May!$AJ:$AJ,MATCH($A82,May!$A:$A,0)),0)+IFERROR(INDEX(June!$AI:$AI,MATCH($A82,June!$A:$A,0)),0)+IFERROR(INDEX(July!$AJ:$AJ,MATCH($A82,July!$A:$A,0)),0)+IFERROR(INDEX(August!$AJ:$AJ,MATCH($A82,August!$A:$A,0)),0)+IFERROR(INDEX(September!$AI:$AI,MATCH($A82,September!$A:$A,0)),0)+IFERROR(INDEX(October!$AJ:$AJ,MATCH($A82,October!$A:$A,0)),0)+IFERROR(INDEX(November!$AI:$AI,MATCH($A82,November!$A:$A,0)),0)+IFERROR(INDEX(December!$AJ:$AJ,MATCH($A82,December!$A:$A,0)),0)</f>
        <v>59</v>
      </c>
      <c r="W82" s="53">
        <f>IFERROR(INDEX(January!$AO:$AO,MATCH($A82,January!$A:$A,0)),0)+IFERROR(INDEX(February!$AL:$AL,MATCH($A82,February!$A:$A,0)),0)+IFERROR(INDEX(March!$AO:$AO,MATCH($A82,March!$A:$A,0)),0)+IFERROR(INDEX(April!$AN:$AN,MATCH($A82,April!$A:$A,0)),0)+IFERROR(INDEX(May!$AO:$AO,MATCH($A82,May!$A:$A,0)),0)+IFERROR(INDEX(June!$AN:$AN,MATCH($A82,June!$A:$A,0)),0)+IFERROR(INDEX(July!$AO:$AO,MATCH($A82,July!$A:$A,0)),0)+IFERROR(INDEX(August!$AO:$AO,MATCH($A82,August!$A:$A,0)),0)+IFERROR(INDEX(September!$AN:$AN,MATCH($A82,September!$A:$A,0)),0)+IFERROR(INDEX(October!$AO:$AO,MATCH($A82,October!$A:$A,0)),0)+IFERROR(INDEX(November!$AN:$AN,MATCH($A82,November!$A:$A,0)),0)+IFERROR(INDEX(December!$AO:$AO,MATCH($A82,December!$A:$A,0)),0)</f>
        <v>7</v>
      </c>
      <c r="X82" s="53">
        <f t="shared" si="16"/>
        <v>3.5</v>
      </c>
      <c r="Y82" s="53">
        <f>(IFERROR(INDEX(January!$AL:$AL,MATCH($A82,January!$A:$A,0)),0)+IFERROR(INDEX(February!$AI:$AI,MATCH($A82,February!$A:$A,0)),0)+IFERROR(INDEX(March!$AL:$AL,MATCH($A82,March!$A:$A,0)),0)+IFERROR(INDEX(April!$AK:$AK,MATCH($A82,April!$A:$A,0)),0)+IFERROR(INDEX(May!$AL:$AL,MATCH($A82,May!$A:$A,0)),0)+IFERROR(INDEX(June!$AK:$AK,MATCH($A82,June!$A:$A,0)),0)+IFERROR(INDEX(July!$AL:$AL,MATCH($A82,July!$A:$A,0)),0)+IFERROR(INDEX(August!$AL:$AL,MATCH($A82,August!$A:$A,0)),0)+IFERROR(INDEX(September!$AK:$AK,MATCH($A82,September!$A:$A,0)),0)+IFERROR(INDEX(October!$AL:$AL,MATCH($A82,October!$A:$A,0)),0)+IFERROR(INDEX(November!$AK:$AK,MATCH($A82,November!$A:$A,0)),0)+IFERROR(INDEX(December!$AL:$AL,MATCH($A82,December!$A:$A,0)),0))*0.5</f>
        <v>17.5</v>
      </c>
      <c r="Z82" s="54">
        <f>IFERROR(INDEX(January!$AK:$AK,MATCH($A82,January!$A:$A,0)),0)+IFERROR(INDEX(February!$AH:$AH,MATCH($A82,February!$A:$A,0)),0)+IFERROR(INDEX(March!$AK:$AK,MATCH($A82,March!$A:$A,0)),0)+IFERROR(INDEX(April!$AJ:$AJ,MATCH($A82,April!$A:$A,0)),0)+IFERROR(INDEX(May!$AK:$AK,MATCH($A82,May!$A:$A,0)),0)+IFERROR(INDEX(June!$AJ:$AJ,MATCH($A82,June!$A:$A,0)),0)+IFERROR(INDEX(July!$AK:$AK,MATCH($A82,July!$A:$A,0)),0)+IFERROR(INDEX(August!$AK:$AK,MATCH($A82,August!$A:$A,0)),0)+IFERROR(INDEX(September!$AJ:$AJ,MATCH($A82,September!$A:$A,0)),0)+IFERROR(INDEX(October!$AK:$AK,MATCH($A82,October!$A:$A,0)),0)+IFERROR(INDEX(November!$AJ:$AJ,MATCH($A82,November!$A:$A,0)),0)+IFERROR(INDEX(December!$AK:$AK,MATCH($A82,December!$A:$A,0)),0)</f>
        <v>35</v>
      </c>
      <c r="AA82" s="51">
        <f t="shared" si="17"/>
        <v>52.5</v>
      </c>
      <c r="AB82" s="55"/>
      <c r="AC82" s="56">
        <f t="shared" si="18"/>
        <v>52.5</v>
      </c>
      <c r="AD82" s="57"/>
      <c r="AE82" s="58">
        <f t="shared" si="19"/>
        <v>52.5</v>
      </c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</row>
    <row r="83" spans="1:49" ht="22" customHeight="1" x14ac:dyDescent="0.35">
      <c r="A83" s="8" t="s">
        <v>189</v>
      </c>
      <c r="B83" s="8" t="s">
        <v>190</v>
      </c>
      <c r="C83" s="8" t="s">
        <v>180</v>
      </c>
      <c r="D83" s="10">
        <v>26</v>
      </c>
      <c r="E83" s="10">
        <v>24</v>
      </c>
      <c r="F83" s="10">
        <v>25</v>
      </c>
      <c r="G83" s="10">
        <v>28</v>
      </c>
      <c r="H83" s="10">
        <v>25</v>
      </c>
      <c r="I83" s="10">
        <v>25</v>
      </c>
      <c r="J83" s="10">
        <v>27</v>
      </c>
      <c r="K83" s="10">
        <v>27</v>
      </c>
      <c r="L83" s="10">
        <v>26</v>
      </c>
      <c r="M83" s="10">
        <v>27</v>
      </c>
      <c r="N83" s="10">
        <v>26</v>
      </c>
      <c r="O83" s="10">
        <v>26</v>
      </c>
      <c r="P83" s="8">
        <f>IFERROR(INDEX(January!$AI:$AI,MATCH($A83,January!$A:$A,0)),0)+IFERROR(INDEX(February!$AF:$AF,MATCH($A83,February!$A:$A,0)),0)+IFERROR(INDEX(March!$AI:$AI,MATCH($A83,March!$A:$A,0)),0)+IFERROR(INDEX(April!$AH:$AH,MATCH($A83,April!$A:$A,0)),0)+IFERROR(INDEX(May!$AI:$AI,MATCH($A83,May!$A:$A,0)),0)+IFERROR(INDEX(June!$AH:$AH,MATCH($A83,June!$A:$A,0)),0)+IFERROR(INDEX(July!$AI:$AI,MATCH($A83,July!$A:$A,0)),0)+IFERROR(INDEX(August!$AI:$AI,MATCH($A83,August!$A:$A,0)),0)+IFERROR(INDEX(September!$AH:$AH,MATCH($A83,September!$A:$A,0)),0)+IFERROR(INDEX(October!$AI:$AI,MATCH($A83,October!$A:$A,0)),0)+IFERROR(INDEX(November!$AH:$AH,MATCH($A83,November!$A:$A,0)),0)+IFERROR(INDEX(December!$AI:$AI,MATCH($A83,December!$A:$A,0)),0)</f>
        <v>232</v>
      </c>
      <c r="Q83" s="8">
        <f>IFERROR(INDEX(January!$AJ:$AJ,MATCH($A83,January!$A:$A,0)),0)+IFERROR(INDEX(February!$AG:$AG,MATCH($A83,February!$A:$A,0)),0)+IFERROR(INDEX(March!$AJ:$AJ,MATCH($A83,March!$A:$A,0)),0)+IFERROR(INDEX(April!$AI:$AI,MATCH($A83,April!$A:$A,0)),0)+IFERROR(INDEX(May!$AJ:$AJ,MATCH($A83,May!$A:$A,0)),0)+IFERROR(INDEX(June!$AI:$AI,MATCH($A83,June!$A:$A,0)),0)+IFERROR(INDEX(July!$AJ:$AJ,MATCH($A83,July!$A:$A,0)),0)+IFERROR(INDEX(August!$AJ:$AJ,MATCH($A83,August!$A:$A,0)),0)+IFERROR(INDEX(September!$AI:$AI,MATCH($A83,September!$A:$A,0)),0)+IFERROR(INDEX(October!$AJ:$AJ,MATCH($A83,October!$A:$A,0)),0)+IFERROR(INDEX(November!$AI:$AI,MATCH($A83,November!$A:$A,0)),0)+IFERROR(INDEX(December!$AJ:$AJ,MATCH($A83,December!$A:$A,0)),0)</f>
        <v>29</v>
      </c>
      <c r="R83" s="8">
        <f>IFERROR(INDEX(January!$AK:$AK,MATCH($A83,January!$A:$A,0)),0)+IFERROR(INDEX(February!$AH:$AH,MATCH($A83,February!$A:$A,0)),0)+IFERROR(INDEX(March!$AK:$AK,MATCH($A83,March!$A:$A,0)),0)+IFERROR(INDEX(April!$AJ:$AJ,MATCH($A83,April!$A:$A,0)),0)+IFERROR(INDEX(May!$AK:$AK,MATCH($A83,May!$A:$A,0)),0)+IFERROR(INDEX(June!$AJ:$AJ,MATCH($A83,June!$A:$A,0)),0)+IFERROR(INDEX(July!$AK:$AK,MATCH($A83,July!$A:$A,0)),0)+IFERROR(INDEX(August!$AK:$AK,MATCH($A83,August!$A:$A,0)),0)+IFERROR(INDEX(September!$AJ:$AJ,MATCH($A83,September!$A:$A,0)),0)+IFERROR(INDEX(October!$AK:$AK,MATCH($A83,October!$A:$A,0)),0)+IFERROR(INDEX(November!$AJ:$AJ,MATCH($A83,November!$A:$A,0)),0)+IFERROR(INDEX(December!$AK:$AK,MATCH($A83,December!$A:$A,0)),0)</f>
        <v>40</v>
      </c>
      <c r="S83" s="35">
        <f t="shared" si="15"/>
        <v>0.88888888888888884</v>
      </c>
      <c r="T83" s="38"/>
      <c r="U83" s="51">
        <f>IFERROR(INDEX(January!$AQ:$AQ,MATCH($A83,January!$A:$A,0)),0)+IFERROR(INDEX(February!$AN:$AN,MATCH($A83,February!$A:$A,0)),0)+IFERROR(INDEX(March!$AQ:$AQ,MATCH($A83,March!$A:$A,0)),0)+IFERROR(INDEX(April!$AP:$AP,MATCH($A83,April!$A:$A,0)),0)+IFERROR(INDEX(May!$AQ:$AQ,MATCH($A83,May!$A:$A,0)),0)+IFERROR(INDEX(June!$AP:$AP,MATCH($A83,June!$A:$A,0)),0)+IFERROR(INDEX(July!$AQ:$AQ,MATCH($A83,July!$A:$A,0)),0)+IFERROR(INDEX(August!$AQ:$AQ,MATCH($A83,August!$A:$A,0)),0)+IFERROR(INDEX(September!$AP:$AP,MATCH($A83,September!$A:$A,0)),0)+IFERROR(INDEX(October!$AQ:$AQ,MATCH($A83,October!$A:$A,0)),0)+IFERROR(INDEX(November!$AP:$AP,MATCH($A83,November!$A:$A,0)),0)+IFERROR(INDEX(December!$AQ:$AQ,MATCH($A83,December!$A:$A,0)),0)</f>
        <v>287.5</v>
      </c>
      <c r="V83" s="52">
        <f>IFERROR(INDEX(January!$AJ:$AJ,MATCH($A83,January!$A:$A,0)),0)+IFERROR(INDEX(February!$AG:$AG,MATCH($A83,February!$A:$A,0)),0)+IFERROR(INDEX(March!$AJ:$AJ,MATCH($A83,March!$A:$A,0)),0)+IFERROR(INDEX(April!$AI:$AI,MATCH($A83,April!$A:$A,0)),0)+IFERROR(INDEX(May!$AJ:$AJ,MATCH($A83,May!$A:$A,0)),0)+IFERROR(INDEX(June!$AI:$AI,MATCH($A83,June!$A:$A,0)),0)+IFERROR(INDEX(July!$AJ:$AJ,MATCH($A83,July!$A:$A,0)),0)+IFERROR(INDEX(August!$AJ:$AJ,MATCH($A83,August!$A:$A,0)),0)+IFERROR(INDEX(September!$AI:$AI,MATCH($A83,September!$A:$A,0)),0)+IFERROR(INDEX(October!$AJ:$AJ,MATCH($A83,October!$A:$A,0)),0)+IFERROR(INDEX(November!$AI:$AI,MATCH($A83,November!$A:$A,0)),0)+IFERROR(INDEX(December!$AJ:$AJ,MATCH($A83,December!$A:$A,0)),0)</f>
        <v>29</v>
      </c>
      <c r="W83" s="53">
        <f>IFERROR(INDEX(January!$AO:$AO,MATCH($A83,January!$A:$A,0)),0)+IFERROR(INDEX(February!$AL:$AL,MATCH($A83,February!$A:$A,0)),0)+IFERROR(INDEX(March!$AO:$AO,MATCH($A83,March!$A:$A,0)),0)+IFERROR(INDEX(April!$AN:$AN,MATCH($A83,April!$A:$A,0)),0)+IFERROR(INDEX(May!$AO:$AO,MATCH($A83,May!$A:$A,0)),0)+IFERROR(INDEX(June!$AN:$AN,MATCH($A83,June!$A:$A,0)),0)+IFERROR(INDEX(July!$AO:$AO,MATCH($A83,July!$A:$A,0)),0)+IFERROR(INDEX(August!$AO:$AO,MATCH($A83,August!$A:$A,0)),0)+IFERROR(INDEX(September!$AN:$AN,MATCH($A83,September!$A:$A,0)),0)+IFERROR(INDEX(October!$AO:$AO,MATCH($A83,October!$A:$A,0)),0)+IFERROR(INDEX(November!$AN:$AN,MATCH($A83,November!$A:$A,0)),0)+IFERROR(INDEX(December!$AO:$AO,MATCH($A83,December!$A:$A,0)),0)</f>
        <v>9</v>
      </c>
      <c r="X83" s="53">
        <f t="shared" si="16"/>
        <v>4.5</v>
      </c>
      <c r="Y83" s="53">
        <f>(IFERROR(INDEX(January!$AL:$AL,MATCH($A83,January!$A:$A,0)),0)+IFERROR(INDEX(February!$AI:$AI,MATCH($A83,February!$A:$A,0)),0)+IFERROR(INDEX(March!$AL:$AL,MATCH($A83,March!$A:$A,0)),0)+IFERROR(INDEX(April!$AK:$AK,MATCH($A83,April!$A:$A,0)),0)+IFERROR(INDEX(May!$AL:$AL,MATCH($A83,May!$A:$A,0)),0)+IFERROR(INDEX(June!$AK:$AK,MATCH($A83,June!$A:$A,0)),0)+IFERROR(INDEX(July!$AL:$AL,MATCH($A83,July!$A:$A,0)),0)+IFERROR(INDEX(August!$AL:$AL,MATCH($A83,August!$A:$A,0)),0)+IFERROR(INDEX(September!$AK:$AK,MATCH($A83,September!$A:$A,0)),0)+IFERROR(INDEX(October!$AL:$AL,MATCH($A83,October!$A:$A,0)),0)+IFERROR(INDEX(November!$AK:$AK,MATCH($A83,November!$A:$A,0)),0)+IFERROR(INDEX(December!$AL:$AL,MATCH($A83,December!$A:$A,0)),0))*0.5</f>
        <v>20</v>
      </c>
      <c r="Z83" s="54">
        <f>IFERROR(INDEX(January!$AK:$AK,MATCH($A83,January!$A:$A,0)),0)+IFERROR(INDEX(February!$AH:$AH,MATCH($A83,February!$A:$A,0)),0)+IFERROR(INDEX(March!$AK:$AK,MATCH($A83,March!$A:$A,0)),0)+IFERROR(INDEX(April!$AJ:$AJ,MATCH($A83,April!$A:$A,0)),0)+IFERROR(INDEX(May!$AK:$AK,MATCH($A83,May!$A:$A,0)),0)+IFERROR(INDEX(June!$AJ:$AJ,MATCH($A83,June!$A:$A,0)),0)+IFERROR(INDEX(July!$AK:$AK,MATCH($A83,July!$A:$A,0)),0)+IFERROR(INDEX(August!$AK:$AK,MATCH($A83,August!$A:$A,0)),0)+IFERROR(INDEX(September!$AJ:$AJ,MATCH($A83,September!$A:$A,0)),0)+IFERROR(INDEX(October!$AK:$AK,MATCH($A83,October!$A:$A,0)),0)+IFERROR(INDEX(November!$AJ:$AJ,MATCH($A83,November!$A:$A,0)),0)+IFERROR(INDEX(December!$AK:$AK,MATCH($A83,December!$A:$A,0)),0)</f>
        <v>40</v>
      </c>
      <c r="AA83" s="51">
        <f t="shared" si="17"/>
        <v>60</v>
      </c>
      <c r="AB83" s="55"/>
      <c r="AC83" s="56">
        <f t="shared" si="18"/>
        <v>60</v>
      </c>
      <c r="AD83" s="57"/>
      <c r="AE83" s="58">
        <f t="shared" si="19"/>
        <v>60</v>
      </c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</row>
    <row r="85" spans="1:49" ht="25" customHeight="1" x14ac:dyDescent="0.35">
      <c r="A85" s="64" t="s">
        <v>191</v>
      </c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</row>
    <row r="86" spans="1:49" ht="22" customHeight="1" x14ac:dyDescent="0.35">
      <c r="A86" s="8" t="s">
        <v>192</v>
      </c>
      <c r="B86" s="8" t="s">
        <v>193</v>
      </c>
      <c r="C86" s="8" t="s">
        <v>194</v>
      </c>
      <c r="D86" s="10">
        <v>21</v>
      </c>
      <c r="E86" s="11">
        <v>17</v>
      </c>
      <c r="F86" s="11">
        <v>19</v>
      </c>
      <c r="G86" s="11">
        <v>9</v>
      </c>
      <c r="H86" s="11">
        <v>17</v>
      </c>
      <c r="I86" s="11">
        <v>19</v>
      </c>
      <c r="J86" s="11">
        <v>16</v>
      </c>
      <c r="K86" s="10">
        <v>21</v>
      </c>
      <c r="L86" s="11">
        <v>12</v>
      </c>
      <c r="M86" s="10">
        <v>21</v>
      </c>
      <c r="N86" s="10">
        <v>22</v>
      </c>
      <c r="O86" s="11">
        <v>9</v>
      </c>
      <c r="P86" s="8">
        <f>IFERROR(INDEX(January!$AI:$AI,MATCH($A86,January!$A:$A,0)),0)+IFERROR(INDEX(February!$AF:$AF,MATCH($A86,February!$A:$A,0)),0)+IFERROR(INDEX(March!$AI:$AI,MATCH($A86,March!$A:$A,0)),0)+IFERROR(INDEX(April!$AH:$AH,MATCH($A86,April!$A:$A,0)),0)+IFERROR(INDEX(May!$AI:$AI,MATCH($A86,May!$A:$A,0)),0)+IFERROR(INDEX(June!$AH:$AH,MATCH($A86,June!$A:$A,0)),0)+IFERROR(INDEX(July!$AI:$AI,MATCH($A86,July!$A:$A,0)),0)+IFERROR(INDEX(August!$AI:$AI,MATCH($A86,August!$A:$A,0)),0)+IFERROR(INDEX(September!$AH:$AH,MATCH($A86,September!$A:$A,0)),0)+IFERROR(INDEX(October!$AI:$AI,MATCH($A86,October!$A:$A,0)),0)+IFERROR(INDEX(November!$AH:$AH,MATCH($A86,November!$A:$A,0)),0)+IFERROR(INDEX(December!$AI:$AI,MATCH($A86,December!$A:$A,0)),0)</f>
        <v>189</v>
      </c>
      <c r="Q86" s="8">
        <f>IFERROR(INDEX(January!$AJ:$AJ,MATCH($A86,January!$A:$A,0)),0)+IFERROR(INDEX(February!$AG:$AG,MATCH($A86,February!$A:$A,0)),0)+IFERROR(INDEX(March!$AJ:$AJ,MATCH($A86,March!$A:$A,0)),0)+IFERROR(INDEX(April!$AI:$AI,MATCH($A86,April!$A:$A,0)),0)+IFERROR(INDEX(May!$AJ:$AJ,MATCH($A86,May!$A:$A,0)),0)+IFERROR(INDEX(June!$AI:$AI,MATCH($A86,June!$A:$A,0)),0)+IFERROR(INDEX(July!$AJ:$AJ,MATCH($A86,July!$A:$A,0)),0)+IFERROR(INDEX(August!$AJ:$AJ,MATCH($A86,August!$A:$A,0)),0)+IFERROR(INDEX(September!$AI:$AI,MATCH($A86,September!$A:$A,0)),0)+IFERROR(INDEX(October!$AJ:$AJ,MATCH($A86,October!$A:$A,0)),0)+IFERROR(INDEX(November!$AI:$AI,MATCH($A86,November!$A:$A,0)),0)+IFERROR(INDEX(December!$AJ:$AJ,MATCH($A86,December!$A:$A,0)),0)</f>
        <v>72</v>
      </c>
      <c r="R86" s="8">
        <f>IFERROR(INDEX(January!$AK:$AK,MATCH($A86,January!$A:$A,0)),0)+IFERROR(INDEX(February!$AH:$AH,MATCH($A86,February!$A:$A,0)),0)+IFERROR(INDEX(March!$AK:$AK,MATCH($A86,March!$A:$A,0)),0)+IFERROR(INDEX(April!$AJ:$AJ,MATCH($A86,April!$A:$A,0)),0)+IFERROR(INDEX(May!$AK:$AK,MATCH($A86,May!$A:$A,0)),0)+IFERROR(INDEX(June!$AJ:$AJ,MATCH($A86,June!$A:$A,0)),0)+IFERROR(INDEX(July!$AK:$AK,MATCH($A86,July!$A:$A,0)),0)+IFERROR(INDEX(August!$AK:$AK,MATCH($A86,August!$A:$A,0)),0)+IFERROR(INDEX(September!$AJ:$AJ,MATCH($A86,September!$A:$A,0)),0)+IFERROR(INDEX(October!$AK:$AK,MATCH($A86,October!$A:$A,0)),0)+IFERROR(INDEX(November!$AJ:$AJ,MATCH($A86,November!$A:$A,0)),0)+IFERROR(INDEX(December!$AK:$AK,MATCH($A86,December!$A:$A,0)),0)</f>
        <v>6</v>
      </c>
      <c r="S86" s="36">
        <f>IF((P86+Q86)=0,"",P86/(P86+Q86))</f>
        <v>0.72413793103448276</v>
      </c>
      <c r="T86" s="38"/>
      <c r="U86" s="51">
        <f>IFERROR(INDEX(January!$AQ:$AQ,MATCH($A86,January!$A:$A,0)),0)+IFERROR(INDEX(February!$AN:$AN,MATCH($A86,February!$A:$A,0)),0)+IFERROR(INDEX(March!$AQ:$AQ,MATCH($A86,March!$A:$A,0)),0)+IFERROR(INDEX(April!$AP:$AP,MATCH($A86,April!$A:$A,0)),0)+IFERROR(INDEX(May!$AQ:$AQ,MATCH($A86,May!$A:$A,0)),0)+IFERROR(INDEX(June!$AP:$AP,MATCH($A86,June!$A:$A,0)),0)+IFERROR(INDEX(July!$AQ:$AQ,MATCH($A86,July!$A:$A,0)),0)+IFERROR(INDEX(August!$AQ:$AQ,MATCH($A86,August!$A:$A,0)),0)+IFERROR(INDEX(September!$AP:$AP,MATCH($A86,September!$A:$A,0)),0)+IFERROR(INDEX(October!$AQ:$AQ,MATCH($A86,October!$A:$A,0)),0)+IFERROR(INDEX(November!$AP:$AP,MATCH($A86,November!$A:$A,0)),0)+IFERROR(INDEX(December!$AQ:$AQ,MATCH($A86,December!$A:$A,0)),0)</f>
        <v>185.5</v>
      </c>
      <c r="V86" s="52">
        <f>IFERROR(INDEX(January!$AJ:$AJ,MATCH($A86,January!$A:$A,0)),0)+IFERROR(INDEX(February!$AG:$AG,MATCH($A86,February!$A:$A,0)),0)+IFERROR(INDEX(March!$AJ:$AJ,MATCH($A86,March!$A:$A,0)),0)+IFERROR(INDEX(April!$AI:$AI,MATCH($A86,April!$A:$A,0)),0)+IFERROR(INDEX(May!$AJ:$AJ,MATCH($A86,May!$A:$A,0)),0)+IFERROR(INDEX(June!$AI:$AI,MATCH($A86,June!$A:$A,0)),0)+IFERROR(INDEX(July!$AJ:$AJ,MATCH($A86,July!$A:$A,0)),0)+IFERROR(INDEX(August!$AJ:$AJ,MATCH($A86,August!$A:$A,0)),0)+IFERROR(INDEX(September!$AI:$AI,MATCH($A86,September!$A:$A,0)),0)+IFERROR(INDEX(October!$AJ:$AJ,MATCH($A86,October!$A:$A,0)),0)+IFERROR(INDEX(November!$AI:$AI,MATCH($A86,November!$A:$A,0)),0)+IFERROR(INDEX(December!$AJ:$AJ,MATCH($A86,December!$A:$A,0)),0)</f>
        <v>72</v>
      </c>
      <c r="W86" s="53">
        <f>IFERROR(INDEX(January!$AO:$AO,MATCH($A86,January!$A:$A,0)),0)+IFERROR(INDEX(February!$AL:$AL,MATCH($A86,February!$A:$A,0)),0)+IFERROR(INDEX(March!$AO:$AO,MATCH($A86,March!$A:$A,0)),0)+IFERROR(INDEX(April!$AN:$AN,MATCH($A86,April!$A:$A,0)),0)+IFERROR(INDEX(May!$AO:$AO,MATCH($A86,May!$A:$A,0)),0)+IFERROR(INDEX(June!$AN:$AN,MATCH($A86,June!$A:$A,0)),0)+IFERROR(INDEX(July!$AO:$AO,MATCH($A86,July!$A:$A,0)),0)+IFERROR(INDEX(August!$AO:$AO,MATCH($A86,August!$A:$A,0)),0)+IFERROR(INDEX(September!$AN:$AN,MATCH($A86,September!$A:$A,0)),0)+IFERROR(INDEX(October!$AO:$AO,MATCH($A86,October!$A:$A,0)),0)+IFERROR(INDEX(November!$AN:$AN,MATCH($A86,November!$A:$A,0)),0)+IFERROR(INDEX(December!$AO:$AO,MATCH($A86,December!$A:$A,0)),0)</f>
        <v>27</v>
      </c>
      <c r="X86" s="53">
        <f>W86/2</f>
        <v>13.5</v>
      </c>
      <c r="Y86" s="53">
        <f>(IFERROR(INDEX(January!$AL:$AL,MATCH($A86,January!$A:$A,0)),0)+IFERROR(INDEX(February!$AI:$AI,MATCH($A86,February!$A:$A,0)),0)+IFERROR(INDEX(March!$AL:$AL,MATCH($A86,March!$A:$A,0)),0)+IFERROR(INDEX(April!$AK:$AK,MATCH($A86,April!$A:$A,0)),0)+IFERROR(INDEX(May!$AL:$AL,MATCH($A86,May!$A:$A,0)),0)+IFERROR(INDEX(June!$AK:$AK,MATCH($A86,June!$A:$A,0)),0)+IFERROR(INDEX(July!$AL:$AL,MATCH($A86,July!$A:$A,0)),0)+IFERROR(INDEX(August!$AL:$AL,MATCH($A86,August!$A:$A,0)),0)+IFERROR(INDEX(September!$AK:$AK,MATCH($A86,September!$A:$A,0)),0)+IFERROR(INDEX(October!$AL:$AL,MATCH($A86,October!$A:$A,0)),0)+IFERROR(INDEX(November!$AK:$AK,MATCH($A86,November!$A:$A,0)),0)+IFERROR(INDEX(December!$AL:$AL,MATCH($A86,December!$A:$A,0)),0))*0.5</f>
        <v>4</v>
      </c>
      <c r="Z86" s="54">
        <f>IFERROR(INDEX(January!$AK:$AK,MATCH($A86,January!$A:$A,0)),0)+IFERROR(INDEX(February!$AH:$AH,MATCH($A86,February!$A:$A,0)),0)+IFERROR(INDEX(March!$AK:$AK,MATCH($A86,March!$A:$A,0)),0)+IFERROR(INDEX(April!$AJ:$AJ,MATCH($A86,April!$A:$A,0)),0)+IFERROR(INDEX(May!$AK:$AK,MATCH($A86,May!$A:$A,0)),0)+IFERROR(INDEX(June!$AJ:$AJ,MATCH($A86,June!$A:$A,0)),0)+IFERROR(INDEX(July!$AK:$AK,MATCH($A86,July!$A:$A,0)),0)+IFERROR(INDEX(August!$AK:$AK,MATCH($A86,August!$A:$A,0)),0)+IFERROR(INDEX(September!$AJ:$AJ,MATCH($A86,September!$A:$A,0)),0)+IFERROR(INDEX(October!$AK:$AK,MATCH($A86,October!$A:$A,0)),0)+IFERROR(INDEX(November!$AJ:$AJ,MATCH($A86,November!$A:$A,0)),0)+IFERROR(INDEX(December!$AK:$AK,MATCH($A86,December!$A:$A,0)),0)</f>
        <v>6</v>
      </c>
      <c r="AA86" s="51">
        <f>Y86+Z86</f>
        <v>10</v>
      </c>
      <c r="AB86" s="55"/>
      <c r="AC86" s="56">
        <f>AA86+IF(AB86="",0,AB86)</f>
        <v>10</v>
      </c>
      <c r="AD86" s="57"/>
      <c r="AE86" s="58">
        <f>AC86-IF(AD86="",0,AD86)</f>
        <v>10</v>
      </c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</row>
    <row r="87" spans="1:49" ht="22" customHeight="1" x14ac:dyDescent="0.35">
      <c r="A87" s="8" t="s">
        <v>195</v>
      </c>
      <c r="B87" s="8" t="s">
        <v>196</v>
      </c>
      <c r="C87" s="8" t="s">
        <v>194</v>
      </c>
      <c r="D87" s="10">
        <v>20</v>
      </c>
      <c r="E87" s="11">
        <v>16</v>
      </c>
      <c r="F87" s="11">
        <v>16</v>
      </c>
      <c r="G87" s="11">
        <v>15</v>
      </c>
      <c r="H87" s="11">
        <v>16</v>
      </c>
      <c r="I87" s="10">
        <v>22</v>
      </c>
      <c r="J87" s="10">
        <v>22</v>
      </c>
      <c r="K87" s="10">
        <v>20</v>
      </c>
      <c r="L87" s="11">
        <v>15</v>
      </c>
      <c r="M87" s="10">
        <v>25</v>
      </c>
      <c r="N87" s="11">
        <v>19</v>
      </c>
      <c r="O87" s="9">
        <v>0</v>
      </c>
      <c r="P87" s="8">
        <f>IFERROR(INDEX(January!$AI:$AI,MATCH($A87,January!$A:$A,0)),0)+IFERROR(INDEX(February!$AF:$AF,MATCH($A87,February!$A:$A,0)),0)+IFERROR(INDEX(March!$AI:$AI,MATCH($A87,March!$A:$A,0)),0)+IFERROR(INDEX(April!$AH:$AH,MATCH($A87,April!$A:$A,0)),0)+IFERROR(INDEX(May!$AI:$AI,MATCH($A87,May!$A:$A,0)),0)+IFERROR(INDEX(June!$AH:$AH,MATCH($A87,June!$A:$A,0)),0)+IFERROR(INDEX(July!$AI:$AI,MATCH($A87,July!$A:$A,0)),0)+IFERROR(INDEX(August!$AI:$AI,MATCH($A87,August!$A:$A,0)),0)+IFERROR(INDEX(September!$AH:$AH,MATCH($A87,September!$A:$A,0)),0)+IFERROR(INDEX(October!$AI:$AI,MATCH($A87,October!$A:$A,0)),0)+IFERROR(INDEX(November!$AH:$AH,MATCH($A87,November!$A:$A,0)),0)+IFERROR(INDEX(December!$AI:$AI,MATCH($A87,December!$A:$A,0)),0)</f>
        <v>183</v>
      </c>
      <c r="Q87" s="8">
        <f>IFERROR(INDEX(January!$AJ:$AJ,MATCH($A87,January!$A:$A,0)),0)+IFERROR(INDEX(February!$AG:$AG,MATCH($A87,February!$A:$A,0)),0)+IFERROR(INDEX(March!$AJ:$AJ,MATCH($A87,March!$A:$A,0)),0)+IFERROR(INDEX(April!$AI:$AI,MATCH($A87,April!$A:$A,0)),0)+IFERROR(INDEX(May!$AJ:$AJ,MATCH($A87,May!$A:$A,0)),0)+IFERROR(INDEX(June!$AI:$AI,MATCH($A87,June!$A:$A,0)),0)+IFERROR(INDEX(July!$AJ:$AJ,MATCH($A87,July!$A:$A,0)),0)+IFERROR(INDEX(August!$AJ:$AJ,MATCH($A87,August!$A:$A,0)),0)+IFERROR(INDEX(September!$AI:$AI,MATCH($A87,September!$A:$A,0)),0)+IFERROR(INDEX(October!$AJ:$AJ,MATCH($A87,October!$A:$A,0)),0)+IFERROR(INDEX(November!$AI:$AI,MATCH($A87,November!$A:$A,0)),0)+IFERROR(INDEX(December!$AJ:$AJ,MATCH($A87,December!$A:$A,0)),0)</f>
        <v>78</v>
      </c>
      <c r="R87" s="8">
        <f>IFERROR(INDEX(January!$AK:$AK,MATCH($A87,January!$A:$A,0)),0)+IFERROR(INDEX(February!$AH:$AH,MATCH($A87,February!$A:$A,0)),0)+IFERROR(INDEX(March!$AK:$AK,MATCH($A87,March!$A:$A,0)),0)+IFERROR(INDEX(April!$AJ:$AJ,MATCH($A87,April!$A:$A,0)),0)+IFERROR(INDEX(May!$AK:$AK,MATCH($A87,May!$A:$A,0)),0)+IFERROR(INDEX(June!$AJ:$AJ,MATCH($A87,June!$A:$A,0)),0)+IFERROR(INDEX(July!$AK:$AK,MATCH($A87,July!$A:$A,0)),0)+IFERROR(INDEX(August!$AK:$AK,MATCH($A87,August!$A:$A,0)),0)+IFERROR(INDEX(September!$AJ:$AJ,MATCH($A87,September!$A:$A,0)),0)+IFERROR(INDEX(October!$AK:$AK,MATCH($A87,October!$A:$A,0)),0)+IFERROR(INDEX(November!$AJ:$AJ,MATCH($A87,November!$A:$A,0)),0)+IFERROR(INDEX(December!$AK:$AK,MATCH($A87,December!$A:$A,0)),0)</f>
        <v>12</v>
      </c>
      <c r="S87" s="36">
        <f>IF((P87+Q87)=0,"",P87/(P87+Q87))</f>
        <v>0.70114942528735635</v>
      </c>
      <c r="T87" s="38"/>
      <c r="U87" s="51">
        <f>IFERROR(INDEX(January!$AQ:$AQ,MATCH($A87,January!$A:$A,0)),0)+IFERROR(INDEX(February!$AN:$AN,MATCH($A87,February!$A:$A,0)),0)+IFERROR(INDEX(March!$AQ:$AQ,MATCH($A87,March!$A:$A,0)),0)+IFERROR(INDEX(April!$AP:$AP,MATCH($A87,April!$A:$A,0)),0)+IFERROR(INDEX(May!$AQ:$AQ,MATCH($A87,May!$A:$A,0)),0)+IFERROR(INDEX(June!$AP:$AP,MATCH($A87,June!$A:$A,0)),0)+IFERROR(INDEX(July!$AQ:$AQ,MATCH($A87,July!$A:$A,0)),0)+IFERROR(INDEX(August!$AQ:$AQ,MATCH($A87,August!$A:$A,0)),0)+IFERROR(INDEX(September!$AP:$AP,MATCH($A87,September!$A:$A,0)),0)+IFERROR(INDEX(October!$AQ:$AQ,MATCH($A87,October!$A:$A,0)),0)+IFERROR(INDEX(November!$AP:$AP,MATCH($A87,November!$A:$A,0)),0)+IFERROR(INDEX(December!$AQ:$AQ,MATCH($A87,December!$A:$A,0)),0)</f>
        <v>189</v>
      </c>
      <c r="V87" s="52">
        <f>IFERROR(INDEX(January!$AJ:$AJ,MATCH($A87,January!$A:$A,0)),0)+IFERROR(INDEX(February!$AG:$AG,MATCH($A87,February!$A:$A,0)),0)+IFERROR(INDEX(March!$AJ:$AJ,MATCH($A87,March!$A:$A,0)),0)+IFERROR(INDEX(April!$AI:$AI,MATCH($A87,April!$A:$A,0)),0)+IFERROR(INDEX(May!$AJ:$AJ,MATCH($A87,May!$A:$A,0)),0)+IFERROR(INDEX(June!$AI:$AI,MATCH($A87,June!$A:$A,0)),0)+IFERROR(INDEX(July!$AJ:$AJ,MATCH($A87,July!$A:$A,0)),0)+IFERROR(INDEX(August!$AJ:$AJ,MATCH($A87,August!$A:$A,0)),0)+IFERROR(INDEX(September!$AI:$AI,MATCH($A87,September!$A:$A,0)),0)+IFERROR(INDEX(October!$AJ:$AJ,MATCH($A87,October!$A:$A,0)),0)+IFERROR(INDEX(November!$AI:$AI,MATCH($A87,November!$A:$A,0)),0)+IFERROR(INDEX(December!$AJ:$AJ,MATCH($A87,December!$A:$A,0)),0)</f>
        <v>78</v>
      </c>
      <c r="W87" s="53">
        <f>IFERROR(INDEX(January!$AO:$AO,MATCH($A87,January!$A:$A,0)),0)+IFERROR(INDEX(February!$AL:$AL,MATCH($A87,February!$A:$A,0)),0)+IFERROR(INDEX(March!$AO:$AO,MATCH($A87,March!$A:$A,0)),0)+IFERROR(INDEX(April!$AN:$AN,MATCH($A87,April!$A:$A,0)),0)+IFERROR(INDEX(May!$AO:$AO,MATCH($A87,May!$A:$A,0)),0)+IFERROR(INDEX(June!$AN:$AN,MATCH($A87,June!$A:$A,0)),0)+IFERROR(INDEX(July!$AO:$AO,MATCH($A87,July!$A:$A,0)),0)+IFERROR(INDEX(August!$AO:$AO,MATCH($A87,August!$A:$A,0)),0)+IFERROR(INDEX(September!$AN:$AN,MATCH($A87,September!$A:$A,0)),0)+IFERROR(INDEX(October!$AO:$AO,MATCH($A87,October!$A:$A,0)),0)+IFERROR(INDEX(November!$AN:$AN,MATCH($A87,November!$A:$A,0)),0)+IFERROR(INDEX(December!$AO:$AO,MATCH($A87,December!$A:$A,0)),0)</f>
        <v>23</v>
      </c>
      <c r="X87" s="53">
        <f>W87/2</f>
        <v>11.5</v>
      </c>
      <c r="Y87" s="53">
        <f>(IFERROR(INDEX(January!$AL:$AL,MATCH($A87,January!$A:$A,0)),0)+IFERROR(INDEX(February!$AI:$AI,MATCH($A87,February!$A:$A,0)),0)+IFERROR(INDEX(March!$AL:$AL,MATCH($A87,March!$A:$A,0)),0)+IFERROR(INDEX(April!$AK:$AK,MATCH($A87,April!$A:$A,0)),0)+IFERROR(INDEX(May!$AL:$AL,MATCH($A87,May!$A:$A,0)),0)+IFERROR(INDEX(June!$AK:$AK,MATCH($A87,June!$A:$A,0)),0)+IFERROR(INDEX(July!$AL:$AL,MATCH($A87,July!$A:$A,0)),0)+IFERROR(INDEX(August!$AL:$AL,MATCH($A87,August!$A:$A,0)),0)+IFERROR(INDEX(September!$AK:$AK,MATCH($A87,September!$A:$A,0)),0)+IFERROR(INDEX(October!$AL:$AL,MATCH($A87,October!$A:$A,0)),0)+IFERROR(INDEX(November!$AK:$AK,MATCH($A87,November!$A:$A,0)),0)+IFERROR(INDEX(December!$AL:$AL,MATCH($A87,December!$A:$A,0)),0))*0.5</f>
        <v>5.5</v>
      </c>
      <c r="Z87" s="54">
        <f>IFERROR(INDEX(January!$AK:$AK,MATCH($A87,January!$A:$A,0)),0)+IFERROR(INDEX(February!$AH:$AH,MATCH($A87,February!$A:$A,0)),0)+IFERROR(INDEX(March!$AK:$AK,MATCH($A87,March!$A:$A,0)),0)+IFERROR(INDEX(April!$AJ:$AJ,MATCH($A87,April!$A:$A,0)),0)+IFERROR(INDEX(May!$AK:$AK,MATCH($A87,May!$A:$A,0)),0)+IFERROR(INDEX(June!$AJ:$AJ,MATCH($A87,June!$A:$A,0)),0)+IFERROR(INDEX(July!$AK:$AK,MATCH($A87,July!$A:$A,0)),0)+IFERROR(INDEX(August!$AK:$AK,MATCH($A87,August!$A:$A,0)),0)+IFERROR(INDEX(September!$AJ:$AJ,MATCH($A87,September!$A:$A,0)),0)+IFERROR(INDEX(October!$AK:$AK,MATCH($A87,October!$A:$A,0)),0)+IFERROR(INDEX(November!$AJ:$AJ,MATCH($A87,November!$A:$A,0)),0)+IFERROR(INDEX(December!$AK:$AK,MATCH($A87,December!$A:$A,0)),0)</f>
        <v>12</v>
      </c>
      <c r="AA87" s="51">
        <f>Y87+Z87</f>
        <v>17.5</v>
      </c>
      <c r="AB87" s="55"/>
      <c r="AC87" s="56">
        <f>AA87+IF(AB87="",0,AB87)</f>
        <v>17.5</v>
      </c>
      <c r="AD87" s="57"/>
      <c r="AE87" s="58">
        <f>AC87-IF(AD87="",0,AD87)</f>
        <v>17.5</v>
      </c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</row>
    <row r="88" spans="1:49" ht="22" customHeight="1" x14ac:dyDescent="0.35">
      <c r="A88" s="8" t="s">
        <v>197</v>
      </c>
      <c r="B88" s="8" t="s">
        <v>198</v>
      </c>
      <c r="C88" s="8" t="s">
        <v>194</v>
      </c>
      <c r="D88" s="11">
        <v>15</v>
      </c>
      <c r="E88" s="10">
        <v>21</v>
      </c>
      <c r="F88" s="10">
        <v>23</v>
      </c>
      <c r="G88" s="11">
        <v>7</v>
      </c>
      <c r="H88" s="11">
        <v>17</v>
      </c>
      <c r="I88" s="10">
        <v>22</v>
      </c>
      <c r="J88" s="10">
        <v>20</v>
      </c>
      <c r="K88" s="10">
        <v>22</v>
      </c>
      <c r="L88" s="10">
        <v>23</v>
      </c>
      <c r="M88" s="10">
        <v>26</v>
      </c>
      <c r="N88" s="10">
        <v>22</v>
      </c>
      <c r="O88" s="9">
        <v>0</v>
      </c>
      <c r="P88" s="8">
        <f>IFERROR(INDEX(January!$AI:$AI,MATCH($A88,January!$A:$A,0)),0)+IFERROR(INDEX(February!$AF:$AF,MATCH($A88,February!$A:$A,0)),0)+IFERROR(INDEX(March!$AI:$AI,MATCH($A88,March!$A:$A,0)),0)+IFERROR(INDEX(April!$AH:$AH,MATCH($A88,April!$A:$A,0)),0)+IFERROR(INDEX(May!$AI:$AI,MATCH($A88,May!$A:$A,0)),0)+IFERROR(INDEX(June!$AH:$AH,MATCH($A88,June!$A:$A,0)),0)+IFERROR(INDEX(July!$AI:$AI,MATCH($A88,July!$A:$A,0)),0)+IFERROR(INDEX(August!$AI:$AI,MATCH($A88,August!$A:$A,0)),0)+IFERROR(INDEX(September!$AH:$AH,MATCH($A88,September!$A:$A,0)),0)+IFERROR(INDEX(October!$AI:$AI,MATCH($A88,October!$A:$A,0)),0)+IFERROR(INDEX(November!$AH:$AH,MATCH($A88,November!$A:$A,0)),0)+IFERROR(INDEX(December!$AI:$AI,MATCH($A88,December!$A:$A,0)),0)</f>
        <v>197</v>
      </c>
      <c r="Q88" s="8">
        <f>IFERROR(INDEX(January!$AJ:$AJ,MATCH($A88,January!$A:$A,0)),0)+IFERROR(INDEX(February!$AG:$AG,MATCH($A88,February!$A:$A,0)),0)+IFERROR(INDEX(March!$AJ:$AJ,MATCH($A88,March!$A:$A,0)),0)+IFERROR(INDEX(April!$AI:$AI,MATCH($A88,April!$A:$A,0)),0)+IFERROR(INDEX(May!$AJ:$AJ,MATCH($A88,May!$A:$A,0)),0)+IFERROR(INDEX(June!$AI:$AI,MATCH($A88,June!$A:$A,0)),0)+IFERROR(INDEX(July!$AJ:$AJ,MATCH($A88,July!$A:$A,0)),0)+IFERROR(INDEX(August!$AJ:$AJ,MATCH($A88,August!$A:$A,0)),0)+IFERROR(INDEX(September!$AI:$AI,MATCH($A88,September!$A:$A,0)),0)+IFERROR(INDEX(October!$AJ:$AJ,MATCH($A88,October!$A:$A,0)),0)+IFERROR(INDEX(November!$AI:$AI,MATCH($A88,November!$A:$A,0)),0)+IFERROR(INDEX(December!$AJ:$AJ,MATCH($A88,December!$A:$A,0)),0)</f>
        <v>64</v>
      </c>
      <c r="R88" s="8">
        <f>IFERROR(INDEX(January!$AK:$AK,MATCH($A88,January!$A:$A,0)),0)+IFERROR(INDEX(February!$AH:$AH,MATCH($A88,February!$A:$A,0)),0)+IFERROR(INDEX(March!$AK:$AK,MATCH($A88,March!$A:$A,0)),0)+IFERROR(INDEX(April!$AJ:$AJ,MATCH($A88,April!$A:$A,0)),0)+IFERROR(INDEX(May!$AK:$AK,MATCH($A88,May!$A:$A,0)),0)+IFERROR(INDEX(June!$AJ:$AJ,MATCH($A88,June!$A:$A,0)),0)+IFERROR(INDEX(July!$AK:$AK,MATCH($A88,July!$A:$A,0)),0)+IFERROR(INDEX(August!$AK:$AK,MATCH($A88,August!$A:$A,0)),0)+IFERROR(INDEX(September!$AJ:$AJ,MATCH($A88,September!$A:$A,0)),0)+IFERROR(INDEX(October!$AK:$AK,MATCH($A88,October!$A:$A,0)),0)+IFERROR(INDEX(November!$AJ:$AJ,MATCH($A88,November!$A:$A,0)),0)+IFERROR(INDEX(December!$AK:$AK,MATCH($A88,December!$A:$A,0)),0)</f>
        <v>2</v>
      </c>
      <c r="S88" s="36">
        <f>IF((P88+Q88)=0,"",P88/(P88+Q88))</f>
        <v>0.75478927203065138</v>
      </c>
      <c r="T88" s="38"/>
      <c r="U88" s="51">
        <f>IFERROR(INDEX(January!$AQ:$AQ,MATCH($A88,January!$A:$A,0)),0)+IFERROR(INDEX(February!$AN:$AN,MATCH($A88,February!$A:$A,0)),0)+IFERROR(INDEX(March!$AQ:$AQ,MATCH($A88,March!$A:$A,0)),0)+IFERROR(INDEX(April!$AP:$AP,MATCH($A88,April!$A:$A,0)),0)+IFERROR(INDEX(May!$AQ:$AQ,MATCH($A88,May!$A:$A,0)),0)+IFERROR(INDEX(June!$AP:$AP,MATCH($A88,June!$A:$A,0)),0)+IFERROR(INDEX(July!$AQ:$AQ,MATCH($A88,July!$A:$A,0)),0)+IFERROR(INDEX(August!$AQ:$AQ,MATCH($A88,August!$A:$A,0)),0)+IFERROR(INDEX(September!$AP:$AP,MATCH($A88,September!$A:$A,0)),0)+IFERROR(INDEX(October!$AQ:$AQ,MATCH($A88,October!$A:$A,0)),0)+IFERROR(INDEX(November!$AP:$AP,MATCH($A88,November!$A:$A,0)),0)+IFERROR(INDEX(December!$AQ:$AQ,MATCH($A88,December!$A:$A,0)),0)</f>
        <v>198.5</v>
      </c>
      <c r="V88" s="52">
        <f>IFERROR(INDEX(January!$AJ:$AJ,MATCH($A88,January!$A:$A,0)),0)+IFERROR(INDEX(February!$AG:$AG,MATCH($A88,February!$A:$A,0)),0)+IFERROR(INDEX(March!$AJ:$AJ,MATCH($A88,March!$A:$A,0)),0)+IFERROR(INDEX(April!$AI:$AI,MATCH($A88,April!$A:$A,0)),0)+IFERROR(INDEX(May!$AJ:$AJ,MATCH($A88,May!$A:$A,0)),0)+IFERROR(INDEX(June!$AI:$AI,MATCH($A88,June!$A:$A,0)),0)+IFERROR(INDEX(July!$AJ:$AJ,MATCH($A88,July!$A:$A,0)),0)+IFERROR(INDEX(August!$AJ:$AJ,MATCH($A88,August!$A:$A,0)),0)+IFERROR(INDEX(September!$AI:$AI,MATCH($A88,September!$A:$A,0)),0)+IFERROR(INDEX(October!$AJ:$AJ,MATCH($A88,October!$A:$A,0)),0)+IFERROR(INDEX(November!$AI:$AI,MATCH($A88,November!$A:$A,0)),0)+IFERROR(INDEX(December!$AJ:$AJ,MATCH($A88,December!$A:$A,0)),0)</f>
        <v>64</v>
      </c>
      <c r="W88" s="53">
        <f>IFERROR(INDEX(January!$AO:$AO,MATCH($A88,January!$A:$A,0)),0)+IFERROR(INDEX(February!$AL:$AL,MATCH($A88,February!$A:$A,0)),0)+IFERROR(INDEX(March!$AO:$AO,MATCH($A88,March!$A:$A,0)),0)+IFERROR(INDEX(April!$AN:$AN,MATCH($A88,April!$A:$A,0)),0)+IFERROR(INDEX(May!$AO:$AO,MATCH($A88,May!$A:$A,0)),0)+IFERROR(INDEX(June!$AN:$AN,MATCH($A88,June!$A:$A,0)),0)+IFERROR(INDEX(July!$AO:$AO,MATCH($A88,July!$A:$A,0)),0)+IFERROR(INDEX(August!$AO:$AO,MATCH($A88,August!$A:$A,0)),0)+IFERROR(INDEX(September!$AN:$AN,MATCH($A88,September!$A:$A,0)),0)+IFERROR(INDEX(October!$AO:$AO,MATCH($A88,October!$A:$A,0)),0)+IFERROR(INDEX(November!$AN:$AN,MATCH($A88,November!$A:$A,0)),0)+IFERROR(INDEX(December!$AO:$AO,MATCH($A88,December!$A:$A,0)),0)</f>
        <v>20</v>
      </c>
      <c r="X88" s="53">
        <f>W88/2</f>
        <v>10</v>
      </c>
      <c r="Y88" s="53">
        <f>(IFERROR(INDEX(January!$AL:$AL,MATCH($A88,January!$A:$A,0)),0)+IFERROR(INDEX(February!$AI:$AI,MATCH($A88,February!$A:$A,0)),0)+IFERROR(INDEX(March!$AL:$AL,MATCH($A88,March!$A:$A,0)),0)+IFERROR(INDEX(April!$AK:$AK,MATCH($A88,April!$A:$A,0)),0)+IFERROR(INDEX(May!$AL:$AL,MATCH($A88,May!$A:$A,0)),0)+IFERROR(INDEX(June!$AK:$AK,MATCH($A88,June!$A:$A,0)),0)+IFERROR(INDEX(July!$AL:$AL,MATCH($A88,July!$A:$A,0)),0)+IFERROR(INDEX(August!$AL:$AL,MATCH($A88,August!$A:$A,0)),0)+IFERROR(INDEX(September!$AK:$AK,MATCH($A88,September!$A:$A,0)),0)+IFERROR(INDEX(October!$AL:$AL,MATCH($A88,October!$A:$A,0)),0)+IFERROR(INDEX(November!$AK:$AK,MATCH($A88,November!$A:$A,0)),0)+IFERROR(INDEX(December!$AL:$AL,MATCH($A88,December!$A:$A,0)),0))*0.5</f>
        <v>9.5</v>
      </c>
      <c r="Z88" s="54">
        <f>IFERROR(INDEX(January!$AK:$AK,MATCH($A88,January!$A:$A,0)),0)+IFERROR(INDEX(February!$AH:$AH,MATCH($A88,February!$A:$A,0)),0)+IFERROR(INDEX(March!$AK:$AK,MATCH($A88,March!$A:$A,0)),0)+IFERROR(INDEX(April!$AJ:$AJ,MATCH($A88,April!$A:$A,0)),0)+IFERROR(INDEX(May!$AK:$AK,MATCH($A88,May!$A:$A,0)),0)+IFERROR(INDEX(June!$AJ:$AJ,MATCH($A88,June!$A:$A,0)),0)+IFERROR(INDEX(July!$AK:$AK,MATCH($A88,July!$A:$A,0)),0)+IFERROR(INDEX(August!$AK:$AK,MATCH($A88,August!$A:$A,0)),0)+IFERROR(INDEX(September!$AJ:$AJ,MATCH($A88,September!$A:$A,0)),0)+IFERROR(INDEX(October!$AK:$AK,MATCH($A88,October!$A:$A,0)),0)+IFERROR(INDEX(November!$AJ:$AJ,MATCH($A88,November!$A:$A,0)),0)+IFERROR(INDEX(December!$AK:$AK,MATCH($A88,December!$A:$A,0)),0)</f>
        <v>2</v>
      </c>
      <c r="AA88" s="51">
        <f>Y88+Z88</f>
        <v>11.5</v>
      </c>
      <c r="AB88" s="55"/>
      <c r="AC88" s="56">
        <f>AA88+IF(AB88="",0,AB88)</f>
        <v>11.5</v>
      </c>
      <c r="AD88" s="57"/>
      <c r="AE88" s="58">
        <f>AC88-IF(AD88="",0,AD88)</f>
        <v>11.5</v>
      </c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</row>
    <row r="89" spans="1:49" ht="22" customHeight="1" x14ac:dyDescent="0.35">
      <c r="A89" s="8" t="s">
        <v>199</v>
      </c>
      <c r="B89" s="8" t="s">
        <v>200</v>
      </c>
      <c r="C89" s="8" t="s">
        <v>194</v>
      </c>
      <c r="D89" s="10">
        <v>25</v>
      </c>
      <c r="E89" s="10">
        <v>21</v>
      </c>
      <c r="F89" s="11">
        <v>13</v>
      </c>
      <c r="G89" s="11">
        <v>18</v>
      </c>
      <c r="H89" s="10">
        <v>22</v>
      </c>
      <c r="I89" s="10">
        <v>22</v>
      </c>
      <c r="J89" s="10">
        <v>23</v>
      </c>
      <c r="K89" s="10">
        <v>21</v>
      </c>
      <c r="L89" s="10">
        <v>22</v>
      </c>
      <c r="M89" s="11">
        <v>16</v>
      </c>
      <c r="N89" s="11">
        <v>16</v>
      </c>
      <c r="O89" s="10">
        <v>25</v>
      </c>
      <c r="P89" s="8">
        <f>IFERROR(INDEX(January!$AI:$AI,MATCH($A89,January!$A:$A,0)),0)+IFERROR(INDEX(February!$AF:$AF,MATCH($A89,February!$A:$A,0)),0)+IFERROR(INDEX(March!$AI:$AI,MATCH($A89,March!$A:$A,0)),0)+IFERROR(INDEX(April!$AH:$AH,MATCH($A89,April!$A:$A,0)),0)+IFERROR(INDEX(May!$AI:$AI,MATCH($A89,May!$A:$A,0)),0)+IFERROR(INDEX(June!$AH:$AH,MATCH($A89,June!$A:$A,0)),0)+IFERROR(INDEX(July!$AI:$AI,MATCH($A89,July!$A:$A,0)),0)+IFERROR(INDEX(August!$AI:$AI,MATCH($A89,August!$A:$A,0)),0)+IFERROR(INDEX(September!$AH:$AH,MATCH($A89,September!$A:$A,0)),0)+IFERROR(INDEX(October!$AI:$AI,MATCH($A89,October!$A:$A,0)),0)+IFERROR(INDEX(November!$AH:$AH,MATCH($A89,November!$A:$A,0)),0)+IFERROR(INDEX(December!$AI:$AI,MATCH($A89,December!$A:$A,0)),0)</f>
        <v>220</v>
      </c>
      <c r="Q89" s="8">
        <f>IFERROR(INDEX(January!$AJ:$AJ,MATCH($A89,January!$A:$A,0)),0)+IFERROR(INDEX(February!$AG:$AG,MATCH($A89,February!$A:$A,0)),0)+IFERROR(INDEX(March!$AJ:$AJ,MATCH($A89,March!$A:$A,0)),0)+IFERROR(INDEX(April!$AI:$AI,MATCH($A89,April!$A:$A,0)),0)+IFERROR(INDEX(May!$AJ:$AJ,MATCH($A89,May!$A:$A,0)),0)+IFERROR(INDEX(June!$AI:$AI,MATCH($A89,June!$A:$A,0)),0)+IFERROR(INDEX(July!$AJ:$AJ,MATCH($A89,July!$A:$A,0)),0)+IFERROR(INDEX(August!$AJ:$AJ,MATCH($A89,August!$A:$A,0)),0)+IFERROR(INDEX(September!$AI:$AI,MATCH($A89,September!$A:$A,0)),0)+IFERROR(INDEX(October!$AJ:$AJ,MATCH($A89,October!$A:$A,0)),0)+IFERROR(INDEX(November!$AI:$AI,MATCH($A89,November!$A:$A,0)),0)+IFERROR(INDEX(December!$AJ:$AJ,MATCH($A89,December!$A:$A,0)),0)</f>
        <v>41</v>
      </c>
      <c r="R89" s="8">
        <f>IFERROR(INDEX(January!$AK:$AK,MATCH($A89,January!$A:$A,0)),0)+IFERROR(INDEX(February!$AH:$AH,MATCH($A89,February!$A:$A,0)),0)+IFERROR(INDEX(March!$AK:$AK,MATCH($A89,March!$A:$A,0)),0)+IFERROR(INDEX(April!$AJ:$AJ,MATCH($A89,April!$A:$A,0)),0)+IFERROR(INDEX(May!$AK:$AK,MATCH($A89,May!$A:$A,0)),0)+IFERROR(INDEX(June!$AJ:$AJ,MATCH($A89,June!$A:$A,0)),0)+IFERROR(INDEX(July!$AK:$AK,MATCH($A89,July!$A:$A,0)),0)+IFERROR(INDEX(August!$AK:$AK,MATCH($A89,August!$A:$A,0)),0)+IFERROR(INDEX(September!$AJ:$AJ,MATCH($A89,September!$A:$A,0)),0)+IFERROR(INDEX(October!$AK:$AK,MATCH($A89,October!$A:$A,0)),0)+IFERROR(INDEX(November!$AJ:$AJ,MATCH($A89,November!$A:$A,0)),0)+IFERROR(INDEX(December!$AK:$AK,MATCH($A89,December!$A:$A,0)),0)</f>
        <v>19</v>
      </c>
      <c r="S89" s="35">
        <f>IF((P89+Q89)=0,"",P89/(P89+Q89))</f>
        <v>0.84291187739463602</v>
      </c>
      <c r="T89" s="38"/>
      <c r="U89" s="51">
        <f>IFERROR(INDEX(January!$AQ:$AQ,MATCH($A89,January!$A:$A,0)),0)+IFERROR(INDEX(February!$AN:$AN,MATCH($A89,February!$A:$A,0)),0)+IFERROR(INDEX(March!$AQ:$AQ,MATCH($A89,March!$A:$A,0)),0)+IFERROR(INDEX(April!$AP:$AP,MATCH($A89,April!$A:$A,0)),0)+IFERROR(INDEX(May!$AQ:$AQ,MATCH($A89,May!$A:$A,0)),0)+IFERROR(INDEX(June!$AP:$AP,MATCH($A89,June!$A:$A,0)),0)+IFERROR(INDEX(July!$AQ:$AQ,MATCH($A89,July!$A:$A,0)),0)+IFERROR(INDEX(August!$AQ:$AQ,MATCH($A89,August!$A:$A,0)),0)+IFERROR(INDEX(September!$AP:$AP,MATCH($A89,September!$A:$A,0)),0)+IFERROR(INDEX(October!$AQ:$AQ,MATCH($A89,October!$A:$A,0)),0)+IFERROR(INDEX(November!$AP:$AP,MATCH($A89,November!$A:$A,0)),0)+IFERROR(INDEX(December!$AQ:$AQ,MATCH($A89,December!$A:$A,0)),0)</f>
        <v>223.5</v>
      </c>
      <c r="V89" s="52">
        <f>IFERROR(INDEX(January!$AJ:$AJ,MATCH($A89,January!$A:$A,0)),0)+IFERROR(INDEX(February!$AG:$AG,MATCH($A89,February!$A:$A,0)),0)+IFERROR(INDEX(March!$AJ:$AJ,MATCH($A89,March!$A:$A,0)),0)+IFERROR(INDEX(April!$AI:$AI,MATCH($A89,April!$A:$A,0)),0)+IFERROR(INDEX(May!$AJ:$AJ,MATCH($A89,May!$A:$A,0)),0)+IFERROR(INDEX(June!$AI:$AI,MATCH($A89,June!$A:$A,0)),0)+IFERROR(INDEX(July!$AJ:$AJ,MATCH($A89,July!$A:$A,0)),0)+IFERROR(INDEX(August!$AJ:$AJ,MATCH($A89,August!$A:$A,0)),0)+IFERROR(INDEX(September!$AI:$AI,MATCH($A89,September!$A:$A,0)),0)+IFERROR(INDEX(October!$AJ:$AJ,MATCH($A89,October!$A:$A,0)),0)+IFERROR(INDEX(November!$AI:$AI,MATCH($A89,November!$A:$A,0)),0)+IFERROR(INDEX(December!$AJ:$AJ,MATCH($A89,December!$A:$A,0)),0)</f>
        <v>41</v>
      </c>
      <c r="W89" s="53">
        <f>IFERROR(INDEX(January!$AO:$AO,MATCH($A89,January!$A:$A,0)),0)+IFERROR(INDEX(February!$AL:$AL,MATCH($A89,February!$A:$A,0)),0)+IFERROR(INDEX(March!$AO:$AO,MATCH($A89,March!$A:$A,0)),0)+IFERROR(INDEX(April!$AN:$AN,MATCH($A89,April!$A:$A,0)),0)+IFERROR(INDEX(May!$AO:$AO,MATCH($A89,May!$A:$A,0)),0)+IFERROR(INDEX(June!$AN:$AN,MATCH($A89,June!$A:$A,0)),0)+IFERROR(INDEX(July!$AO:$AO,MATCH($A89,July!$A:$A,0)),0)+IFERROR(INDEX(August!$AO:$AO,MATCH($A89,August!$A:$A,0)),0)+IFERROR(INDEX(September!$AN:$AN,MATCH($A89,September!$A:$A,0)),0)+IFERROR(INDEX(October!$AO:$AO,MATCH($A89,October!$A:$A,0)),0)+IFERROR(INDEX(November!$AN:$AN,MATCH($A89,November!$A:$A,0)),0)+IFERROR(INDEX(December!$AO:$AO,MATCH($A89,December!$A:$A,0)),0)</f>
        <v>36</v>
      </c>
      <c r="X89" s="53">
        <f>W89/2</f>
        <v>18</v>
      </c>
      <c r="Y89" s="53">
        <f>(IFERROR(INDEX(January!$AL:$AL,MATCH($A89,January!$A:$A,0)),0)+IFERROR(INDEX(February!$AI:$AI,MATCH($A89,February!$A:$A,0)),0)+IFERROR(INDEX(March!$AL:$AL,MATCH($A89,March!$A:$A,0)),0)+IFERROR(INDEX(April!$AK:$AK,MATCH($A89,April!$A:$A,0)),0)+IFERROR(INDEX(May!$AL:$AL,MATCH($A89,May!$A:$A,0)),0)+IFERROR(INDEX(June!$AK:$AK,MATCH($A89,June!$A:$A,0)),0)+IFERROR(INDEX(July!$AL:$AL,MATCH($A89,July!$A:$A,0)),0)+IFERROR(INDEX(August!$AL:$AL,MATCH($A89,August!$A:$A,0)),0)+IFERROR(INDEX(September!$AK:$AK,MATCH($A89,September!$A:$A,0)),0)+IFERROR(INDEX(October!$AL:$AL,MATCH($A89,October!$A:$A,0)),0)+IFERROR(INDEX(November!$AK:$AK,MATCH($A89,November!$A:$A,0)),0)+IFERROR(INDEX(December!$AL:$AL,MATCH($A89,December!$A:$A,0)),0))*0.5</f>
        <v>2.5</v>
      </c>
      <c r="Z89" s="54">
        <f>IFERROR(INDEX(January!$AK:$AK,MATCH($A89,January!$A:$A,0)),0)+IFERROR(INDEX(February!$AH:$AH,MATCH($A89,February!$A:$A,0)),0)+IFERROR(INDEX(March!$AK:$AK,MATCH($A89,March!$A:$A,0)),0)+IFERROR(INDEX(April!$AJ:$AJ,MATCH($A89,April!$A:$A,0)),0)+IFERROR(INDEX(May!$AK:$AK,MATCH($A89,May!$A:$A,0)),0)+IFERROR(INDEX(June!$AJ:$AJ,MATCH($A89,June!$A:$A,0)),0)+IFERROR(INDEX(July!$AK:$AK,MATCH($A89,July!$A:$A,0)),0)+IFERROR(INDEX(August!$AK:$AK,MATCH($A89,August!$A:$A,0)),0)+IFERROR(INDEX(September!$AJ:$AJ,MATCH($A89,September!$A:$A,0)),0)+IFERROR(INDEX(October!$AK:$AK,MATCH($A89,October!$A:$A,0)),0)+IFERROR(INDEX(November!$AJ:$AJ,MATCH($A89,November!$A:$A,0)),0)+IFERROR(INDEX(December!$AK:$AK,MATCH($A89,December!$A:$A,0)),0)</f>
        <v>19</v>
      </c>
      <c r="AA89" s="51">
        <f>Y89+Z89</f>
        <v>21.5</v>
      </c>
      <c r="AB89" s="55"/>
      <c r="AC89" s="56">
        <f>AA89+IF(AB89="",0,AB89)</f>
        <v>21.5</v>
      </c>
      <c r="AD89" s="57"/>
      <c r="AE89" s="58">
        <f>AC89-IF(AD89="",0,AD89)</f>
        <v>21.5</v>
      </c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</row>
    <row r="90" spans="1:49" ht="22" customHeight="1" x14ac:dyDescent="0.35">
      <c r="A90" s="8" t="s">
        <v>201</v>
      </c>
      <c r="B90" s="8" t="s">
        <v>202</v>
      </c>
      <c r="C90" s="8" t="s">
        <v>194</v>
      </c>
      <c r="D90" s="11">
        <v>8</v>
      </c>
      <c r="E90" s="11">
        <v>18</v>
      </c>
      <c r="F90" s="11">
        <v>17</v>
      </c>
      <c r="G90" s="11">
        <v>11</v>
      </c>
      <c r="H90" s="11">
        <v>4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11">
        <v>15</v>
      </c>
      <c r="O90" s="10">
        <v>20</v>
      </c>
      <c r="P90" s="8">
        <f>IFERROR(INDEX(January!$AI:$AI,MATCH($A90,January!$A:$A,0)),0)+IFERROR(INDEX(February!$AF:$AF,MATCH($A90,February!$A:$A,0)),0)+IFERROR(INDEX(March!$AI:$AI,MATCH($A90,March!$A:$A,0)),0)+IFERROR(INDEX(April!$AH:$AH,MATCH($A90,April!$A:$A,0)),0)+IFERROR(INDEX(May!$AI:$AI,MATCH($A90,May!$A:$A,0)),0)+IFERROR(INDEX(June!$AH:$AH,MATCH($A90,June!$A:$A,0)),0)+IFERROR(INDEX(July!$AI:$AI,MATCH($A90,July!$A:$A,0)),0)+IFERROR(INDEX(August!$AI:$AI,MATCH($A90,August!$A:$A,0)),0)+IFERROR(INDEX(September!$AH:$AH,MATCH($A90,September!$A:$A,0)),0)+IFERROR(INDEX(October!$AI:$AI,MATCH($A90,October!$A:$A,0)),0)+IFERROR(INDEX(November!$AH:$AH,MATCH($A90,November!$A:$A,0)),0)+IFERROR(INDEX(December!$AI:$AI,MATCH($A90,December!$A:$A,0)),0)</f>
        <v>82</v>
      </c>
      <c r="Q90" s="8">
        <f>IFERROR(INDEX(January!$AJ:$AJ,MATCH($A90,January!$A:$A,0)),0)+IFERROR(INDEX(February!$AG:$AG,MATCH($A90,February!$A:$A,0)),0)+IFERROR(INDEX(March!$AJ:$AJ,MATCH($A90,March!$A:$A,0)),0)+IFERROR(INDEX(April!$AI:$AI,MATCH($A90,April!$A:$A,0)),0)+IFERROR(INDEX(May!$AJ:$AJ,MATCH($A90,May!$A:$A,0)),0)+IFERROR(INDEX(June!$AI:$AI,MATCH($A90,June!$A:$A,0)),0)+IFERROR(INDEX(July!$AJ:$AJ,MATCH($A90,July!$A:$A,0)),0)+IFERROR(INDEX(August!$AJ:$AJ,MATCH($A90,August!$A:$A,0)),0)+IFERROR(INDEX(September!$AI:$AI,MATCH($A90,September!$A:$A,0)),0)+IFERROR(INDEX(October!$AJ:$AJ,MATCH($A90,October!$A:$A,0)),0)+IFERROR(INDEX(November!$AI:$AI,MATCH($A90,November!$A:$A,0)),0)+IFERROR(INDEX(December!$AJ:$AJ,MATCH($A90,December!$A:$A,0)),0)</f>
        <v>179</v>
      </c>
      <c r="R90" s="8">
        <f>IFERROR(INDEX(January!$AK:$AK,MATCH($A90,January!$A:$A,0)),0)+IFERROR(INDEX(February!$AH:$AH,MATCH($A90,February!$A:$A,0)),0)+IFERROR(INDEX(March!$AK:$AK,MATCH($A90,March!$A:$A,0)),0)+IFERROR(INDEX(April!$AJ:$AJ,MATCH($A90,April!$A:$A,0)),0)+IFERROR(INDEX(May!$AK:$AK,MATCH($A90,May!$A:$A,0)),0)+IFERROR(INDEX(June!$AJ:$AJ,MATCH($A90,June!$A:$A,0)),0)+IFERROR(INDEX(July!$AK:$AK,MATCH($A90,July!$A:$A,0)),0)+IFERROR(INDEX(August!$AK:$AK,MATCH($A90,August!$A:$A,0)),0)+IFERROR(INDEX(September!$AJ:$AJ,MATCH($A90,September!$A:$A,0)),0)+IFERROR(INDEX(October!$AK:$AK,MATCH($A90,October!$A:$A,0)),0)+IFERROR(INDEX(November!$AJ:$AJ,MATCH($A90,November!$A:$A,0)),0)+IFERROR(INDEX(December!$AK:$AK,MATCH($A90,December!$A:$A,0)),0)</f>
        <v>6</v>
      </c>
      <c r="S90" s="37">
        <f>IF((P90+Q90)=0,"",P90/(P90+Q90))</f>
        <v>0.31417624521072796</v>
      </c>
      <c r="T90" s="38"/>
      <c r="U90" s="51">
        <f>IFERROR(INDEX(January!$AQ:$AQ,MATCH($A90,January!$A:$A,0)),0)+IFERROR(INDEX(February!$AN:$AN,MATCH($A90,February!$A:$A,0)),0)+IFERROR(INDEX(March!$AQ:$AQ,MATCH($A90,March!$A:$A,0)),0)+IFERROR(INDEX(April!$AP:$AP,MATCH($A90,April!$A:$A,0)),0)+IFERROR(INDEX(May!$AQ:$AQ,MATCH($A90,May!$A:$A,0)),0)+IFERROR(INDEX(June!$AP:$AP,MATCH($A90,June!$A:$A,0)),0)+IFERROR(INDEX(July!$AQ:$AQ,MATCH($A90,July!$A:$A,0)),0)+IFERROR(INDEX(August!$AQ:$AQ,MATCH($A90,August!$A:$A,0)),0)+IFERROR(INDEX(September!$AP:$AP,MATCH($A90,September!$A:$A,0)),0)+IFERROR(INDEX(October!$AQ:$AQ,MATCH($A90,October!$A:$A,0)),0)+IFERROR(INDEX(November!$AP:$AP,MATCH($A90,November!$A:$A,0)),0)+IFERROR(INDEX(December!$AQ:$AQ,MATCH($A90,December!$A:$A,0)),0)</f>
        <v>85.5</v>
      </c>
      <c r="V90" s="52">
        <f>IFERROR(INDEX(January!$AJ:$AJ,MATCH($A90,January!$A:$A,0)),0)+IFERROR(INDEX(February!$AG:$AG,MATCH($A90,February!$A:$A,0)),0)+IFERROR(INDEX(March!$AJ:$AJ,MATCH($A90,March!$A:$A,0)),0)+IFERROR(INDEX(April!$AI:$AI,MATCH($A90,April!$A:$A,0)),0)+IFERROR(INDEX(May!$AJ:$AJ,MATCH($A90,May!$A:$A,0)),0)+IFERROR(INDEX(June!$AI:$AI,MATCH($A90,June!$A:$A,0)),0)+IFERROR(INDEX(July!$AJ:$AJ,MATCH($A90,July!$A:$A,0)),0)+IFERROR(INDEX(August!$AJ:$AJ,MATCH($A90,August!$A:$A,0)),0)+IFERROR(INDEX(September!$AI:$AI,MATCH($A90,September!$A:$A,0)),0)+IFERROR(INDEX(October!$AJ:$AJ,MATCH($A90,October!$A:$A,0)),0)+IFERROR(INDEX(November!$AI:$AI,MATCH($A90,November!$A:$A,0)),0)+IFERROR(INDEX(December!$AJ:$AJ,MATCH($A90,December!$A:$A,0)),0)</f>
        <v>179</v>
      </c>
      <c r="W90" s="53">
        <f>IFERROR(INDEX(January!$AO:$AO,MATCH($A90,January!$A:$A,0)),0)+IFERROR(INDEX(February!$AL:$AL,MATCH($A90,February!$A:$A,0)),0)+IFERROR(INDEX(March!$AO:$AO,MATCH($A90,March!$A:$A,0)),0)+IFERROR(INDEX(April!$AN:$AN,MATCH($A90,April!$A:$A,0)),0)+IFERROR(INDEX(May!$AO:$AO,MATCH($A90,May!$A:$A,0)),0)+IFERROR(INDEX(June!$AN:$AN,MATCH($A90,June!$A:$A,0)),0)+IFERROR(INDEX(July!$AO:$AO,MATCH($A90,July!$A:$A,0)),0)+IFERROR(INDEX(August!$AO:$AO,MATCH($A90,August!$A:$A,0)),0)+IFERROR(INDEX(September!$AN:$AN,MATCH($A90,September!$A:$A,0)),0)+IFERROR(INDEX(October!$AO:$AO,MATCH($A90,October!$A:$A,0)),0)+IFERROR(INDEX(November!$AN:$AN,MATCH($A90,November!$A:$A,0)),0)+IFERROR(INDEX(December!$AO:$AO,MATCH($A90,December!$A:$A,0)),0)</f>
        <v>10</v>
      </c>
      <c r="X90" s="53">
        <f>W90/2</f>
        <v>5</v>
      </c>
      <c r="Y90" s="53">
        <f>(IFERROR(INDEX(January!$AL:$AL,MATCH($A90,January!$A:$A,0)),0)+IFERROR(INDEX(February!$AI:$AI,MATCH($A90,February!$A:$A,0)),0)+IFERROR(INDEX(March!$AL:$AL,MATCH($A90,March!$A:$A,0)),0)+IFERROR(INDEX(April!$AK:$AK,MATCH($A90,April!$A:$A,0)),0)+IFERROR(INDEX(May!$AL:$AL,MATCH($A90,May!$A:$A,0)),0)+IFERROR(INDEX(June!$AK:$AK,MATCH($A90,June!$A:$A,0)),0)+IFERROR(INDEX(July!$AL:$AL,MATCH($A90,July!$A:$A,0)),0)+IFERROR(INDEX(August!$AL:$AL,MATCH($A90,August!$A:$A,0)),0)+IFERROR(INDEX(September!$AK:$AK,MATCH($A90,September!$A:$A,0)),0)+IFERROR(INDEX(October!$AL:$AL,MATCH($A90,October!$A:$A,0)),0)+IFERROR(INDEX(November!$AK:$AK,MATCH($A90,November!$A:$A,0)),0)+IFERROR(INDEX(December!$AL:$AL,MATCH($A90,December!$A:$A,0)),0))*0.5</f>
        <v>2.5</v>
      </c>
      <c r="Z90" s="54">
        <f>IFERROR(INDEX(January!$AK:$AK,MATCH($A90,January!$A:$A,0)),0)+IFERROR(INDEX(February!$AH:$AH,MATCH($A90,February!$A:$A,0)),0)+IFERROR(INDEX(March!$AK:$AK,MATCH($A90,March!$A:$A,0)),0)+IFERROR(INDEX(April!$AJ:$AJ,MATCH($A90,April!$A:$A,0)),0)+IFERROR(INDEX(May!$AK:$AK,MATCH($A90,May!$A:$A,0)),0)+IFERROR(INDEX(June!$AJ:$AJ,MATCH($A90,June!$A:$A,0)),0)+IFERROR(INDEX(July!$AK:$AK,MATCH($A90,July!$A:$A,0)),0)+IFERROR(INDEX(August!$AK:$AK,MATCH($A90,August!$A:$A,0)),0)+IFERROR(INDEX(September!$AJ:$AJ,MATCH($A90,September!$A:$A,0)),0)+IFERROR(INDEX(October!$AK:$AK,MATCH($A90,October!$A:$A,0)),0)+IFERROR(INDEX(November!$AJ:$AJ,MATCH($A90,November!$A:$A,0)),0)+IFERROR(INDEX(December!$AK:$AK,MATCH($A90,December!$A:$A,0)),0)</f>
        <v>6</v>
      </c>
      <c r="AA90" s="51">
        <f>Y90+Z90</f>
        <v>8.5</v>
      </c>
      <c r="AB90" s="55"/>
      <c r="AC90" s="56">
        <f>AA90+IF(AB90="",0,AB90)</f>
        <v>8.5</v>
      </c>
      <c r="AD90" s="57"/>
      <c r="AE90" s="58">
        <f>AC90-IF(AD90="",0,AD90)</f>
        <v>8.5</v>
      </c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</row>
    <row r="92" spans="1:49" ht="25" customHeight="1" x14ac:dyDescent="0.35">
      <c r="A92" s="64" t="s">
        <v>203</v>
      </c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</row>
    <row r="93" spans="1:49" ht="22" customHeight="1" x14ac:dyDescent="0.35">
      <c r="A93" s="8" t="s">
        <v>204</v>
      </c>
      <c r="B93" s="8" t="s">
        <v>205</v>
      </c>
      <c r="C93" s="8" t="s">
        <v>206</v>
      </c>
      <c r="D93" s="10">
        <v>20</v>
      </c>
      <c r="E93" s="11">
        <v>18</v>
      </c>
      <c r="F93" s="11">
        <v>19</v>
      </c>
      <c r="G93" s="11">
        <v>8</v>
      </c>
      <c r="H93" s="11">
        <v>18</v>
      </c>
      <c r="I93" s="11">
        <v>18</v>
      </c>
      <c r="J93" s="11">
        <v>9</v>
      </c>
      <c r="K93" s="11">
        <v>18</v>
      </c>
      <c r="L93" s="10">
        <v>20</v>
      </c>
      <c r="M93" s="10">
        <v>24</v>
      </c>
      <c r="N93" s="10">
        <v>21</v>
      </c>
      <c r="O93" s="11">
        <v>8</v>
      </c>
      <c r="P93" s="8">
        <f>IFERROR(INDEX(January!$AI:$AI,MATCH($A93,January!$A:$A,0)),0)+IFERROR(INDEX(February!$AF:$AF,MATCH($A93,February!$A:$A,0)),0)+IFERROR(INDEX(March!$AI:$AI,MATCH($A93,March!$A:$A,0)),0)+IFERROR(INDEX(April!$AH:$AH,MATCH($A93,April!$A:$A,0)),0)+IFERROR(INDEX(May!$AI:$AI,MATCH($A93,May!$A:$A,0)),0)+IFERROR(INDEX(June!$AH:$AH,MATCH($A93,June!$A:$A,0)),0)+IFERROR(INDEX(July!$AI:$AI,MATCH($A93,July!$A:$A,0)),0)+IFERROR(INDEX(August!$AI:$AI,MATCH($A93,August!$A:$A,0)),0)+IFERROR(INDEX(September!$AH:$AH,MATCH($A93,September!$A:$A,0)),0)+IFERROR(INDEX(October!$AI:$AI,MATCH($A93,October!$A:$A,0)),0)+IFERROR(INDEX(November!$AH:$AH,MATCH($A93,November!$A:$A,0)),0)+IFERROR(INDEX(December!$AI:$AI,MATCH($A93,December!$A:$A,0)),0)</f>
        <v>195</v>
      </c>
      <c r="Q93" s="8">
        <f>IFERROR(INDEX(January!$AJ:$AJ,MATCH($A93,January!$A:$A,0)),0)+IFERROR(INDEX(February!$AG:$AG,MATCH($A93,February!$A:$A,0)),0)+IFERROR(INDEX(March!$AJ:$AJ,MATCH($A93,March!$A:$A,0)),0)+IFERROR(INDEX(April!$AI:$AI,MATCH($A93,April!$A:$A,0)),0)+IFERROR(INDEX(May!$AJ:$AJ,MATCH($A93,May!$A:$A,0)),0)+IFERROR(INDEX(June!$AI:$AI,MATCH($A93,June!$A:$A,0)),0)+IFERROR(INDEX(July!$AJ:$AJ,MATCH($A93,July!$A:$A,0)),0)+IFERROR(INDEX(August!$AJ:$AJ,MATCH($A93,August!$A:$A,0)),0)+IFERROR(INDEX(September!$AI:$AI,MATCH($A93,September!$A:$A,0)),0)+IFERROR(INDEX(October!$AJ:$AJ,MATCH($A93,October!$A:$A,0)),0)+IFERROR(INDEX(November!$AI:$AI,MATCH($A93,November!$A:$A,0)),0)+IFERROR(INDEX(December!$AJ:$AJ,MATCH($A93,December!$A:$A,0)),0)</f>
        <v>66</v>
      </c>
      <c r="R93" s="8">
        <f>IFERROR(INDEX(January!$AK:$AK,MATCH($A93,January!$A:$A,0)),0)+IFERROR(INDEX(February!$AH:$AH,MATCH($A93,February!$A:$A,0)),0)+IFERROR(INDEX(March!$AK:$AK,MATCH($A93,March!$A:$A,0)),0)+IFERROR(INDEX(April!$AJ:$AJ,MATCH($A93,April!$A:$A,0)),0)+IFERROR(INDEX(May!$AK:$AK,MATCH($A93,May!$A:$A,0)),0)+IFERROR(INDEX(June!$AJ:$AJ,MATCH($A93,June!$A:$A,0)),0)+IFERROR(INDEX(July!$AK:$AK,MATCH($A93,July!$A:$A,0)),0)+IFERROR(INDEX(August!$AK:$AK,MATCH($A93,August!$A:$A,0)),0)+IFERROR(INDEX(September!$AJ:$AJ,MATCH($A93,September!$A:$A,0)),0)+IFERROR(INDEX(October!$AK:$AK,MATCH($A93,October!$A:$A,0)),0)+IFERROR(INDEX(November!$AJ:$AJ,MATCH($A93,November!$A:$A,0)),0)+IFERROR(INDEX(December!$AK:$AK,MATCH($A93,December!$A:$A,0)),0)</f>
        <v>1</v>
      </c>
      <c r="S93" s="36">
        <f>IF((P93+Q93)=0,"",P93/(P93+Q93))</f>
        <v>0.74712643678160917</v>
      </c>
      <c r="T93" s="38"/>
      <c r="U93" s="51">
        <f>IFERROR(INDEX(January!$AQ:$AQ,MATCH($A93,January!$A:$A,0)),0)+IFERROR(INDEX(February!$AN:$AN,MATCH($A93,February!$A:$A,0)),0)+IFERROR(INDEX(March!$AQ:$AQ,MATCH($A93,March!$A:$A,0)),0)+IFERROR(INDEX(April!$AP:$AP,MATCH($A93,April!$A:$A,0)),0)+IFERROR(INDEX(May!$AQ:$AQ,MATCH($A93,May!$A:$A,0)),0)+IFERROR(INDEX(June!$AP:$AP,MATCH($A93,June!$A:$A,0)),0)+IFERROR(INDEX(July!$AQ:$AQ,MATCH($A93,July!$A:$A,0)),0)+IFERROR(INDEX(August!$AQ:$AQ,MATCH($A93,August!$A:$A,0)),0)+IFERROR(INDEX(September!$AP:$AP,MATCH($A93,September!$A:$A,0)),0)+IFERROR(INDEX(October!$AQ:$AQ,MATCH($A93,October!$A:$A,0)),0)+IFERROR(INDEX(November!$AP:$AP,MATCH($A93,November!$A:$A,0)),0)+IFERROR(INDEX(December!$AQ:$AQ,MATCH($A93,December!$A:$A,0)),0)</f>
        <v>183</v>
      </c>
      <c r="V93" s="52">
        <f>IFERROR(INDEX(January!$AJ:$AJ,MATCH($A93,January!$A:$A,0)),0)+IFERROR(INDEX(February!$AG:$AG,MATCH($A93,February!$A:$A,0)),0)+IFERROR(INDEX(March!$AJ:$AJ,MATCH($A93,March!$A:$A,0)),0)+IFERROR(INDEX(April!$AI:$AI,MATCH($A93,April!$A:$A,0)),0)+IFERROR(INDEX(May!$AJ:$AJ,MATCH($A93,May!$A:$A,0)),0)+IFERROR(INDEX(June!$AI:$AI,MATCH($A93,June!$A:$A,0)),0)+IFERROR(INDEX(July!$AJ:$AJ,MATCH($A93,July!$A:$A,0)),0)+IFERROR(INDEX(August!$AJ:$AJ,MATCH($A93,August!$A:$A,0)),0)+IFERROR(INDEX(September!$AI:$AI,MATCH($A93,September!$A:$A,0)),0)+IFERROR(INDEX(October!$AJ:$AJ,MATCH($A93,October!$A:$A,0)),0)+IFERROR(INDEX(November!$AI:$AI,MATCH($A93,November!$A:$A,0)),0)+IFERROR(INDEX(December!$AJ:$AJ,MATCH($A93,December!$A:$A,0)),0)</f>
        <v>66</v>
      </c>
      <c r="W93" s="53">
        <f>IFERROR(INDEX(January!$AO:$AO,MATCH($A93,January!$A:$A,0)),0)+IFERROR(INDEX(February!$AL:$AL,MATCH($A93,February!$A:$A,0)),0)+IFERROR(INDEX(March!$AO:$AO,MATCH($A93,March!$A:$A,0)),0)+IFERROR(INDEX(April!$AN:$AN,MATCH($A93,April!$A:$A,0)),0)+IFERROR(INDEX(May!$AO:$AO,MATCH($A93,May!$A:$A,0)),0)+IFERROR(INDEX(June!$AN:$AN,MATCH($A93,June!$A:$A,0)),0)+IFERROR(INDEX(July!$AO:$AO,MATCH($A93,July!$A:$A,0)),0)+IFERROR(INDEX(August!$AO:$AO,MATCH($A93,August!$A:$A,0)),0)+IFERROR(INDEX(September!$AN:$AN,MATCH($A93,September!$A:$A,0)),0)+IFERROR(INDEX(October!$AO:$AO,MATCH($A93,October!$A:$A,0)),0)+IFERROR(INDEX(November!$AN:$AN,MATCH($A93,November!$A:$A,0)),0)+IFERROR(INDEX(December!$AO:$AO,MATCH($A93,December!$A:$A,0)),0)</f>
        <v>31</v>
      </c>
      <c r="X93" s="53">
        <f>W93/2</f>
        <v>15.5</v>
      </c>
      <c r="Y93" s="53">
        <f>(IFERROR(INDEX(January!$AL:$AL,MATCH($A93,January!$A:$A,0)),0)+IFERROR(INDEX(February!$AI:$AI,MATCH($A93,February!$A:$A,0)),0)+IFERROR(INDEX(March!$AL:$AL,MATCH($A93,March!$A:$A,0)),0)+IFERROR(INDEX(April!$AK:$AK,MATCH($A93,April!$A:$A,0)),0)+IFERROR(INDEX(May!$AL:$AL,MATCH($A93,May!$A:$A,0)),0)+IFERROR(INDEX(June!$AK:$AK,MATCH($A93,June!$A:$A,0)),0)+IFERROR(INDEX(July!$AL:$AL,MATCH($A93,July!$A:$A,0)),0)+IFERROR(INDEX(August!$AL:$AL,MATCH($A93,August!$A:$A,0)),0)+IFERROR(INDEX(September!$AK:$AK,MATCH($A93,September!$A:$A,0)),0)+IFERROR(INDEX(October!$AL:$AL,MATCH($A93,October!$A:$A,0)),0)+IFERROR(INDEX(November!$AK:$AK,MATCH($A93,November!$A:$A,0)),0)+IFERROR(INDEX(December!$AL:$AL,MATCH($A93,December!$A:$A,0)),0))*0.5</f>
        <v>2.5</v>
      </c>
      <c r="Z93" s="54">
        <f>IFERROR(INDEX(January!$AK:$AK,MATCH($A93,January!$A:$A,0)),0)+IFERROR(INDEX(February!$AH:$AH,MATCH($A93,February!$A:$A,0)),0)+IFERROR(INDEX(March!$AK:$AK,MATCH($A93,March!$A:$A,0)),0)+IFERROR(INDEX(April!$AJ:$AJ,MATCH($A93,April!$A:$A,0)),0)+IFERROR(INDEX(May!$AK:$AK,MATCH($A93,May!$A:$A,0)),0)+IFERROR(INDEX(June!$AJ:$AJ,MATCH($A93,June!$A:$A,0)),0)+IFERROR(INDEX(July!$AK:$AK,MATCH($A93,July!$A:$A,0)),0)+IFERROR(INDEX(August!$AK:$AK,MATCH($A93,August!$A:$A,0)),0)+IFERROR(INDEX(September!$AJ:$AJ,MATCH($A93,September!$A:$A,0)),0)+IFERROR(INDEX(October!$AK:$AK,MATCH($A93,October!$A:$A,0)),0)+IFERROR(INDEX(November!$AJ:$AJ,MATCH($A93,November!$A:$A,0)),0)+IFERROR(INDEX(December!$AK:$AK,MATCH($A93,December!$A:$A,0)),0)</f>
        <v>1</v>
      </c>
      <c r="AA93" s="51">
        <f>Y93+Z93</f>
        <v>3.5</v>
      </c>
      <c r="AB93" s="55"/>
      <c r="AC93" s="56">
        <f>AA93+IF(AB93="",0,AB93)</f>
        <v>3.5</v>
      </c>
      <c r="AD93" s="57"/>
      <c r="AE93" s="58">
        <f>AC93-IF(AD93="",0,AD93)</f>
        <v>3.5</v>
      </c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</row>
    <row r="94" spans="1:49" ht="22" customHeight="1" x14ac:dyDescent="0.35">
      <c r="A94" s="8" t="s">
        <v>207</v>
      </c>
      <c r="B94" s="8" t="s">
        <v>208</v>
      </c>
      <c r="C94" s="8" t="s">
        <v>206</v>
      </c>
      <c r="D94" s="11">
        <v>10</v>
      </c>
      <c r="E94" s="10">
        <v>20</v>
      </c>
      <c r="F94" s="10">
        <v>20</v>
      </c>
      <c r="G94" s="11">
        <v>18</v>
      </c>
      <c r="H94" s="11">
        <v>14</v>
      </c>
      <c r="I94" s="10">
        <v>22</v>
      </c>
      <c r="J94" s="10">
        <v>21</v>
      </c>
      <c r="K94" s="10">
        <v>22</v>
      </c>
      <c r="L94" s="11">
        <v>10</v>
      </c>
      <c r="M94" s="11">
        <v>16</v>
      </c>
      <c r="N94" s="10">
        <v>20</v>
      </c>
      <c r="O94" s="11">
        <v>18</v>
      </c>
      <c r="P94" s="8">
        <f>IFERROR(INDEX(January!$AI:$AI,MATCH($A94,January!$A:$A,0)),0)+IFERROR(INDEX(February!$AF:$AF,MATCH($A94,February!$A:$A,0)),0)+IFERROR(INDEX(March!$AI:$AI,MATCH($A94,March!$A:$A,0)),0)+IFERROR(INDEX(April!$AH:$AH,MATCH($A94,April!$A:$A,0)),0)+IFERROR(INDEX(May!$AI:$AI,MATCH($A94,May!$A:$A,0)),0)+IFERROR(INDEX(June!$AH:$AH,MATCH($A94,June!$A:$A,0)),0)+IFERROR(INDEX(July!$AI:$AI,MATCH($A94,July!$A:$A,0)),0)+IFERROR(INDEX(August!$AI:$AI,MATCH($A94,August!$A:$A,0)),0)+IFERROR(INDEX(September!$AH:$AH,MATCH($A94,September!$A:$A,0)),0)+IFERROR(INDEX(October!$AI:$AI,MATCH($A94,October!$A:$A,0)),0)+IFERROR(INDEX(November!$AH:$AH,MATCH($A94,November!$A:$A,0)),0)+IFERROR(INDEX(December!$AI:$AI,MATCH($A94,December!$A:$A,0)),0)</f>
        <v>196</v>
      </c>
      <c r="Q94" s="8">
        <f>IFERROR(INDEX(January!$AJ:$AJ,MATCH($A94,January!$A:$A,0)),0)+IFERROR(INDEX(February!$AG:$AG,MATCH($A94,February!$A:$A,0)),0)+IFERROR(INDEX(March!$AJ:$AJ,MATCH($A94,March!$A:$A,0)),0)+IFERROR(INDEX(April!$AI:$AI,MATCH($A94,April!$A:$A,0)),0)+IFERROR(INDEX(May!$AJ:$AJ,MATCH($A94,May!$A:$A,0)),0)+IFERROR(INDEX(June!$AI:$AI,MATCH($A94,June!$A:$A,0)),0)+IFERROR(INDEX(July!$AJ:$AJ,MATCH($A94,July!$A:$A,0)),0)+IFERROR(INDEX(August!$AJ:$AJ,MATCH($A94,August!$A:$A,0)),0)+IFERROR(INDEX(September!$AI:$AI,MATCH($A94,September!$A:$A,0)),0)+IFERROR(INDEX(October!$AJ:$AJ,MATCH($A94,October!$A:$A,0)),0)+IFERROR(INDEX(November!$AI:$AI,MATCH($A94,November!$A:$A,0)),0)+IFERROR(INDEX(December!$AJ:$AJ,MATCH($A94,December!$A:$A,0)),0)</f>
        <v>65</v>
      </c>
      <c r="R94" s="8">
        <f>IFERROR(INDEX(January!$AK:$AK,MATCH($A94,January!$A:$A,0)),0)+IFERROR(INDEX(February!$AH:$AH,MATCH($A94,February!$A:$A,0)),0)+IFERROR(INDEX(March!$AK:$AK,MATCH($A94,March!$A:$A,0)),0)+IFERROR(INDEX(April!$AJ:$AJ,MATCH($A94,April!$A:$A,0)),0)+IFERROR(INDEX(May!$AK:$AK,MATCH($A94,May!$A:$A,0)),0)+IFERROR(INDEX(June!$AJ:$AJ,MATCH($A94,June!$A:$A,0)),0)+IFERROR(INDEX(July!$AK:$AK,MATCH($A94,July!$A:$A,0)),0)+IFERROR(INDEX(August!$AK:$AK,MATCH($A94,August!$A:$A,0)),0)+IFERROR(INDEX(September!$AJ:$AJ,MATCH($A94,September!$A:$A,0)),0)+IFERROR(INDEX(October!$AK:$AK,MATCH($A94,October!$A:$A,0)),0)+IFERROR(INDEX(November!$AJ:$AJ,MATCH($A94,November!$A:$A,0)),0)+IFERROR(INDEX(December!$AK:$AK,MATCH($A94,December!$A:$A,0)),0)</f>
        <v>0</v>
      </c>
      <c r="S94" s="36">
        <f>IF((P94+Q94)=0,"",P94/(P94+Q94))</f>
        <v>0.75095785440613028</v>
      </c>
      <c r="T94" s="38"/>
      <c r="U94" s="51">
        <f>IFERROR(INDEX(January!$AQ:$AQ,MATCH($A94,January!$A:$A,0)),0)+IFERROR(INDEX(February!$AN:$AN,MATCH($A94,February!$A:$A,0)),0)+IFERROR(INDEX(March!$AQ:$AQ,MATCH($A94,March!$A:$A,0)),0)+IFERROR(INDEX(April!$AP:$AP,MATCH($A94,April!$A:$A,0)),0)+IFERROR(INDEX(May!$AQ:$AQ,MATCH($A94,May!$A:$A,0)),0)+IFERROR(INDEX(June!$AP:$AP,MATCH($A94,June!$A:$A,0)),0)+IFERROR(INDEX(July!$AQ:$AQ,MATCH($A94,July!$A:$A,0)),0)+IFERROR(INDEX(August!$AQ:$AQ,MATCH($A94,August!$A:$A,0)),0)+IFERROR(INDEX(September!$AP:$AP,MATCH($A94,September!$A:$A,0)),0)+IFERROR(INDEX(October!$AQ:$AQ,MATCH($A94,October!$A:$A,0)),0)+IFERROR(INDEX(November!$AP:$AP,MATCH($A94,November!$A:$A,0)),0)+IFERROR(INDEX(December!$AQ:$AQ,MATCH($A94,December!$A:$A,0)),0)</f>
        <v>192</v>
      </c>
      <c r="V94" s="52">
        <f>IFERROR(INDEX(January!$AJ:$AJ,MATCH($A94,January!$A:$A,0)),0)+IFERROR(INDEX(February!$AG:$AG,MATCH($A94,February!$A:$A,0)),0)+IFERROR(INDEX(March!$AJ:$AJ,MATCH($A94,March!$A:$A,0)),0)+IFERROR(INDEX(April!$AI:$AI,MATCH($A94,April!$A:$A,0)),0)+IFERROR(INDEX(May!$AJ:$AJ,MATCH($A94,May!$A:$A,0)),0)+IFERROR(INDEX(June!$AI:$AI,MATCH($A94,June!$A:$A,0)),0)+IFERROR(INDEX(July!$AJ:$AJ,MATCH($A94,July!$A:$A,0)),0)+IFERROR(INDEX(August!$AJ:$AJ,MATCH($A94,August!$A:$A,0)),0)+IFERROR(INDEX(September!$AI:$AI,MATCH($A94,September!$A:$A,0)),0)+IFERROR(INDEX(October!$AJ:$AJ,MATCH($A94,October!$A:$A,0)),0)+IFERROR(INDEX(November!$AI:$AI,MATCH($A94,November!$A:$A,0)),0)+IFERROR(INDEX(December!$AJ:$AJ,MATCH($A94,December!$A:$A,0)),0)</f>
        <v>65</v>
      </c>
      <c r="W94" s="53">
        <f>IFERROR(INDEX(January!$AO:$AO,MATCH($A94,January!$A:$A,0)),0)+IFERROR(INDEX(February!$AL:$AL,MATCH($A94,February!$A:$A,0)),0)+IFERROR(INDEX(March!$AO:$AO,MATCH($A94,March!$A:$A,0)),0)+IFERROR(INDEX(April!$AN:$AN,MATCH($A94,April!$A:$A,0)),0)+IFERROR(INDEX(May!$AO:$AO,MATCH($A94,May!$A:$A,0)),0)+IFERROR(INDEX(June!$AN:$AN,MATCH($A94,June!$A:$A,0)),0)+IFERROR(INDEX(July!$AO:$AO,MATCH($A94,July!$A:$A,0)),0)+IFERROR(INDEX(August!$AO:$AO,MATCH($A94,August!$A:$A,0)),0)+IFERROR(INDEX(September!$AN:$AN,MATCH($A94,September!$A:$A,0)),0)+IFERROR(INDEX(October!$AO:$AO,MATCH($A94,October!$A:$A,0)),0)+IFERROR(INDEX(November!$AN:$AN,MATCH($A94,November!$A:$A,0)),0)+IFERROR(INDEX(December!$AO:$AO,MATCH($A94,December!$A:$A,0)),0)</f>
        <v>23</v>
      </c>
      <c r="X94" s="53">
        <f>W94/2</f>
        <v>11.5</v>
      </c>
      <c r="Y94" s="53">
        <f>(IFERROR(INDEX(January!$AL:$AL,MATCH($A94,January!$A:$A,0)),0)+IFERROR(INDEX(February!$AI:$AI,MATCH($A94,February!$A:$A,0)),0)+IFERROR(INDEX(March!$AL:$AL,MATCH($A94,March!$A:$A,0)),0)+IFERROR(INDEX(April!$AK:$AK,MATCH($A94,April!$A:$A,0)),0)+IFERROR(INDEX(May!$AL:$AL,MATCH($A94,May!$A:$A,0)),0)+IFERROR(INDEX(June!$AK:$AK,MATCH($A94,June!$A:$A,0)),0)+IFERROR(INDEX(July!$AL:$AL,MATCH($A94,July!$A:$A,0)),0)+IFERROR(INDEX(August!$AL:$AL,MATCH($A94,August!$A:$A,0)),0)+IFERROR(INDEX(September!$AK:$AK,MATCH($A94,September!$A:$A,0)),0)+IFERROR(INDEX(October!$AL:$AL,MATCH($A94,October!$A:$A,0)),0)+IFERROR(INDEX(November!$AK:$AK,MATCH($A94,November!$A:$A,0)),0)+IFERROR(INDEX(December!$AL:$AL,MATCH($A94,December!$A:$A,0)),0))*0.5</f>
        <v>7.5</v>
      </c>
      <c r="Z94" s="54">
        <f>IFERROR(INDEX(January!$AK:$AK,MATCH($A94,January!$A:$A,0)),0)+IFERROR(INDEX(February!$AH:$AH,MATCH($A94,February!$A:$A,0)),0)+IFERROR(INDEX(March!$AK:$AK,MATCH($A94,March!$A:$A,0)),0)+IFERROR(INDEX(April!$AJ:$AJ,MATCH($A94,April!$A:$A,0)),0)+IFERROR(INDEX(May!$AK:$AK,MATCH($A94,May!$A:$A,0)),0)+IFERROR(INDEX(June!$AJ:$AJ,MATCH($A94,June!$A:$A,0)),0)+IFERROR(INDEX(July!$AK:$AK,MATCH($A94,July!$A:$A,0)),0)+IFERROR(INDEX(August!$AK:$AK,MATCH($A94,August!$A:$A,0)),0)+IFERROR(INDEX(September!$AJ:$AJ,MATCH($A94,September!$A:$A,0)),0)+IFERROR(INDEX(October!$AK:$AK,MATCH($A94,October!$A:$A,0)),0)+IFERROR(INDEX(November!$AJ:$AJ,MATCH($A94,November!$A:$A,0)),0)+IFERROR(INDEX(December!$AK:$AK,MATCH($A94,December!$A:$A,0)),0)</f>
        <v>0</v>
      </c>
      <c r="AA94" s="51">
        <f>Y94+Z94</f>
        <v>7.5</v>
      </c>
      <c r="AB94" s="55"/>
      <c r="AC94" s="56">
        <f>AA94+IF(AB94="",0,AB94)</f>
        <v>7.5</v>
      </c>
      <c r="AD94" s="57"/>
      <c r="AE94" s="58">
        <f>AC94-IF(AD94="",0,AD94)</f>
        <v>7.5</v>
      </c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</row>
    <row r="95" spans="1:49" ht="22" customHeight="1" x14ac:dyDescent="0.35">
      <c r="A95" s="8" t="s">
        <v>209</v>
      </c>
      <c r="B95" s="8" t="s">
        <v>210</v>
      </c>
      <c r="C95" s="8" t="s">
        <v>206</v>
      </c>
      <c r="D95" s="10">
        <v>22</v>
      </c>
      <c r="E95" s="11">
        <v>18</v>
      </c>
      <c r="F95" s="10">
        <v>20</v>
      </c>
      <c r="G95" s="11">
        <v>7</v>
      </c>
      <c r="H95" s="10">
        <v>22</v>
      </c>
      <c r="I95" s="11">
        <v>18</v>
      </c>
      <c r="J95" s="10">
        <v>21</v>
      </c>
      <c r="K95" s="11">
        <v>7</v>
      </c>
      <c r="L95" s="11">
        <v>18</v>
      </c>
      <c r="M95" s="10">
        <v>22</v>
      </c>
      <c r="N95" s="11">
        <v>18</v>
      </c>
      <c r="O95" s="11">
        <v>10</v>
      </c>
      <c r="P95" s="8">
        <f>IFERROR(INDEX(January!$AI:$AI,MATCH($A95,January!$A:$A,0)),0)+IFERROR(INDEX(February!$AF:$AF,MATCH($A95,February!$A:$A,0)),0)+IFERROR(INDEX(March!$AI:$AI,MATCH($A95,March!$A:$A,0)),0)+IFERROR(INDEX(April!$AH:$AH,MATCH($A95,April!$A:$A,0)),0)+IFERROR(INDEX(May!$AI:$AI,MATCH($A95,May!$A:$A,0)),0)+IFERROR(INDEX(June!$AH:$AH,MATCH($A95,June!$A:$A,0)),0)+IFERROR(INDEX(July!$AI:$AI,MATCH($A95,July!$A:$A,0)),0)+IFERROR(INDEX(August!$AI:$AI,MATCH($A95,August!$A:$A,0)),0)+IFERROR(INDEX(September!$AH:$AH,MATCH($A95,September!$A:$A,0)),0)+IFERROR(INDEX(October!$AI:$AI,MATCH($A95,October!$A:$A,0)),0)+IFERROR(INDEX(November!$AH:$AH,MATCH($A95,November!$A:$A,0)),0)+IFERROR(INDEX(December!$AI:$AI,MATCH($A95,December!$A:$A,0)),0)</f>
        <v>191</v>
      </c>
      <c r="Q95" s="8">
        <f>IFERROR(INDEX(January!$AJ:$AJ,MATCH($A95,January!$A:$A,0)),0)+IFERROR(INDEX(February!$AG:$AG,MATCH($A95,February!$A:$A,0)),0)+IFERROR(INDEX(March!$AJ:$AJ,MATCH($A95,March!$A:$A,0)),0)+IFERROR(INDEX(April!$AI:$AI,MATCH($A95,April!$A:$A,0)),0)+IFERROR(INDEX(May!$AJ:$AJ,MATCH($A95,May!$A:$A,0)),0)+IFERROR(INDEX(June!$AI:$AI,MATCH($A95,June!$A:$A,0)),0)+IFERROR(INDEX(July!$AJ:$AJ,MATCH($A95,July!$A:$A,0)),0)+IFERROR(INDEX(August!$AJ:$AJ,MATCH($A95,August!$A:$A,0)),0)+IFERROR(INDEX(September!$AI:$AI,MATCH($A95,September!$A:$A,0)),0)+IFERROR(INDEX(October!$AJ:$AJ,MATCH($A95,October!$A:$A,0)),0)+IFERROR(INDEX(November!$AI:$AI,MATCH($A95,November!$A:$A,0)),0)+IFERROR(INDEX(December!$AJ:$AJ,MATCH($A95,December!$A:$A,0)),0)</f>
        <v>70</v>
      </c>
      <c r="R95" s="8">
        <f>IFERROR(INDEX(January!$AK:$AK,MATCH($A95,January!$A:$A,0)),0)+IFERROR(INDEX(February!$AH:$AH,MATCH($A95,February!$A:$A,0)),0)+IFERROR(INDEX(March!$AK:$AK,MATCH($A95,March!$A:$A,0)),0)+IFERROR(INDEX(April!$AJ:$AJ,MATCH($A95,April!$A:$A,0)),0)+IFERROR(INDEX(May!$AK:$AK,MATCH($A95,May!$A:$A,0)),0)+IFERROR(INDEX(June!$AJ:$AJ,MATCH($A95,June!$A:$A,0)),0)+IFERROR(INDEX(July!$AK:$AK,MATCH($A95,July!$A:$A,0)),0)+IFERROR(INDEX(August!$AK:$AK,MATCH($A95,August!$A:$A,0)),0)+IFERROR(INDEX(September!$AJ:$AJ,MATCH($A95,September!$A:$A,0)),0)+IFERROR(INDEX(October!$AK:$AK,MATCH($A95,October!$A:$A,0)),0)+IFERROR(INDEX(November!$AJ:$AJ,MATCH($A95,November!$A:$A,0)),0)+IFERROR(INDEX(December!$AK:$AK,MATCH($A95,December!$A:$A,0)),0)</f>
        <v>0</v>
      </c>
      <c r="S95" s="36">
        <f>IF((P95+Q95)=0,"",P95/(P95+Q95))</f>
        <v>0.73180076628352486</v>
      </c>
      <c r="T95" s="38"/>
      <c r="U95" s="51">
        <f>IFERROR(INDEX(January!$AQ:$AQ,MATCH($A95,January!$A:$A,0)),0)+IFERROR(INDEX(February!$AN:$AN,MATCH($A95,February!$A:$A,0)),0)+IFERROR(INDEX(March!$AQ:$AQ,MATCH($A95,March!$A:$A,0)),0)+IFERROR(INDEX(April!$AP:$AP,MATCH($A95,April!$A:$A,0)),0)+IFERROR(INDEX(May!$AQ:$AQ,MATCH($A95,May!$A:$A,0)),0)+IFERROR(INDEX(June!$AP:$AP,MATCH($A95,June!$A:$A,0)),0)+IFERROR(INDEX(July!$AQ:$AQ,MATCH($A95,July!$A:$A,0)),0)+IFERROR(INDEX(August!$AQ:$AQ,MATCH($A95,August!$A:$A,0)),0)+IFERROR(INDEX(September!$AP:$AP,MATCH($A95,September!$A:$A,0)),0)+IFERROR(INDEX(October!$AQ:$AQ,MATCH($A95,October!$A:$A,0)),0)+IFERROR(INDEX(November!$AP:$AP,MATCH($A95,November!$A:$A,0)),0)+IFERROR(INDEX(December!$AQ:$AQ,MATCH($A95,December!$A:$A,0)),0)</f>
        <v>184.5</v>
      </c>
      <c r="V95" s="52">
        <f>IFERROR(INDEX(January!$AJ:$AJ,MATCH($A95,January!$A:$A,0)),0)+IFERROR(INDEX(February!$AG:$AG,MATCH($A95,February!$A:$A,0)),0)+IFERROR(INDEX(March!$AJ:$AJ,MATCH($A95,March!$A:$A,0)),0)+IFERROR(INDEX(April!$AI:$AI,MATCH($A95,April!$A:$A,0)),0)+IFERROR(INDEX(May!$AJ:$AJ,MATCH($A95,May!$A:$A,0)),0)+IFERROR(INDEX(June!$AI:$AI,MATCH($A95,June!$A:$A,0)),0)+IFERROR(INDEX(July!$AJ:$AJ,MATCH($A95,July!$A:$A,0)),0)+IFERROR(INDEX(August!$AJ:$AJ,MATCH($A95,August!$A:$A,0)),0)+IFERROR(INDEX(September!$AI:$AI,MATCH($A95,September!$A:$A,0)),0)+IFERROR(INDEX(October!$AJ:$AJ,MATCH($A95,October!$A:$A,0)),0)+IFERROR(INDEX(November!$AI:$AI,MATCH($A95,November!$A:$A,0)),0)+IFERROR(INDEX(December!$AJ:$AJ,MATCH($A95,December!$A:$A,0)),0)</f>
        <v>70</v>
      </c>
      <c r="W95" s="53">
        <f>IFERROR(INDEX(January!$AO:$AO,MATCH($A95,January!$A:$A,0)),0)+IFERROR(INDEX(February!$AL:$AL,MATCH($A95,February!$A:$A,0)),0)+IFERROR(INDEX(March!$AO:$AO,MATCH($A95,March!$A:$A,0)),0)+IFERROR(INDEX(April!$AN:$AN,MATCH($A95,April!$A:$A,0)),0)+IFERROR(INDEX(May!$AO:$AO,MATCH($A95,May!$A:$A,0)),0)+IFERROR(INDEX(June!$AN:$AN,MATCH($A95,June!$A:$A,0)),0)+IFERROR(INDEX(July!$AO:$AO,MATCH($A95,July!$A:$A,0)),0)+IFERROR(INDEX(August!$AO:$AO,MATCH($A95,August!$A:$A,0)),0)+IFERROR(INDEX(September!$AN:$AN,MATCH($A95,September!$A:$A,0)),0)+IFERROR(INDEX(October!$AO:$AO,MATCH($A95,October!$A:$A,0)),0)+IFERROR(INDEX(November!$AN:$AN,MATCH($A95,November!$A:$A,0)),0)+IFERROR(INDEX(December!$AO:$AO,MATCH($A95,December!$A:$A,0)),0)</f>
        <v>25</v>
      </c>
      <c r="X95" s="53">
        <f>W95/2</f>
        <v>12.5</v>
      </c>
      <c r="Y95" s="53">
        <f>(IFERROR(INDEX(January!$AL:$AL,MATCH($A95,January!$A:$A,0)),0)+IFERROR(INDEX(February!$AI:$AI,MATCH($A95,February!$A:$A,0)),0)+IFERROR(INDEX(March!$AL:$AL,MATCH($A95,March!$A:$A,0)),0)+IFERROR(INDEX(April!$AK:$AK,MATCH($A95,April!$A:$A,0)),0)+IFERROR(INDEX(May!$AL:$AL,MATCH($A95,May!$A:$A,0)),0)+IFERROR(INDEX(June!$AK:$AK,MATCH($A95,June!$A:$A,0)),0)+IFERROR(INDEX(July!$AL:$AL,MATCH($A95,July!$A:$A,0)),0)+IFERROR(INDEX(August!$AL:$AL,MATCH($A95,August!$A:$A,0)),0)+IFERROR(INDEX(September!$AK:$AK,MATCH($A95,September!$A:$A,0)),0)+IFERROR(INDEX(October!$AL:$AL,MATCH($A95,October!$A:$A,0)),0)+IFERROR(INDEX(November!$AK:$AK,MATCH($A95,November!$A:$A,0)),0)+IFERROR(INDEX(December!$AL:$AL,MATCH($A95,December!$A:$A,0)),0))*0.5</f>
        <v>6</v>
      </c>
      <c r="Z95" s="54">
        <f>IFERROR(INDEX(January!$AK:$AK,MATCH($A95,January!$A:$A,0)),0)+IFERROR(INDEX(February!$AH:$AH,MATCH($A95,February!$A:$A,0)),0)+IFERROR(INDEX(March!$AK:$AK,MATCH($A95,March!$A:$A,0)),0)+IFERROR(INDEX(April!$AJ:$AJ,MATCH($A95,April!$A:$A,0)),0)+IFERROR(INDEX(May!$AK:$AK,MATCH($A95,May!$A:$A,0)),0)+IFERROR(INDEX(June!$AJ:$AJ,MATCH($A95,June!$A:$A,0)),0)+IFERROR(INDEX(July!$AK:$AK,MATCH($A95,July!$A:$A,0)),0)+IFERROR(INDEX(August!$AK:$AK,MATCH($A95,August!$A:$A,0)),0)+IFERROR(INDEX(September!$AJ:$AJ,MATCH($A95,September!$A:$A,0)),0)+IFERROR(INDEX(October!$AK:$AK,MATCH($A95,October!$A:$A,0)),0)+IFERROR(INDEX(November!$AJ:$AJ,MATCH($A95,November!$A:$A,0)),0)+IFERROR(INDEX(December!$AK:$AK,MATCH($A95,December!$A:$A,0)),0)</f>
        <v>0</v>
      </c>
      <c r="AA95" s="51">
        <f>Y95+Z95</f>
        <v>6</v>
      </c>
      <c r="AB95" s="55"/>
      <c r="AC95" s="56">
        <f>AA95+IF(AB95="",0,AB95)</f>
        <v>6</v>
      </c>
      <c r="AD95" s="57"/>
      <c r="AE95" s="58">
        <f>AC95-IF(AD95="",0,AD95)</f>
        <v>6</v>
      </c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</row>
    <row r="96" spans="1:49" ht="22" customHeight="1" x14ac:dyDescent="0.35">
      <c r="A96" s="8" t="s">
        <v>211</v>
      </c>
      <c r="B96" s="8" t="s">
        <v>212</v>
      </c>
      <c r="C96" s="8" t="s">
        <v>206</v>
      </c>
      <c r="D96" s="10">
        <v>24</v>
      </c>
      <c r="E96" s="10">
        <v>21</v>
      </c>
      <c r="F96" s="10">
        <v>22</v>
      </c>
      <c r="G96" s="10">
        <v>20</v>
      </c>
      <c r="H96" s="10">
        <v>22</v>
      </c>
      <c r="I96" s="11">
        <v>18</v>
      </c>
      <c r="J96" s="11">
        <v>14</v>
      </c>
      <c r="K96" s="11">
        <v>19</v>
      </c>
      <c r="L96" s="10">
        <v>24</v>
      </c>
      <c r="M96" s="11">
        <v>8</v>
      </c>
      <c r="N96" s="11">
        <v>18</v>
      </c>
      <c r="O96" s="11">
        <v>16</v>
      </c>
      <c r="P96" s="8">
        <f>IFERROR(INDEX(January!$AI:$AI,MATCH($A96,January!$A:$A,0)),0)+IFERROR(INDEX(February!$AF:$AF,MATCH($A96,February!$A:$A,0)),0)+IFERROR(INDEX(March!$AI:$AI,MATCH($A96,March!$A:$A,0)),0)+IFERROR(INDEX(April!$AH:$AH,MATCH($A96,April!$A:$A,0)),0)+IFERROR(INDEX(May!$AI:$AI,MATCH($A96,May!$A:$A,0)),0)+IFERROR(INDEX(June!$AH:$AH,MATCH($A96,June!$A:$A,0)),0)+IFERROR(INDEX(July!$AI:$AI,MATCH($A96,July!$A:$A,0)),0)+IFERROR(INDEX(August!$AI:$AI,MATCH($A96,August!$A:$A,0)),0)+IFERROR(INDEX(September!$AH:$AH,MATCH($A96,September!$A:$A,0)),0)+IFERROR(INDEX(October!$AI:$AI,MATCH($A96,October!$A:$A,0)),0)+IFERROR(INDEX(November!$AH:$AH,MATCH($A96,November!$A:$A,0)),0)+IFERROR(INDEX(December!$AI:$AI,MATCH($A96,December!$A:$A,0)),0)</f>
        <v>205</v>
      </c>
      <c r="Q96" s="8">
        <f>IFERROR(INDEX(January!$AJ:$AJ,MATCH($A96,January!$A:$A,0)),0)+IFERROR(INDEX(February!$AG:$AG,MATCH($A96,February!$A:$A,0)),0)+IFERROR(INDEX(March!$AJ:$AJ,MATCH($A96,March!$A:$A,0)),0)+IFERROR(INDEX(April!$AI:$AI,MATCH($A96,April!$A:$A,0)),0)+IFERROR(INDEX(May!$AJ:$AJ,MATCH($A96,May!$A:$A,0)),0)+IFERROR(INDEX(June!$AI:$AI,MATCH($A96,June!$A:$A,0)),0)+IFERROR(INDEX(July!$AJ:$AJ,MATCH($A96,July!$A:$A,0)),0)+IFERROR(INDEX(August!$AJ:$AJ,MATCH($A96,August!$A:$A,0)),0)+IFERROR(INDEX(September!$AI:$AI,MATCH($A96,September!$A:$A,0)),0)+IFERROR(INDEX(October!$AJ:$AJ,MATCH($A96,October!$A:$A,0)),0)+IFERROR(INDEX(November!$AI:$AI,MATCH($A96,November!$A:$A,0)),0)+IFERROR(INDEX(December!$AJ:$AJ,MATCH($A96,December!$A:$A,0)),0)</f>
        <v>56</v>
      </c>
      <c r="R96" s="8">
        <f>IFERROR(INDEX(January!$AK:$AK,MATCH($A96,January!$A:$A,0)),0)+IFERROR(INDEX(February!$AH:$AH,MATCH($A96,February!$A:$A,0)),0)+IFERROR(INDEX(March!$AK:$AK,MATCH($A96,March!$A:$A,0)),0)+IFERROR(INDEX(April!$AJ:$AJ,MATCH($A96,April!$A:$A,0)),0)+IFERROR(INDEX(May!$AK:$AK,MATCH($A96,May!$A:$A,0)),0)+IFERROR(INDEX(June!$AJ:$AJ,MATCH($A96,June!$A:$A,0)),0)+IFERROR(INDEX(July!$AK:$AK,MATCH($A96,July!$A:$A,0)),0)+IFERROR(INDEX(August!$AK:$AK,MATCH($A96,August!$A:$A,0)),0)+IFERROR(INDEX(September!$AJ:$AJ,MATCH($A96,September!$A:$A,0)),0)+IFERROR(INDEX(October!$AK:$AK,MATCH($A96,October!$A:$A,0)),0)+IFERROR(INDEX(November!$AJ:$AJ,MATCH($A96,November!$A:$A,0)),0)+IFERROR(INDEX(December!$AK:$AK,MATCH($A96,December!$A:$A,0)),0)</f>
        <v>1</v>
      </c>
      <c r="S96" s="36">
        <f>IF((P96+Q96)=0,"",P96/(P96+Q96))</f>
        <v>0.78544061302681989</v>
      </c>
      <c r="T96" s="38"/>
      <c r="U96" s="51">
        <f>IFERROR(INDEX(January!$AQ:$AQ,MATCH($A96,January!$A:$A,0)),0)+IFERROR(INDEX(February!$AN:$AN,MATCH($A96,February!$A:$A,0)),0)+IFERROR(INDEX(March!$AQ:$AQ,MATCH($A96,March!$A:$A,0)),0)+IFERROR(INDEX(April!$AP:$AP,MATCH($A96,April!$A:$A,0)),0)+IFERROR(INDEX(May!$AQ:$AQ,MATCH($A96,May!$A:$A,0)),0)+IFERROR(INDEX(June!$AP:$AP,MATCH($A96,June!$A:$A,0)),0)+IFERROR(INDEX(July!$AQ:$AQ,MATCH($A96,July!$A:$A,0)),0)+IFERROR(INDEX(August!$AQ:$AQ,MATCH($A96,August!$A:$A,0)),0)+IFERROR(INDEX(September!$AP:$AP,MATCH($A96,September!$A:$A,0)),0)+IFERROR(INDEX(October!$AQ:$AQ,MATCH($A96,October!$A:$A,0)),0)+IFERROR(INDEX(November!$AP:$AP,MATCH($A96,November!$A:$A,0)),0)+IFERROR(INDEX(December!$AQ:$AQ,MATCH($A96,December!$A:$A,0)),0)</f>
        <v>206.5</v>
      </c>
      <c r="V96" s="52">
        <f>IFERROR(INDEX(January!$AJ:$AJ,MATCH($A96,January!$A:$A,0)),0)+IFERROR(INDEX(February!$AG:$AG,MATCH($A96,February!$A:$A,0)),0)+IFERROR(INDEX(March!$AJ:$AJ,MATCH($A96,March!$A:$A,0)),0)+IFERROR(INDEX(April!$AI:$AI,MATCH($A96,April!$A:$A,0)),0)+IFERROR(INDEX(May!$AJ:$AJ,MATCH($A96,May!$A:$A,0)),0)+IFERROR(INDEX(June!$AI:$AI,MATCH($A96,June!$A:$A,0)),0)+IFERROR(INDEX(July!$AJ:$AJ,MATCH($A96,July!$A:$A,0)),0)+IFERROR(INDEX(August!$AJ:$AJ,MATCH($A96,August!$A:$A,0)),0)+IFERROR(INDEX(September!$AI:$AI,MATCH($A96,September!$A:$A,0)),0)+IFERROR(INDEX(October!$AJ:$AJ,MATCH($A96,October!$A:$A,0)),0)+IFERROR(INDEX(November!$AI:$AI,MATCH($A96,November!$A:$A,0)),0)+IFERROR(INDEX(December!$AJ:$AJ,MATCH($A96,December!$A:$A,0)),0)</f>
        <v>56</v>
      </c>
      <c r="W96" s="53">
        <f>IFERROR(INDEX(January!$AO:$AO,MATCH($A96,January!$A:$A,0)),0)+IFERROR(INDEX(February!$AL:$AL,MATCH($A96,February!$A:$A,0)),0)+IFERROR(INDEX(March!$AO:$AO,MATCH($A96,March!$A:$A,0)),0)+IFERROR(INDEX(April!$AN:$AN,MATCH($A96,April!$A:$A,0)),0)+IFERROR(INDEX(May!$AO:$AO,MATCH($A96,May!$A:$A,0)),0)+IFERROR(INDEX(June!$AN:$AN,MATCH($A96,June!$A:$A,0)),0)+IFERROR(INDEX(July!$AO:$AO,MATCH($A96,July!$A:$A,0)),0)+IFERROR(INDEX(August!$AO:$AO,MATCH($A96,August!$A:$A,0)),0)+IFERROR(INDEX(September!$AN:$AN,MATCH($A96,September!$A:$A,0)),0)+IFERROR(INDEX(October!$AO:$AO,MATCH($A96,October!$A:$A,0)),0)+IFERROR(INDEX(November!$AN:$AN,MATCH($A96,November!$A:$A,0)),0)+IFERROR(INDEX(December!$AO:$AO,MATCH($A96,December!$A:$A,0)),0)</f>
        <v>19</v>
      </c>
      <c r="X96" s="53">
        <f>W96/2</f>
        <v>9.5</v>
      </c>
      <c r="Y96" s="53">
        <f>(IFERROR(INDEX(January!$AL:$AL,MATCH($A96,January!$A:$A,0)),0)+IFERROR(INDEX(February!$AI:$AI,MATCH($A96,February!$A:$A,0)),0)+IFERROR(INDEX(March!$AL:$AL,MATCH($A96,March!$A:$A,0)),0)+IFERROR(INDEX(April!$AK:$AK,MATCH($A96,April!$A:$A,0)),0)+IFERROR(INDEX(May!$AL:$AL,MATCH($A96,May!$A:$A,0)),0)+IFERROR(INDEX(June!$AK:$AK,MATCH($A96,June!$A:$A,0)),0)+IFERROR(INDEX(July!$AL:$AL,MATCH($A96,July!$A:$A,0)),0)+IFERROR(INDEX(August!$AL:$AL,MATCH($A96,August!$A:$A,0)),0)+IFERROR(INDEX(September!$AK:$AK,MATCH($A96,September!$A:$A,0)),0)+IFERROR(INDEX(October!$AL:$AL,MATCH($A96,October!$A:$A,0)),0)+IFERROR(INDEX(November!$AK:$AK,MATCH($A96,November!$A:$A,0)),0)+IFERROR(INDEX(December!$AL:$AL,MATCH($A96,December!$A:$A,0)),0))*0.5</f>
        <v>10</v>
      </c>
      <c r="Z96" s="54">
        <f>IFERROR(INDEX(January!$AK:$AK,MATCH($A96,January!$A:$A,0)),0)+IFERROR(INDEX(February!$AH:$AH,MATCH($A96,February!$A:$A,0)),0)+IFERROR(INDEX(March!$AK:$AK,MATCH($A96,March!$A:$A,0)),0)+IFERROR(INDEX(April!$AJ:$AJ,MATCH($A96,April!$A:$A,0)),0)+IFERROR(INDEX(May!$AK:$AK,MATCH($A96,May!$A:$A,0)),0)+IFERROR(INDEX(June!$AJ:$AJ,MATCH($A96,June!$A:$A,0)),0)+IFERROR(INDEX(July!$AK:$AK,MATCH($A96,July!$A:$A,0)),0)+IFERROR(INDEX(August!$AK:$AK,MATCH($A96,August!$A:$A,0)),0)+IFERROR(INDEX(September!$AJ:$AJ,MATCH($A96,September!$A:$A,0)),0)+IFERROR(INDEX(October!$AK:$AK,MATCH($A96,October!$A:$A,0)),0)+IFERROR(INDEX(November!$AJ:$AJ,MATCH($A96,November!$A:$A,0)),0)+IFERROR(INDEX(December!$AK:$AK,MATCH($A96,December!$A:$A,0)),0)</f>
        <v>1</v>
      </c>
      <c r="AA96" s="51">
        <f>Y96+Z96</f>
        <v>11</v>
      </c>
      <c r="AB96" s="55"/>
      <c r="AC96" s="56">
        <f>AA96+IF(AB96="",0,AB96)</f>
        <v>11</v>
      </c>
      <c r="AD96" s="57"/>
      <c r="AE96" s="58">
        <f>AC96-IF(AD96="",0,AD96)</f>
        <v>11</v>
      </c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</row>
    <row r="98" spans="1:49" ht="25" customHeight="1" x14ac:dyDescent="0.35">
      <c r="A98" s="64" t="s">
        <v>213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</row>
    <row r="99" spans="1:49" ht="22" customHeight="1" x14ac:dyDescent="0.35">
      <c r="A99" s="8" t="s">
        <v>214</v>
      </c>
      <c r="B99" s="8" t="s">
        <v>215</v>
      </c>
      <c r="C99" s="8" t="s">
        <v>216</v>
      </c>
      <c r="D99" s="10">
        <v>22</v>
      </c>
      <c r="E99" s="10">
        <v>21</v>
      </c>
      <c r="F99" s="10">
        <v>21</v>
      </c>
      <c r="G99" s="10">
        <v>20</v>
      </c>
      <c r="H99" s="10">
        <v>20</v>
      </c>
      <c r="I99" s="11">
        <v>19</v>
      </c>
      <c r="J99" s="10">
        <v>22</v>
      </c>
      <c r="K99" s="10">
        <v>23</v>
      </c>
      <c r="L99" s="10">
        <v>24</v>
      </c>
      <c r="M99" s="10">
        <v>21</v>
      </c>
      <c r="N99" s="10">
        <v>21</v>
      </c>
      <c r="O99" s="11">
        <v>12</v>
      </c>
      <c r="P99" s="8">
        <f>IFERROR(INDEX(January!$AI:$AI,MATCH($A99,January!$A:$A,0)),0)+IFERROR(INDEX(February!$AF:$AF,MATCH($A99,February!$A:$A,0)),0)+IFERROR(INDEX(March!$AI:$AI,MATCH($A99,March!$A:$A,0)),0)+IFERROR(INDEX(April!$AH:$AH,MATCH($A99,April!$A:$A,0)),0)+IFERROR(INDEX(May!$AI:$AI,MATCH($A99,May!$A:$A,0)),0)+IFERROR(INDEX(June!$AH:$AH,MATCH($A99,June!$A:$A,0)),0)+IFERROR(INDEX(July!$AI:$AI,MATCH($A99,July!$A:$A,0)),0)+IFERROR(INDEX(August!$AI:$AI,MATCH($A99,August!$A:$A,0)),0)+IFERROR(INDEX(September!$AH:$AH,MATCH($A99,September!$A:$A,0)),0)+IFERROR(INDEX(October!$AI:$AI,MATCH($A99,October!$A:$A,0)),0)+IFERROR(INDEX(November!$AH:$AH,MATCH($A99,November!$A:$A,0)),0)+IFERROR(INDEX(December!$AI:$AI,MATCH($A99,December!$A:$A,0)),0)</f>
        <v>237</v>
      </c>
      <c r="Q99" s="8">
        <f>IFERROR(INDEX(January!$AJ:$AJ,MATCH($A99,January!$A:$A,0)),0)+IFERROR(INDEX(February!$AG:$AG,MATCH($A99,February!$A:$A,0)),0)+IFERROR(INDEX(March!$AJ:$AJ,MATCH($A99,March!$A:$A,0)),0)+IFERROR(INDEX(April!$AI:$AI,MATCH($A99,April!$A:$A,0)),0)+IFERROR(INDEX(May!$AJ:$AJ,MATCH($A99,May!$A:$A,0)),0)+IFERROR(INDEX(June!$AI:$AI,MATCH($A99,June!$A:$A,0)),0)+IFERROR(INDEX(July!$AJ:$AJ,MATCH($A99,July!$A:$A,0)),0)+IFERROR(INDEX(August!$AJ:$AJ,MATCH($A99,August!$A:$A,0)),0)+IFERROR(INDEX(September!$AI:$AI,MATCH($A99,September!$A:$A,0)),0)+IFERROR(INDEX(October!$AJ:$AJ,MATCH($A99,October!$A:$A,0)),0)+IFERROR(INDEX(November!$AI:$AI,MATCH($A99,November!$A:$A,0)),0)+IFERROR(INDEX(December!$AJ:$AJ,MATCH($A99,December!$A:$A,0)),0)</f>
        <v>24</v>
      </c>
      <c r="R99" s="8">
        <f>IFERROR(INDEX(January!$AK:$AK,MATCH($A99,January!$A:$A,0)),0)+IFERROR(INDEX(February!$AH:$AH,MATCH($A99,February!$A:$A,0)),0)+IFERROR(INDEX(March!$AK:$AK,MATCH($A99,March!$A:$A,0)),0)+IFERROR(INDEX(April!$AJ:$AJ,MATCH($A99,April!$A:$A,0)),0)+IFERROR(INDEX(May!$AK:$AK,MATCH($A99,May!$A:$A,0)),0)+IFERROR(INDEX(June!$AJ:$AJ,MATCH($A99,June!$A:$A,0)),0)+IFERROR(INDEX(July!$AK:$AK,MATCH($A99,July!$A:$A,0)),0)+IFERROR(INDEX(August!$AK:$AK,MATCH($A99,August!$A:$A,0)),0)+IFERROR(INDEX(September!$AJ:$AJ,MATCH($A99,September!$A:$A,0)),0)+IFERROR(INDEX(October!$AK:$AK,MATCH($A99,October!$A:$A,0)),0)+IFERROR(INDEX(November!$AJ:$AJ,MATCH($A99,November!$A:$A,0)),0)+IFERROR(INDEX(December!$AK:$AK,MATCH($A99,December!$A:$A,0)),0)</f>
        <v>3</v>
      </c>
      <c r="S99" s="35">
        <f t="shared" ref="S99:S112" si="20">IF((P99+Q99)=0,"",P99/(P99+Q99))</f>
        <v>0.90804597701149425</v>
      </c>
      <c r="T99" s="38"/>
      <c r="U99" s="51">
        <f>IFERROR(INDEX(January!$AQ:$AQ,MATCH($A99,January!$A:$A,0)),0)+IFERROR(INDEX(February!$AN:$AN,MATCH($A99,February!$A:$A,0)),0)+IFERROR(INDEX(March!$AQ:$AQ,MATCH($A99,March!$A:$A,0)),0)+IFERROR(INDEX(April!$AP:$AP,MATCH($A99,April!$A:$A,0)),0)+IFERROR(INDEX(May!$AQ:$AQ,MATCH($A99,May!$A:$A,0)),0)+IFERROR(INDEX(June!$AP:$AP,MATCH($A99,June!$A:$A,0)),0)+IFERROR(INDEX(July!$AQ:$AQ,MATCH($A99,July!$A:$A,0)),0)+IFERROR(INDEX(August!$AQ:$AQ,MATCH($A99,August!$A:$A,0)),0)+IFERROR(INDEX(September!$AP:$AP,MATCH($A99,September!$A:$A,0)),0)+IFERROR(INDEX(October!$AQ:$AQ,MATCH($A99,October!$A:$A,0)),0)+IFERROR(INDEX(November!$AP:$AP,MATCH($A99,November!$A:$A,0)),0)+IFERROR(INDEX(December!$AQ:$AQ,MATCH($A99,December!$A:$A,0)),0)</f>
        <v>222.5</v>
      </c>
      <c r="V99" s="52">
        <f>IFERROR(INDEX(January!$AJ:$AJ,MATCH($A99,January!$A:$A,0)),0)+IFERROR(INDEX(February!$AG:$AG,MATCH($A99,February!$A:$A,0)),0)+IFERROR(INDEX(March!$AJ:$AJ,MATCH($A99,March!$A:$A,0)),0)+IFERROR(INDEX(April!$AI:$AI,MATCH($A99,April!$A:$A,0)),0)+IFERROR(INDEX(May!$AJ:$AJ,MATCH($A99,May!$A:$A,0)),0)+IFERROR(INDEX(June!$AI:$AI,MATCH($A99,June!$A:$A,0)),0)+IFERROR(INDEX(July!$AJ:$AJ,MATCH($A99,July!$A:$A,0)),0)+IFERROR(INDEX(August!$AJ:$AJ,MATCH($A99,August!$A:$A,0)),0)+IFERROR(INDEX(September!$AI:$AI,MATCH($A99,September!$A:$A,0)),0)+IFERROR(INDEX(October!$AJ:$AJ,MATCH($A99,October!$A:$A,0)),0)+IFERROR(INDEX(November!$AI:$AI,MATCH($A99,November!$A:$A,0)),0)+IFERROR(INDEX(December!$AJ:$AJ,MATCH($A99,December!$A:$A,0)),0)</f>
        <v>24</v>
      </c>
      <c r="W99" s="53">
        <f>IFERROR(INDEX(January!$AO:$AO,MATCH($A99,January!$A:$A,0)),0)+IFERROR(INDEX(February!$AL:$AL,MATCH($A99,February!$A:$A,0)),0)+IFERROR(INDEX(March!$AO:$AO,MATCH($A99,March!$A:$A,0)),0)+IFERROR(INDEX(April!$AN:$AN,MATCH($A99,April!$A:$A,0)),0)+IFERROR(INDEX(May!$AO:$AO,MATCH($A99,May!$A:$A,0)),0)+IFERROR(INDEX(June!$AN:$AN,MATCH($A99,June!$A:$A,0)),0)+IFERROR(INDEX(July!$AO:$AO,MATCH($A99,July!$A:$A,0)),0)+IFERROR(INDEX(August!$AO:$AO,MATCH($A99,August!$A:$A,0)),0)+IFERROR(INDEX(September!$AN:$AN,MATCH($A99,September!$A:$A,0)),0)+IFERROR(INDEX(October!$AO:$AO,MATCH($A99,October!$A:$A,0)),0)+IFERROR(INDEX(November!$AN:$AN,MATCH($A99,November!$A:$A,0)),0)+IFERROR(INDEX(December!$AO:$AO,MATCH($A99,December!$A:$A,0)),0)</f>
        <v>41</v>
      </c>
      <c r="X99" s="53">
        <f t="shared" ref="X99:X112" si="21">W99/2</f>
        <v>20.5</v>
      </c>
      <c r="Y99" s="53">
        <f>(IFERROR(INDEX(January!$AL:$AL,MATCH($A99,January!$A:$A,0)),0)+IFERROR(INDEX(February!$AI:$AI,MATCH($A99,February!$A:$A,0)),0)+IFERROR(INDEX(March!$AL:$AL,MATCH($A99,March!$A:$A,0)),0)+IFERROR(INDEX(April!$AK:$AK,MATCH($A99,April!$A:$A,0)),0)+IFERROR(INDEX(May!$AL:$AL,MATCH($A99,May!$A:$A,0)),0)+IFERROR(INDEX(June!$AK:$AK,MATCH($A99,June!$A:$A,0)),0)+IFERROR(INDEX(July!$AL:$AL,MATCH($A99,July!$A:$A,0)),0)+IFERROR(INDEX(August!$AL:$AL,MATCH($A99,August!$A:$A,0)),0)+IFERROR(INDEX(September!$AK:$AK,MATCH($A99,September!$A:$A,0)),0)+IFERROR(INDEX(October!$AL:$AL,MATCH($A99,October!$A:$A,0)),0)+IFERROR(INDEX(November!$AK:$AK,MATCH($A99,November!$A:$A,0)),0)+IFERROR(INDEX(December!$AL:$AL,MATCH($A99,December!$A:$A,0)),0))*0.5</f>
        <v>3</v>
      </c>
      <c r="Z99" s="54">
        <f>IFERROR(INDEX(January!$AK:$AK,MATCH($A99,January!$A:$A,0)),0)+IFERROR(INDEX(February!$AH:$AH,MATCH($A99,February!$A:$A,0)),0)+IFERROR(INDEX(March!$AK:$AK,MATCH($A99,March!$A:$A,0)),0)+IFERROR(INDEX(April!$AJ:$AJ,MATCH($A99,April!$A:$A,0)),0)+IFERROR(INDEX(May!$AK:$AK,MATCH($A99,May!$A:$A,0)),0)+IFERROR(INDEX(June!$AJ:$AJ,MATCH($A99,June!$A:$A,0)),0)+IFERROR(INDEX(July!$AK:$AK,MATCH($A99,July!$A:$A,0)),0)+IFERROR(INDEX(August!$AK:$AK,MATCH($A99,August!$A:$A,0)),0)+IFERROR(INDEX(September!$AJ:$AJ,MATCH($A99,September!$A:$A,0)),0)+IFERROR(INDEX(October!$AK:$AK,MATCH($A99,October!$A:$A,0)),0)+IFERROR(INDEX(November!$AJ:$AJ,MATCH($A99,November!$A:$A,0)),0)+IFERROR(INDEX(December!$AK:$AK,MATCH($A99,December!$A:$A,0)),0)</f>
        <v>3</v>
      </c>
      <c r="AA99" s="51">
        <f t="shared" ref="AA99:AA112" si="22">Y99+Z99</f>
        <v>6</v>
      </c>
      <c r="AB99" s="55"/>
      <c r="AC99" s="56">
        <f t="shared" ref="AC99:AC112" si="23">AA99+IF(AB99="",0,AB99)</f>
        <v>6</v>
      </c>
      <c r="AD99" s="57"/>
      <c r="AE99" s="58">
        <f t="shared" ref="AE99:AE112" si="24">AC99-IF(AD99="",0,AD99)</f>
        <v>6</v>
      </c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</row>
    <row r="100" spans="1:49" ht="22" customHeight="1" x14ac:dyDescent="0.35">
      <c r="A100" s="8" t="s">
        <v>217</v>
      </c>
      <c r="B100" s="8" t="s">
        <v>218</v>
      </c>
      <c r="C100" s="8" t="s">
        <v>216</v>
      </c>
      <c r="D100" s="11">
        <v>19</v>
      </c>
      <c r="E100" s="10">
        <v>22</v>
      </c>
      <c r="F100" s="10">
        <v>21</v>
      </c>
      <c r="G100" s="11">
        <v>16</v>
      </c>
      <c r="H100" s="11">
        <v>19</v>
      </c>
      <c r="I100" s="11">
        <v>18</v>
      </c>
      <c r="J100" s="10">
        <v>21</v>
      </c>
      <c r="K100" s="10">
        <v>22</v>
      </c>
      <c r="L100" s="10">
        <v>23</v>
      </c>
      <c r="M100" s="11">
        <v>19</v>
      </c>
      <c r="N100" s="11">
        <v>15</v>
      </c>
      <c r="O100" s="11">
        <v>16</v>
      </c>
      <c r="P100" s="8">
        <f>IFERROR(INDEX(January!$AI:$AI,MATCH($A100,January!$A:$A,0)),0)+IFERROR(INDEX(February!$AF:$AF,MATCH($A100,February!$A:$A,0)),0)+IFERROR(INDEX(March!$AI:$AI,MATCH($A100,March!$A:$A,0)),0)+IFERROR(INDEX(April!$AH:$AH,MATCH($A100,April!$A:$A,0)),0)+IFERROR(INDEX(May!$AI:$AI,MATCH($A100,May!$A:$A,0)),0)+IFERROR(INDEX(June!$AH:$AH,MATCH($A100,June!$A:$A,0)),0)+IFERROR(INDEX(July!$AI:$AI,MATCH($A100,July!$A:$A,0)),0)+IFERROR(INDEX(August!$AI:$AI,MATCH($A100,August!$A:$A,0)),0)+IFERROR(INDEX(September!$AH:$AH,MATCH($A100,September!$A:$A,0)),0)+IFERROR(INDEX(October!$AI:$AI,MATCH($A100,October!$A:$A,0)),0)+IFERROR(INDEX(November!$AH:$AH,MATCH($A100,November!$A:$A,0)),0)+IFERROR(INDEX(December!$AI:$AI,MATCH($A100,December!$A:$A,0)),0)</f>
        <v>214</v>
      </c>
      <c r="Q100" s="8">
        <f>IFERROR(INDEX(January!$AJ:$AJ,MATCH($A100,January!$A:$A,0)),0)+IFERROR(INDEX(February!$AG:$AG,MATCH($A100,February!$A:$A,0)),0)+IFERROR(INDEX(March!$AJ:$AJ,MATCH($A100,March!$A:$A,0)),0)+IFERROR(INDEX(April!$AI:$AI,MATCH($A100,April!$A:$A,0)),0)+IFERROR(INDEX(May!$AJ:$AJ,MATCH($A100,May!$A:$A,0)),0)+IFERROR(INDEX(June!$AI:$AI,MATCH($A100,June!$A:$A,0)),0)+IFERROR(INDEX(July!$AJ:$AJ,MATCH($A100,July!$A:$A,0)),0)+IFERROR(INDEX(August!$AJ:$AJ,MATCH($A100,August!$A:$A,0)),0)+IFERROR(INDEX(September!$AI:$AI,MATCH($A100,September!$A:$A,0)),0)+IFERROR(INDEX(October!$AJ:$AJ,MATCH($A100,October!$A:$A,0)),0)+IFERROR(INDEX(November!$AI:$AI,MATCH($A100,November!$A:$A,0)),0)+IFERROR(INDEX(December!$AJ:$AJ,MATCH($A100,December!$A:$A,0)),0)</f>
        <v>47</v>
      </c>
      <c r="R100" s="8">
        <f>IFERROR(INDEX(January!$AK:$AK,MATCH($A100,January!$A:$A,0)),0)+IFERROR(INDEX(February!$AH:$AH,MATCH($A100,February!$A:$A,0)),0)+IFERROR(INDEX(March!$AK:$AK,MATCH($A100,March!$A:$A,0)),0)+IFERROR(INDEX(April!$AJ:$AJ,MATCH($A100,April!$A:$A,0)),0)+IFERROR(INDEX(May!$AK:$AK,MATCH($A100,May!$A:$A,0)),0)+IFERROR(INDEX(June!$AJ:$AJ,MATCH($A100,June!$A:$A,0)),0)+IFERROR(INDEX(July!$AK:$AK,MATCH($A100,July!$A:$A,0)),0)+IFERROR(INDEX(August!$AK:$AK,MATCH($A100,August!$A:$A,0)),0)+IFERROR(INDEX(September!$AJ:$AJ,MATCH($A100,September!$A:$A,0)),0)+IFERROR(INDEX(October!$AK:$AK,MATCH($A100,October!$A:$A,0)),0)+IFERROR(INDEX(November!$AJ:$AJ,MATCH($A100,November!$A:$A,0)),0)+IFERROR(INDEX(December!$AK:$AK,MATCH($A100,December!$A:$A,0)),0)</f>
        <v>9</v>
      </c>
      <c r="S100" s="35">
        <f t="shared" si="20"/>
        <v>0.81992337164750961</v>
      </c>
      <c r="T100" s="38"/>
      <c r="U100" s="51">
        <f>IFERROR(INDEX(January!$AQ:$AQ,MATCH($A100,January!$A:$A,0)),0)+IFERROR(INDEX(February!$AN:$AN,MATCH($A100,February!$A:$A,0)),0)+IFERROR(INDEX(March!$AQ:$AQ,MATCH($A100,March!$A:$A,0)),0)+IFERROR(INDEX(April!$AP:$AP,MATCH($A100,April!$A:$A,0)),0)+IFERROR(INDEX(May!$AQ:$AQ,MATCH($A100,May!$A:$A,0)),0)+IFERROR(INDEX(June!$AP:$AP,MATCH($A100,June!$A:$A,0)),0)+IFERROR(INDEX(July!$AQ:$AQ,MATCH($A100,July!$A:$A,0)),0)+IFERROR(INDEX(August!$AQ:$AQ,MATCH($A100,August!$A:$A,0)),0)+IFERROR(INDEX(September!$AP:$AP,MATCH($A100,September!$A:$A,0)),0)+IFERROR(INDEX(October!$AQ:$AQ,MATCH($A100,October!$A:$A,0)),0)+IFERROR(INDEX(November!$AP:$AP,MATCH($A100,November!$A:$A,0)),0)+IFERROR(INDEX(December!$AQ:$AQ,MATCH($A100,December!$A:$A,0)),0)</f>
        <v>207.5</v>
      </c>
      <c r="V100" s="52">
        <f>IFERROR(INDEX(January!$AJ:$AJ,MATCH($A100,January!$A:$A,0)),0)+IFERROR(INDEX(February!$AG:$AG,MATCH($A100,February!$A:$A,0)),0)+IFERROR(INDEX(March!$AJ:$AJ,MATCH($A100,March!$A:$A,0)),0)+IFERROR(INDEX(April!$AI:$AI,MATCH($A100,April!$A:$A,0)),0)+IFERROR(INDEX(May!$AJ:$AJ,MATCH($A100,May!$A:$A,0)),0)+IFERROR(INDEX(June!$AI:$AI,MATCH($A100,June!$A:$A,0)),0)+IFERROR(INDEX(July!$AJ:$AJ,MATCH($A100,July!$A:$A,0)),0)+IFERROR(INDEX(August!$AJ:$AJ,MATCH($A100,August!$A:$A,0)),0)+IFERROR(INDEX(September!$AI:$AI,MATCH($A100,September!$A:$A,0)),0)+IFERROR(INDEX(October!$AJ:$AJ,MATCH($A100,October!$A:$A,0)),0)+IFERROR(INDEX(November!$AI:$AI,MATCH($A100,November!$A:$A,0)),0)+IFERROR(INDEX(December!$AJ:$AJ,MATCH($A100,December!$A:$A,0)),0)</f>
        <v>47</v>
      </c>
      <c r="W100" s="53">
        <f>IFERROR(INDEX(January!$AO:$AO,MATCH($A100,January!$A:$A,0)),0)+IFERROR(INDEX(February!$AL:$AL,MATCH($A100,February!$A:$A,0)),0)+IFERROR(INDEX(March!$AO:$AO,MATCH($A100,March!$A:$A,0)),0)+IFERROR(INDEX(April!$AN:$AN,MATCH($A100,April!$A:$A,0)),0)+IFERROR(INDEX(May!$AO:$AO,MATCH($A100,May!$A:$A,0)),0)+IFERROR(INDEX(June!$AN:$AN,MATCH($A100,June!$A:$A,0)),0)+IFERROR(INDEX(July!$AO:$AO,MATCH($A100,July!$A:$A,0)),0)+IFERROR(INDEX(August!$AO:$AO,MATCH($A100,August!$A:$A,0)),0)+IFERROR(INDEX(September!$AN:$AN,MATCH($A100,September!$A:$A,0)),0)+IFERROR(INDEX(October!$AO:$AO,MATCH($A100,October!$A:$A,0)),0)+IFERROR(INDEX(November!$AN:$AN,MATCH($A100,November!$A:$A,0)),0)+IFERROR(INDEX(December!$AO:$AO,MATCH($A100,December!$A:$A,0)),0)</f>
        <v>39</v>
      </c>
      <c r="X100" s="53">
        <f t="shared" si="21"/>
        <v>19.5</v>
      </c>
      <c r="Y100" s="53">
        <f>(IFERROR(INDEX(January!$AL:$AL,MATCH($A100,January!$A:$A,0)),0)+IFERROR(INDEX(February!$AI:$AI,MATCH($A100,February!$A:$A,0)),0)+IFERROR(INDEX(March!$AL:$AL,MATCH($A100,March!$A:$A,0)),0)+IFERROR(INDEX(April!$AK:$AK,MATCH($A100,April!$A:$A,0)),0)+IFERROR(INDEX(May!$AL:$AL,MATCH($A100,May!$A:$A,0)),0)+IFERROR(INDEX(June!$AK:$AK,MATCH($A100,June!$A:$A,0)),0)+IFERROR(INDEX(July!$AL:$AL,MATCH($A100,July!$A:$A,0)),0)+IFERROR(INDEX(August!$AL:$AL,MATCH($A100,August!$A:$A,0)),0)+IFERROR(INDEX(September!$AK:$AK,MATCH($A100,September!$A:$A,0)),0)+IFERROR(INDEX(October!$AL:$AL,MATCH($A100,October!$A:$A,0)),0)+IFERROR(INDEX(November!$AK:$AK,MATCH($A100,November!$A:$A,0)),0)+IFERROR(INDEX(December!$AL:$AL,MATCH($A100,December!$A:$A,0)),0))*0.5</f>
        <v>4</v>
      </c>
      <c r="Z100" s="54">
        <f>IFERROR(INDEX(January!$AK:$AK,MATCH($A100,January!$A:$A,0)),0)+IFERROR(INDEX(February!$AH:$AH,MATCH($A100,February!$A:$A,0)),0)+IFERROR(INDEX(March!$AK:$AK,MATCH($A100,March!$A:$A,0)),0)+IFERROR(INDEX(April!$AJ:$AJ,MATCH($A100,April!$A:$A,0)),0)+IFERROR(INDEX(May!$AK:$AK,MATCH($A100,May!$A:$A,0)),0)+IFERROR(INDEX(June!$AJ:$AJ,MATCH($A100,June!$A:$A,0)),0)+IFERROR(INDEX(July!$AK:$AK,MATCH($A100,July!$A:$A,0)),0)+IFERROR(INDEX(August!$AK:$AK,MATCH($A100,August!$A:$A,0)),0)+IFERROR(INDEX(September!$AJ:$AJ,MATCH($A100,September!$A:$A,0)),0)+IFERROR(INDEX(October!$AK:$AK,MATCH($A100,October!$A:$A,0)),0)+IFERROR(INDEX(November!$AJ:$AJ,MATCH($A100,November!$A:$A,0)),0)+IFERROR(INDEX(December!$AK:$AK,MATCH($A100,December!$A:$A,0)),0)</f>
        <v>9</v>
      </c>
      <c r="AA100" s="51">
        <f t="shared" si="22"/>
        <v>13</v>
      </c>
      <c r="AB100" s="55"/>
      <c r="AC100" s="56">
        <f t="shared" si="23"/>
        <v>13</v>
      </c>
      <c r="AD100" s="57"/>
      <c r="AE100" s="58">
        <f t="shared" si="24"/>
        <v>13</v>
      </c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</row>
    <row r="101" spans="1:49" ht="22" customHeight="1" x14ac:dyDescent="0.35">
      <c r="A101" s="8" t="s">
        <v>219</v>
      </c>
      <c r="B101" s="8" t="s">
        <v>220</v>
      </c>
      <c r="C101" s="8" t="s">
        <v>216</v>
      </c>
      <c r="D101" s="10">
        <v>21</v>
      </c>
      <c r="E101" s="11">
        <v>17</v>
      </c>
      <c r="F101" s="11">
        <v>18</v>
      </c>
      <c r="G101" s="11">
        <v>19</v>
      </c>
      <c r="H101" s="11">
        <v>17</v>
      </c>
      <c r="I101" s="11">
        <v>18</v>
      </c>
      <c r="J101" s="11">
        <v>19</v>
      </c>
      <c r="K101" s="10">
        <v>21</v>
      </c>
      <c r="L101" s="11">
        <v>6</v>
      </c>
      <c r="M101" s="10">
        <v>22</v>
      </c>
      <c r="N101" s="11">
        <v>19</v>
      </c>
      <c r="O101" s="11">
        <v>19</v>
      </c>
      <c r="P101" s="8">
        <f>IFERROR(INDEX(January!$AI:$AI,MATCH($A101,January!$A:$A,0)),0)+IFERROR(INDEX(February!$AF:$AF,MATCH($A101,February!$A:$A,0)),0)+IFERROR(INDEX(March!$AI:$AI,MATCH($A101,March!$A:$A,0)),0)+IFERROR(INDEX(April!$AH:$AH,MATCH($A101,April!$A:$A,0)),0)+IFERROR(INDEX(May!$AI:$AI,MATCH($A101,May!$A:$A,0)),0)+IFERROR(INDEX(June!$AH:$AH,MATCH($A101,June!$A:$A,0)),0)+IFERROR(INDEX(July!$AI:$AI,MATCH($A101,July!$A:$A,0)),0)+IFERROR(INDEX(August!$AI:$AI,MATCH($A101,August!$A:$A,0)),0)+IFERROR(INDEX(September!$AH:$AH,MATCH($A101,September!$A:$A,0)),0)+IFERROR(INDEX(October!$AI:$AI,MATCH($A101,October!$A:$A,0)),0)+IFERROR(INDEX(November!$AH:$AH,MATCH($A101,November!$A:$A,0)),0)+IFERROR(INDEX(December!$AI:$AI,MATCH($A101,December!$A:$A,0)),0)</f>
        <v>211</v>
      </c>
      <c r="Q101" s="8">
        <f>IFERROR(INDEX(January!$AJ:$AJ,MATCH($A101,January!$A:$A,0)),0)+IFERROR(INDEX(February!$AG:$AG,MATCH($A101,February!$A:$A,0)),0)+IFERROR(INDEX(March!$AJ:$AJ,MATCH($A101,March!$A:$A,0)),0)+IFERROR(INDEX(April!$AI:$AI,MATCH($A101,April!$A:$A,0)),0)+IFERROR(INDEX(May!$AJ:$AJ,MATCH($A101,May!$A:$A,0)),0)+IFERROR(INDEX(June!$AI:$AI,MATCH($A101,June!$A:$A,0)),0)+IFERROR(INDEX(July!$AJ:$AJ,MATCH($A101,July!$A:$A,0)),0)+IFERROR(INDEX(August!$AJ:$AJ,MATCH($A101,August!$A:$A,0)),0)+IFERROR(INDEX(September!$AI:$AI,MATCH($A101,September!$A:$A,0)),0)+IFERROR(INDEX(October!$AJ:$AJ,MATCH($A101,October!$A:$A,0)),0)+IFERROR(INDEX(November!$AI:$AI,MATCH($A101,November!$A:$A,0)),0)+IFERROR(INDEX(December!$AJ:$AJ,MATCH($A101,December!$A:$A,0)),0)</f>
        <v>50</v>
      </c>
      <c r="R101" s="8">
        <f>IFERROR(INDEX(January!$AK:$AK,MATCH($A101,January!$A:$A,0)),0)+IFERROR(INDEX(February!$AH:$AH,MATCH($A101,February!$A:$A,0)),0)+IFERROR(INDEX(March!$AK:$AK,MATCH($A101,March!$A:$A,0)),0)+IFERROR(INDEX(April!$AJ:$AJ,MATCH($A101,April!$A:$A,0)),0)+IFERROR(INDEX(May!$AK:$AK,MATCH($A101,May!$A:$A,0)),0)+IFERROR(INDEX(June!$AJ:$AJ,MATCH($A101,June!$A:$A,0)),0)+IFERROR(INDEX(July!$AK:$AK,MATCH($A101,July!$A:$A,0)),0)+IFERROR(INDEX(August!$AK:$AK,MATCH($A101,August!$A:$A,0)),0)+IFERROR(INDEX(September!$AJ:$AJ,MATCH($A101,September!$A:$A,0)),0)+IFERROR(INDEX(October!$AK:$AK,MATCH($A101,October!$A:$A,0)),0)+IFERROR(INDEX(November!$AJ:$AJ,MATCH($A101,November!$A:$A,0)),0)+IFERROR(INDEX(December!$AK:$AK,MATCH($A101,December!$A:$A,0)),0)</f>
        <v>3</v>
      </c>
      <c r="S101" s="36">
        <f t="shared" si="20"/>
        <v>0.80842911877394641</v>
      </c>
      <c r="T101" s="38"/>
      <c r="U101" s="51">
        <f>IFERROR(INDEX(January!$AQ:$AQ,MATCH($A101,January!$A:$A,0)),0)+IFERROR(INDEX(February!$AN:$AN,MATCH($A101,February!$A:$A,0)),0)+IFERROR(INDEX(March!$AQ:$AQ,MATCH($A101,March!$A:$A,0)),0)+IFERROR(INDEX(April!$AP:$AP,MATCH($A101,April!$A:$A,0)),0)+IFERROR(INDEX(May!$AQ:$AQ,MATCH($A101,May!$A:$A,0)),0)+IFERROR(INDEX(June!$AP:$AP,MATCH($A101,June!$A:$A,0)),0)+IFERROR(INDEX(July!$AQ:$AQ,MATCH($A101,July!$A:$A,0)),0)+IFERROR(INDEX(August!$AQ:$AQ,MATCH($A101,August!$A:$A,0)),0)+IFERROR(INDEX(September!$AP:$AP,MATCH($A101,September!$A:$A,0)),0)+IFERROR(INDEX(October!$AQ:$AQ,MATCH($A101,October!$A:$A,0)),0)+IFERROR(INDEX(November!$AP:$AP,MATCH($A101,November!$A:$A,0)),0)+IFERROR(INDEX(December!$AQ:$AQ,MATCH($A101,December!$A:$A,0)),0)</f>
        <v>194</v>
      </c>
      <c r="V101" s="52">
        <f>IFERROR(INDEX(January!$AJ:$AJ,MATCH($A101,January!$A:$A,0)),0)+IFERROR(INDEX(February!$AG:$AG,MATCH($A101,February!$A:$A,0)),0)+IFERROR(INDEX(March!$AJ:$AJ,MATCH($A101,March!$A:$A,0)),0)+IFERROR(INDEX(April!$AI:$AI,MATCH($A101,April!$A:$A,0)),0)+IFERROR(INDEX(May!$AJ:$AJ,MATCH($A101,May!$A:$A,0)),0)+IFERROR(INDEX(June!$AI:$AI,MATCH($A101,June!$A:$A,0)),0)+IFERROR(INDEX(July!$AJ:$AJ,MATCH($A101,July!$A:$A,0)),0)+IFERROR(INDEX(August!$AJ:$AJ,MATCH($A101,August!$A:$A,0)),0)+IFERROR(INDEX(September!$AI:$AI,MATCH($A101,September!$A:$A,0)),0)+IFERROR(INDEX(October!$AJ:$AJ,MATCH($A101,October!$A:$A,0)),0)+IFERROR(INDEX(November!$AI:$AI,MATCH($A101,November!$A:$A,0)),0)+IFERROR(INDEX(December!$AJ:$AJ,MATCH($A101,December!$A:$A,0)),0)</f>
        <v>50</v>
      </c>
      <c r="W101" s="53">
        <f>IFERROR(INDEX(January!$AO:$AO,MATCH($A101,January!$A:$A,0)),0)+IFERROR(INDEX(February!$AL:$AL,MATCH($A101,February!$A:$A,0)),0)+IFERROR(INDEX(March!$AO:$AO,MATCH($A101,March!$A:$A,0)),0)+IFERROR(INDEX(April!$AN:$AN,MATCH($A101,April!$A:$A,0)),0)+IFERROR(INDEX(May!$AO:$AO,MATCH($A101,May!$A:$A,0)),0)+IFERROR(INDEX(June!$AN:$AN,MATCH($A101,June!$A:$A,0)),0)+IFERROR(INDEX(July!$AO:$AO,MATCH($A101,July!$A:$A,0)),0)+IFERROR(INDEX(August!$AO:$AO,MATCH($A101,August!$A:$A,0)),0)+IFERROR(INDEX(September!$AN:$AN,MATCH($A101,September!$A:$A,0)),0)+IFERROR(INDEX(October!$AO:$AO,MATCH($A101,October!$A:$A,0)),0)+IFERROR(INDEX(November!$AN:$AN,MATCH($A101,November!$A:$A,0)),0)+IFERROR(INDEX(December!$AO:$AO,MATCH($A101,December!$A:$A,0)),0)</f>
        <v>42</v>
      </c>
      <c r="X101" s="53">
        <f t="shared" si="21"/>
        <v>21</v>
      </c>
      <c r="Y101" s="53">
        <f>(IFERROR(INDEX(January!$AL:$AL,MATCH($A101,January!$A:$A,0)),0)+IFERROR(INDEX(February!$AI:$AI,MATCH($A101,February!$A:$A,0)),0)+IFERROR(INDEX(March!$AL:$AL,MATCH($A101,March!$A:$A,0)),0)+IFERROR(INDEX(April!$AK:$AK,MATCH($A101,April!$A:$A,0)),0)+IFERROR(INDEX(May!$AL:$AL,MATCH($A101,May!$A:$A,0)),0)+IFERROR(INDEX(June!$AK:$AK,MATCH($A101,June!$A:$A,0)),0)+IFERROR(INDEX(July!$AL:$AL,MATCH($A101,July!$A:$A,0)),0)+IFERROR(INDEX(August!$AL:$AL,MATCH($A101,August!$A:$A,0)),0)+IFERROR(INDEX(September!$AK:$AK,MATCH($A101,September!$A:$A,0)),0)+IFERROR(INDEX(October!$AL:$AL,MATCH($A101,October!$A:$A,0)),0)+IFERROR(INDEX(November!$AK:$AK,MATCH($A101,November!$A:$A,0)),0)+IFERROR(INDEX(December!$AL:$AL,MATCH($A101,December!$A:$A,0)),0))*0.5</f>
        <v>1</v>
      </c>
      <c r="Z101" s="54">
        <f>IFERROR(INDEX(January!$AK:$AK,MATCH($A101,January!$A:$A,0)),0)+IFERROR(INDEX(February!$AH:$AH,MATCH($A101,February!$A:$A,0)),0)+IFERROR(INDEX(March!$AK:$AK,MATCH($A101,March!$A:$A,0)),0)+IFERROR(INDEX(April!$AJ:$AJ,MATCH($A101,April!$A:$A,0)),0)+IFERROR(INDEX(May!$AK:$AK,MATCH($A101,May!$A:$A,0)),0)+IFERROR(INDEX(June!$AJ:$AJ,MATCH($A101,June!$A:$A,0)),0)+IFERROR(INDEX(July!$AK:$AK,MATCH($A101,July!$A:$A,0)),0)+IFERROR(INDEX(August!$AK:$AK,MATCH($A101,August!$A:$A,0)),0)+IFERROR(INDEX(September!$AJ:$AJ,MATCH($A101,September!$A:$A,0)),0)+IFERROR(INDEX(October!$AK:$AK,MATCH($A101,October!$A:$A,0)),0)+IFERROR(INDEX(November!$AJ:$AJ,MATCH($A101,November!$A:$A,0)),0)+IFERROR(INDEX(December!$AK:$AK,MATCH($A101,December!$A:$A,0)),0)</f>
        <v>3</v>
      </c>
      <c r="AA101" s="51">
        <f t="shared" si="22"/>
        <v>4</v>
      </c>
      <c r="AB101" s="55"/>
      <c r="AC101" s="56">
        <f t="shared" si="23"/>
        <v>4</v>
      </c>
      <c r="AD101" s="57"/>
      <c r="AE101" s="58">
        <f t="shared" si="24"/>
        <v>4</v>
      </c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</row>
    <row r="102" spans="1:49" ht="22" customHeight="1" x14ac:dyDescent="0.35">
      <c r="A102" s="8" t="s">
        <v>221</v>
      </c>
      <c r="B102" s="8" t="s">
        <v>222</v>
      </c>
      <c r="C102" s="8" t="s">
        <v>216</v>
      </c>
      <c r="D102" s="10">
        <v>22</v>
      </c>
      <c r="E102" s="11">
        <v>19</v>
      </c>
      <c r="F102" s="10">
        <v>21</v>
      </c>
      <c r="G102" s="10">
        <v>20</v>
      </c>
      <c r="H102" s="11">
        <v>19</v>
      </c>
      <c r="I102" s="10">
        <v>21</v>
      </c>
      <c r="J102" s="10">
        <v>23</v>
      </c>
      <c r="K102" s="10">
        <v>20</v>
      </c>
      <c r="L102" s="10">
        <v>23</v>
      </c>
      <c r="M102" s="10">
        <v>22</v>
      </c>
      <c r="N102" s="11">
        <v>19</v>
      </c>
      <c r="O102" s="11">
        <v>17</v>
      </c>
      <c r="P102" s="8">
        <f>IFERROR(INDEX(January!$AI:$AI,MATCH($A102,January!$A:$A,0)),0)+IFERROR(INDEX(February!$AF:$AF,MATCH($A102,February!$A:$A,0)),0)+IFERROR(INDEX(March!$AI:$AI,MATCH($A102,March!$A:$A,0)),0)+IFERROR(INDEX(April!$AH:$AH,MATCH($A102,April!$A:$A,0)),0)+IFERROR(INDEX(May!$AI:$AI,MATCH($A102,May!$A:$A,0)),0)+IFERROR(INDEX(June!$AH:$AH,MATCH($A102,June!$A:$A,0)),0)+IFERROR(INDEX(July!$AI:$AI,MATCH($A102,July!$A:$A,0)),0)+IFERROR(INDEX(August!$AI:$AI,MATCH($A102,August!$A:$A,0)),0)+IFERROR(INDEX(September!$AH:$AH,MATCH($A102,September!$A:$A,0)),0)+IFERROR(INDEX(October!$AI:$AI,MATCH($A102,October!$A:$A,0)),0)+IFERROR(INDEX(November!$AH:$AH,MATCH($A102,November!$A:$A,0)),0)+IFERROR(INDEX(December!$AI:$AI,MATCH($A102,December!$A:$A,0)),0)</f>
        <v>245</v>
      </c>
      <c r="Q102" s="8">
        <f>IFERROR(INDEX(January!$AJ:$AJ,MATCH($A102,January!$A:$A,0)),0)+IFERROR(INDEX(February!$AG:$AG,MATCH($A102,February!$A:$A,0)),0)+IFERROR(INDEX(March!$AJ:$AJ,MATCH($A102,March!$A:$A,0)),0)+IFERROR(INDEX(April!$AI:$AI,MATCH($A102,April!$A:$A,0)),0)+IFERROR(INDEX(May!$AJ:$AJ,MATCH($A102,May!$A:$A,0)),0)+IFERROR(INDEX(June!$AI:$AI,MATCH($A102,June!$A:$A,0)),0)+IFERROR(INDEX(July!$AJ:$AJ,MATCH($A102,July!$A:$A,0)),0)+IFERROR(INDEX(August!$AJ:$AJ,MATCH($A102,August!$A:$A,0)),0)+IFERROR(INDEX(September!$AI:$AI,MATCH($A102,September!$A:$A,0)),0)+IFERROR(INDEX(October!$AJ:$AJ,MATCH($A102,October!$A:$A,0)),0)+IFERROR(INDEX(November!$AI:$AI,MATCH($A102,November!$A:$A,0)),0)+IFERROR(INDEX(December!$AJ:$AJ,MATCH($A102,December!$A:$A,0)),0)</f>
        <v>16</v>
      </c>
      <c r="R102" s="8">
        <f>IFERROR(INDEX(January!$AK:$AK,MATCH($A102,January!$A:$A,0)),0)+IFERROR(INDEX(February!$AH:$AH,MATCH($A102,February!$A:$A,0)),0)+IFERROR(INDEX(March!$AK:$AK,MATCH($A102,March!$A:$A,0)),0)+IFERROR(INDEX(April!$AJ:$AJ,MATCH($A102,April!$A:$A,0)),0)+IFERROR(INDEX(May!$AK:$AK,MATCH($A102,May!$A:$A,0)),0)+IFERROR(INDEX(June!$AJ:$AJ,MATCH($A102,June!$A:$A,0)),0)+IFERROR(INDEX(July!$AK:$AK,MATCH($A102,July!$A:$A,0)),0)+IFERROR(INDEX(August!$AK:$AK,MATCH($A102,August!$A:$A,0)),0)+IFERROR(INDEX(September!$AJ:$AJ,MATCH($A102,September!$A:$A,0)),0)+IFERROR(INDEX(October!$AK:$AK,MATCH($A102,October!$A:$A,0)),0)+IFERROR(INDEX(November!$AJ:$AJ,MATCH($A102,November!$A:$A,0)),0)+IFERROR(INDEX(December!$AK:$AK,MATCH($A102,December!$A:$A,0)),0)</f>
        <v>1</v>
      </c>
      <c r="S102" s="35">
        <f t="shared" si="20"/>
        <v>0.93869731800766287</v>
      </c>
      <c r="T102" s="38"/>
      <c r="U102" s="51">
        <f>IFERROR(INDEX(January!$AQ:$AQ,MATCH($A102,January!$A:$A,0)),0)+IFERROR(INDEX(February!$AN:$AN,MATCH($A102,February!$A:$A,0)),0)+IFERROR(INDEX(March!$AQ:$AQ,MATCH($A102,March!$A:$A,0)),0)+IFERROR(INDEX(April!$AP:$AP,MATCH($A102,April!$A:$A,0)),0)+IFERROR(INDEX(May!$AQ:$AQ,MATCH($A102,May!$A:$A,0)),0)+IFERROR(INDEX(June!$AP:$AP,MATCH($A102,June!$A:$A,0)),0)+IFERROR(INDEX(July!$AQ:$AQ,MATCH($A102,July!$A:$A,0)),0)+IFERROR(INDEX(August!$AQ:$AQ,MATCH($A102,August!$A:$A,0)),0)+IFERROR(INDEX(September!$AP:$AP,MATCH($A102,September!$A:$A,0)),0)+IFERROR(INDEX(October!$AQ:$AQ,MATCH($A102,October!$A:$A,0)),0)+IFERROR(INDEX(November!$AP:$AP,MATCH($A102,November!$A:$A,0)),0)+IFERROR(INDEX(December!$AQ:$AQ,MATCH($A102,December!$A:$A,0)),0)</f>
        <v>221.5</v>
      </c>
      <c r="V102" s="52">
        <f>IFERROR(INDEX(January!$AJ:$AJ,MATCH($A102,January!$A:$A,0)),0)+IFERROR(INDEX(February!$AG:$AG,MATCH($A102,February!$A:$A,0)),0)+IFERROR(INDEX(March!$AJ:$AJ,MATCH($A102,March!$A:$A,0)),0)+IFERROR(INDEX(April!$AI:$AI,MATCH($A102,April!$A:$A,0)),0)+IFERROR(INDEX(May!$AJ:$AJ,MATCH($A102,May!$A:$A,0)),0)+IFERROR(INDEX(June!$AI:$AI,MATCH($A102,June!$A:$A,0)),0)+IFERROR(INDEX(July!$AJ:$AJ,MATCH($A102,July!$A:$A,0)),0)+IFERROR(INDEX(August!$AJ:$AJ,MATCH($A102,August!$A:$A,0)),0)+IFERROR(INDEX(September!$AI:$AI,MATCH($A102,September!$A:$A,0)),0)+IFERROR(INDEX(October!$AJ:$AJ,MATCH($A102,October!$A:$A,0)),0)+IFERROR(INDEX(November!$AI:$AI,MATCH($A102,November!$A:$A,0)),0)+IFERROR(INDEX(December!$AJ:$AJ,MATCH($A102,December!$A:$A,0)),0)</f>
        <v>16</v>
      </c>
      <c r="W102" s="53">
        <f>IFERROR(INDEX(January!$AO:$AO,MATCH($A102,January!$A:$A,0)),0)+IFERROR(INDEX(February!$AL:$AL,MATCH($A102,February!$A:$A,0)),0)+IFERROR(INDEX(March!$AO:$AO,MATCH($A102,March!$A:$A,0)),0)+IFERROR(INDEX(April!$AN:$AN,MATCH($A102,April!$A:$A,0)),0)+IFERROR(INDEX(May!$AO:$AO,MATCH($A102,May!$A:$A,0)),0)+IFERROR(INDEX(June!$AN:$AN,MATCH($A102,June!$A:$A,0)),0)+IFERROR(INDEX(July!$AO:$AO,MATCH($A102,July!$A:$A,0)),0)+IFERROR(INDEX(August!$AO:$AO,MATCH($A102,August!$A:$A,0)),0)+IFERROR(INDEX(September!$AN:$AN,MATCH($A102,September!$A:$A,0)),0)+IFERROR(INDEX(October!$AO:$AO,MATCH($A102,October!$A:$A,0)),0)+IFERROR(INDEX(November!$AN:$AN,MATCH($A102,November!$A:$A,0)),0)+IFERROR(INDEX(December!$AO:$AO,MATCH($A102,December!$A:$A,0)),0)</f>
        <v>49</v>
      </c>
      <c r="X102" s="53">
        <f t="shared" si="21"/>
        <v>24.5</v>
      </c>
      <c r="Y102" s="53">
        <f>(IFERROR(INDEX(January!$AL:$AL,MATCH($A102,January!$A:$A,0)),0)+IFERROR(INDEX(February!$AI:$AI,MATCH($A102,February!$A:$A,0)),0)+IFERROR(INDEX(March!$AL:$AL,MATCH($A102,March!$A:$A,0)),0)+IFERROR(INDEX(April!$AK:$AK,MATCH($A102,April!$A:$A,0)),0)+IFERROR(INDEX(May!$AL:$AL,MATCH($A102,May!$A:$A,0)),0)+IFERROR(INDEX(June!$AK:$AK,MATCH($A102,June!$A:$A,0)),0)+IFERROR(INDEX(July!$AL:$AL,MATCH($A102,July!$A:$A,0)),0)+IFERROR(INDEX(August!$AL:$AL,MATCH($A102,August!$A:$A,0)),0)+IFERROR(INDEX(September!$AK:$AK,MATCH($A102,September!$A:$A,0)),0)+IFERROR(INDEX(October!$AL:$AL,MATCH($A102,October!$A:$A,0)),0)+IFERROR(INDEX(November!$AK:$AK,MATCH($A102,November!$A:$A,0)),0)+IFERROR(INDEX(December!$AL:$AL,MATCH($A102,December!$A:$A,0)),0))*0.5</f>
        <v>0</v>
      </c>
      <c r="Z102" s="54">
        <f>IFERROR(INDEX(January!$AK:$AK,MATCH($A102,January!$A:$A,0)),0)+IFERROR(INDEX(February!$AH:$AH,MATCH($A102,February!$A:$A,0)),0)+IFERROR(INDEX(March!$AK:$AK,MATCH($A102,March!$A:$A,0)),0)+IFERROR(INDEX(April!$AJ:$AJ,MATCH($A102,April!$A:$A,0)),0)+IFERROR(INDEX(May!$AK:$AK,MATCH($A102,May!$A:$A,0)),0)+IFERROR(INDEX(June!$AJ:$AJ,MATCH($A102,June!$A:$A,0)),0)+IFERROR(INDEX(July!$AK:$AK,MATCH($A102,July!$A:$A,0)),0)+IFERROR(INDEX(August!$AK:$AK,MATCH($A102,August!$A:$A,0)),0)+IFERROR(INDEX(September!$AJ:$AJ,MATCH($A102,September!$A:$A,0)),0)+IFERROR(INDEX(October!$AK:$AK,MATCH($A102,October!$A:$A,0)),0)+IFERROR(INDEX(November!$AJ:$AJ,MATCH($A102,November!$A:$A,0)),0)+IFERROR(INDEX(December!$AK:$AK,MATCH($A102,December!$A:$A,0)),0)</f>
        <v>1</v>
      </c>
      <c r="AA102" s="51">
        <f t="shared" si="22"/>
        <v>1</v>
      </c>
      <c r="AB102" s="55"/>
      <c r="AC102" s="56">
        <f t="shared" si="23"/>
        <v>1</v>
      </c>
      <c r="AD102" s="57"/>
      <c r="AE102" s="58">
        <f t="shared" si="24"/>
        <v>1</v>
      </c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</row>
    <row r="103" spans="1:49" ht="22" customHeight="1" x14ac:dyDescent="0.35">
      <c r="A103" s="8" t="s">
        <v>223</v>
      </c>
      <c r="B103" s="8" t="s">
        <v>224</v>
      </c>
      <c r="C103" s="8" t="s">
        <v>216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11">
        <v>17</v>
      </c>
      <c r="K103" s="10">
        <v>20</v>
      </c>
      <c r="L103" s="10">
        <v>22</v>
      </c>
      <c r="M103" s="11">
        <v>16</v>
      </c>
      <c r="N103" s="11">
        <v>17</v>
      </c>
      <c r="O103" s="11">
        <v>15</v>
      </c>
      <c r="P103" s="8">
        <f>IFERROR(INDEX(January!$AI:$AI,MATCH($A103,January!$A:$A,0)),0)+IFERROR(INDEX(February!$AF:$AF,MATCH($A103,February!$A:$A,0)),0)+IFERROR(INDEX(March!$AI:$AI,MATCH($A103,March!$A:$A,0)),0)+IFERROR(INDEX(April!$AH:$AH,MATCH($A103,April!$A:$A,0)),0)+IFERROR(INDEX(May!$AI:$AI,MATCH($A103,May!$A:$A,0)),0)+IFERROR(INDEX(June!$AH:$AH,MATCH($A103,June!$A:$A,0)),0)+IFERROR(INDEX(July!$AI:$AI,MATCH($A103,July!$A:$A,0)),0)+IFERROR(INDEX(August!$AI:$AI,MATCH($A103,August!$A:$A,0)),0)+IFERROR(INDEX(September!$AH:$AH,MATCH($A103,September!$A:$A,0)),0)+IFERROR(INDEX(October!$AI:$AI,MATCH($A103,October!$A:$A,0)),0)+IFERROR(INDEX(November!$AH:$AH,MATCH($A103,November!$A:$A,0)),0)+IFERROR(INDEX(December!$AI:$AI,MATCH($A103,December!$A:$A,0)),0)</f>
        <v>104</v>
      </c>
      <c r="Q103" s="8">
        <f>IFERROR(INDEX(January!$AJ:$AJ,MATCH($A103,January!$A:$A,0)),0)+IFERROR(INDEX(February!$AG:$AG,MATCH($A103,February!$A:$A,0)),0)+IFERROR(INDEX(March!$AJ:$AJ,MATCH($A103,March!$A:$A,0)),0)+IFERROR(INDEX(April!$AI:$AI,MATCH($A103,April!$A:$A,0)),0)+IFERROR(INDEX(May!$AJ:$AJ,MATCH($A103,May!$A:$A,0)),0)+IFERROR(INDEX(June!$AI:$AI,MATCH($A103,June!$A:$A,0)),0)+IFERROR(INDEX(July!$AJ:$AJ,MATCH($A103,July!$A:$A,0)),0)+IFERROR(INDEX(August!$AJ:$AJ,MATCH($A103,August!$A:$A,0)),0)+IFERROR(INDEX(September!$AI:$AI,MATCH($A103,September!$A:$A,0)),0)+IFERROR(INDEX(October!$AJ:$AJ,MATCH($A103,October!$A:$A,0)),0)+IFERROR(INDEX(November!$AI:$AI,MATCH($A103,November!$A:$A,0)),0)+IFERROR(INDEX(December!$AJ:$AJ,MATCH($A103,December!$A:$A,0)),0)</f>
        <v>157</v>
      </c>
      <c r="R103" s="8">
        <f>IFERROR(INDEX(January!$AK:$AK,MATCH($A103,January!$A:$A,0)),0)+IFERROR(INDEX(February!$AH:$AH,MATCH($A103,February!$A:$A,0)),0)+IFERROR(INDEX(March!$AK:$AK,MATCH($A103,March!$A:$A,0)),0)+IFERROR(INDEX(April!$AJ:$AJ,MATCH($A103,April!$A:$A,0)),0)+IFERROR(INDEX(May!$AK:$AK,MATCH($A103,May!$A:$A,0)),0)+IFERROR(INDEX(June!$AJ:$AJ,MATCH($A103,June!$A:$A,0)),0)+IFERROR(INDEX(July!$AK:$AK,MATCH($A103,July!$A:$A,0)),0)+IFERROR(INDEX(August!$AK:$AK,MATCH($A103,August!$A:$A,0)),0)+IFERROR(INDEX(September!$AJ:$AJ,MATCH($A103,September!$A:$A,0)),0)+IFERROR(INDEX(October!$AK:$AK,MATCH($A103,October!$A:$A,0)),0)+IFERROR(INDEX(November!$AJ:$AJ,MATCH($A103,November!$A:$A,0)),0)+IFERROR(INDEX(December!$AK:$AK,MATCH($A103,December!$A:$A,0)),0)</f>
        <v>0</v>
      </c>
      <c r="S103" s="37">
        <f t="shared" si="20"/>
        <v>0.39846743295019155</v>
      </c>
      <c r="T103" s="38"/>
      <c r="U103" s="51">
        <f>IFERROR(INDEX(January!$AQ:$AQ,MATCH($A103,January!$A:$A,0)),0)+IFERROR(INDEX(February!$AN:$AN,MATCH($A103,February!$A:$A,0)),0)+IFERROR(INDEX(March!$AQ:$AQ,MATCH($A103,March!$A:$A,0)),0)+IFERROR(INDEX(April!$AP:$AP,MATCH($A103,April!$A:$A,0)),0)+IFERROR(INDEX(May!$AQ:$AQ,MATCH($A103,May!$A:$A,0)),0)+IFERROR(INDEX(June!$AP:$AP,MATCH($A103,June!$A:$A,0)),0)+IFERROR(INDEX(July!$AQ:$AQ,MATCH($A103,July!$A:$A,0)),0)+IFERROR(INDEX(August!$AQ:$AQ,MATCH($A103,August!$A:$A,0)),0)+IFERROR(INDEX(September!$AP:$AP,MATCH($A103,September!$A:$A,0)),0)+IFERROR(INDEX(October!$AQ:$AQ,MATCH($A103,October!$A:$A,0)),0)+IFERROR(INDEX(November!$AP:$AP,MATCH($A103,November!$A:$A,0)),0)+IFERROR(INDEX(December!$AQ:$AQ,MATCH($A103,December!$A:$A,0)),0)</f>
        <v>97</v>
      </c>
      <c r="V103" s="52">
        <f>IFERROR(INDEX(January!$AJ:$AJ,MATCH($A103,January!$A:$A,0)),0)+IFERROR(INDEX(February!$AG:$AG,MATCH($A103,February!$A:$A,0)),0)+IFERROR(INDEX(March!$AJ:$AJ,MATCH($A103,March!$A:$A,0)),0)+IFERROR(INDEX(April!$AI:$AI,MATCH($A103,April!$A:$A,0)),0)+IFERROR(INDEX(May!$AJ:$AJ,MATCH($A103,May!$A:$A,0)),0)+IFERROR(INDEX(June!$AI:$AI,MATCH($A103,June!$A:$A,0)),0)+IFERROR(INDEX(July!$AJ:$AJ,MATCH($A103,July!$A:$A,0)),0)+IFERROR(INDEX(August!$AJ:$AJ,MATCH($A103,August!$A:$A,0)),0)+IFERROR(INDEX(September!$AI:$AI,MATCH($A103,September!$A:$A,0)),0)+IFERROR(INDEX(October!$AJ:$AJ,MATCH($A103,October!$A:$A,0)),0)+IFERROR(INDEX(November!$AI:$AI,MATCH($A103,November!$A:$A,0)),0)+IFERROR(INDEX(December!$AJ:$AJ,MATCH($A103,December!$A:$A,0)),0)</f>
        <v>157</v>
      </c>
      <c r="W103" s="53">
        <f>IFERROR(INDEX(January!$AO:$AO,MATCH($A103,January!$A:$A,0)),0)+IFERROR(INDEX(February!$AL:$AL,MATCH($A103,February!$A:$A,0)),0)+IFERROR(INDEX(March!$AO:$AO,MATCH($A103,March!$A:$A,0)),0)+IFERROR(INDEX(April!$AN:$AN,MATCH($A103,April!$A:$A,0)),0)+IFERROR(INDEX(May!$AO:$AO,MATCH($A103,May!$A:$A,0)),0)+IFERROR(INDEX(June!$AN:$AN,MATCH($A103,June!$A:$A,0)),0)+IFERROR(INDEX(July!$AO:$AO,MATCH($A103,July!$A:$A,0)),0)+IFERROR(INDEX(August!$AO:$AO,MATCH($A103,August!$A:$A,0)),0)+IFERROR(INDEX(September!$AN:$AN,MATCH($A103,September!$A:$A,0)),0)+IFERROR(INDEX(October!$AO:$AO,MATCH($A103,October!$A:$A,0)),0)+IFERROR(INDEX(November!$AN:$AN,MATCH($A103,November!$A:$A,0)),0)+IFERROR(INDEX(December!$AO:$AO,MATCH($A103,December!$A:$A,0)),0)</f>
        <v>17</v>
      </c>
      <c r="X103" s="53">
        <f t="shared" si="21"/>
        <v>8.5</v>
      </c>
      <c r="Y103" s="53">
        <f>(IFERROR(INDEX(January!$AL:$AL,MATCH($A103,January!$A:$A,0)),0)+IFERROR(INDEX(February!$AI:$AI,MATCH($A103,February!$A:$A,0)),0)+IFERROR(INDEX(March!$AL:$AL,MATCH($A103,March!$A:$A,0)),0)+IFERROR(INDEX(April!$AK:$AK,MATCH($A103,April!$A:$A,0)),0)+IFERROR(INDEX(May!$AL:$AL,MATCH($A103,May!$A:$A,0)),0)+IFERROR(INDEX(June!$AK:$AK,MATCH($A103,June!$A:$A,0)),0)+IFERROR(INDEX(July!$AL:$AL,MATCH($A103,July!$A:$A,0)),0)+IFERROR(INDEX(August!$AL:$AL,MATCH($A103,August!$A:$A,0)),0)+IFERROR(INDEX(September!$AK:$AK,MATCH($A103,September!$A:$A,0)),0)+IFERROR(INDEX(October!$AL:$AL,MATCH($A103,October!$A:$A,0)),0)+IFERROR(INDEX(November!$AK:$AK,MATCH($A103,November!$A:$A,0)),0)+IFERROR(INDEX(December!$AL:$AL,MATCH($A103,December!$A:$A,0)),0))*0.5</f>
        <v>1.5</v>
      </c>
      <c r="Z103" s="54">
        <f>IFERROR(INDEX(January!$AK:$AK,MATCH($A103,January!$A:$A,0)),0)+IFERROR(INDEX(February!$AH:$AH,MATCH($A103,February!$A:$A,0)),0)+IFERROR(INDEX(March!$AK:$AK,MATCH($A103,March!$A:$A,0)),0)+IFERROR(INDEX(April!$AJ:$AJ,MATCH($A103,April!$A:$A,0)),0)+IFERROR(INDEX(May!$AK:$AK,MATCH($A103,May!$A:$A,0)),0)+IFERROR(INDEX(June!$AJ:$AJ,MATCH($A103,June!$A:$A,0)),0)+IFERROR(INDEX(July!$AK:$AK,MATCH($A103,July!$A:$A,0)),0)+IFERROR(INDEX(August!$AK:$AK,MATCH($A103,August!$A:$A,0)),0)+IFERROR(INDEX(September!$AJ:$AJ,MATCH($A103,September!$A:$A,0)),0)+IFERROR(INDEX(October!$AK:$AK,MATCH($A103,October!$A:$A,0)),0)+IFERROR(INDEX(November!$AJ:$AJ,MATCH($A103,November!$A:$A,0)),0)+IFERROR(INDEX(December!$AK:$AK,MATCH($A103,December!$A:$A,0)),0)</f>
        <v>0</v>
      </c>
      <c r="AA103" s="51">
        <f t="shared" si="22"/>
        <v>1.5</v>
      </c>
      <c r="AB103" s="55"/>
      <c r="AC103" s="56">
        <f t="shared" si="23"/>
        <v>1.5</v>
      </c>
      <c r="AD103" s="57"/>
      <c r="AE103" s="58">
        <f t="shared" si="24"/>
        <v>1.5</v>
      </c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</row>
    <row r="104" spans="1:49" ht="22" customHeight="1" x14ac:dyDescent="0.35">
      <c r="A104" s="8" t="s">
        <v>225</v>
      </c>
      <c r="B104" s="8" t="s">
        <v>226</v>
      </c>
      <c r="C104" s="8" t="s">
        <v>216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11">
        <v>6</v>
      </c>
      <c r="K104" s="10">
        <v>23</v>
      </c>
      <c r="L104" s="10">
        <v>23</v>
      </c>
      <c r="M104" s="10">
        <v>23</v>
      </c>
      <c r="N104" s="11">
        <v>16</v>
      </c>
      <c r="O104" s="11">
        <v>18</v>
      </c>
      <c r="P104" s="8">
        <f>IFERROR(INDEX(January!$AI:$AI,MATCH($A104,January!$A:$A,0)),0)+IFERROR(INDEX(February!$AF:$AF,MATCH($A104,February!$A:$A,0)),0)+IFERROR(INDEX(March!$AI:$AI,MATCH($A104,March!$A:$A,0)),0)+IFERROR(INDEX(April!$AH:$AH,MATCH($A104,April!$A:$A,0)),0)+IFERROR(INDEX(May!$AI:$AI,MATCH($A104,May!$A:$A,0)),0)+IFERROR(INDEX(June!$AH:$AH,MATCH($A104,June!$A:$A,0)),0)+IFERROR(INDEX(July!$AI:$AI,MATCH($A104,July!$A:$A,0)),0)+IFERROR(INDEX(August!$AI:$AI,MATCH($A104,August!$A:$A,0)),0)+IFERROR(INDEX(September!$AH:$AH,MATCH($A104,September!$A:$A,0)),0)+IFERROR(INDEX(October!$AI:$AI,MATCH($A104,October!$A:$A,0)),0)+IFERROR(INDEX(November!$AH:$AH,MATCH($A104,November!$A:$A,0)),0)+IFERROR(INDEX(December!$AI:$AI,MATCH($A104,December!$A:$A,0)),0)</f>
        <v>105</v>
      </c>
      <c r="Q104" s="8">
        <f>IFERROR(INDEX(January!$AJ:$AJ,MATCH($A104,January!$A:$A,0)),0)+IFERROR(INDEX(February!$AG:$AG,MATCH($A104,February!$A:$A,0)),0)+IFERROR(INDEX(March!$AJ:$AJ,MATCH($A104,March!$A:$A,0)),0)+IFERROR(INDEX(April!$AI:$AI,MATCH($A104,April!$A:$A,0)),0)+IFERROR(INDEX(May!$AJ:$AJ,MATCH($A104,May!$A:$A,0)),0)+IFERROR(INDEX(June!$AI:$AI,MATCH($A104,June!$A:$A,0)),0)+IFERROR(INDEX(July!$AJ:$AJ,MATCH($A104,July!$A:$A,0)),0)+IFERROR(INDEX(August!$AJ:$AJ,MATCH($A104,August!$A:$A,0)),0)+IFERROR(INDEX(September!$AI:$AI,MATCH($A104,September!$A:$A,0)),0)+IFERROR(INDEX(October!$AJ:$AJ,MATCH($A104,October!$A:$A,0)),0)+IFERROR(INDEX(November!$AI:$AI,MATCH($A104,November!$A:$A,0)),0)+IFERROR(INDEX(December!$AJ:$AJ,MATCH($A104,December!$A:$A,0)),0)</f>
        <v>156</v>
      </c>
      <c r="R104" s="8">
        <f>IFERROR(INDEX(January!$AK:$AK,MATCH($A104,January!$A:$A,0)),0)+IFERROR(INDEX(February!$AH:$AH,MATCH($A104,February!$A:$A,0)),0)+IFERROR(INDEX(March!$AK:$AK,MATCH($A104,March!$A:$A,0)),0)+IFERROR(INDEX(April!$AJ:$AJ,MATCH($A104,April!$A:$A,0)),0)+IFERROR(INDEX(May!$AK:$AK,MATCH($A104,May!$A:$A,0)),0)+IFERROR(INDEX(June!$AJ:$AJ,MATCH($A104,June!$A:$A,0)),0)+IFERROR(INDEX(July!$AK:$AK,MATCH($A104,July!$A:$A,0)),0)+IFERROR(INDEX(August!$AK:$AK,MATCH($A104,August!$A:$A,0)),0)+IFERROR(INDEX(September!$AJ:$AJ,MATCH($A104,September!$A:$A,0)),0)+IFERROR(INDEX(October!$AK:$AK,MATCH($A104,October!$A:$A,0)),0)+IFERROR(INDEX(November!$AJ:$AJ,MATCH($A104,November!$A:$A,0)),0)+IFERROR(INDEX(December!$AK:$AK,MATCH($A104,December!$A:$A,0)),0)</f>
        <v>1</v>
      </c>
      <c r="S104" s="37">
        <f t="shared" si="20"/>
        <v>0.40229885057471265</v>
      </c>
      <c r="T104" s="38"/>
      <c r="U104" s="51">
        <f>IFERROR(INDEX(January!$AQ:$AQ,MATCH($A104,January!$A:$A,0)),0)+IFERROR(INDEX(February!$AN:$AN,MATCH($A104,February!$A:$A,0)),0)+IFERROR(INDEX(March!$AQ:$AQ,MATCH($A104,March!$A:$A,0)),0)+IFERROR(INDEX(April!$AP:$AP,MATCH($A104,April!$A:$A,0)),0)+IFERROR(INDEX(May!$AQ:$AQ,MATCH($A104,May!$A:$A,0)),0)+IFERROR(INDEX(June!$AP:$AP,MATCH($A104,June!$A:$A,0)),0)+IFERROR(INDEX(July!$AQ:$AQ,MATCH($A104,July!$A:$A,0)),0)+IFERROR(INDEX(August!$AQ:$AQ,MATCH($A104,August!$A:$A,0)),0)+IFERROR(INDEX(September!$AP:$AP,MATCH($A104,September!$A:$A,0)),0)+IFERROR(INDEX(October!$AQ:$AQ,MATCH($A104,October!$A:$A,0)),0)+IFERROR(INDEX(November!$AP:$AP,MATCH($A104,November!$A:$A,0)),0)+IFERROR(INDEX(December!$AQ:$AQ,MATCH($A104,December!$A:$A,0)),0)</f>
        <v>98.5</v>
      </c>
      <c r="V104" s="52">
        <f>IFERROR(INDEX(January!$AJ:$AJ,MATCH($A104,January!$A:$A,0)),0)+IFERROR(INDEX(February!$AG:$AG,MATCH($A104,February!$A:$A,0)),0)+IFERROR(INDEX(March!$AJ:$AJ,MATCH($A104,March!$A:$A,0)),0)+IFERROR(INDEX(April!$AI:$AI,MATCH($A104,April!$A:$A,0)),0)+IFERROR(INDEX(May!$AJ:$AJ,MATCH($A104,May!$A:$A,0)),0)+IFERROR(INDEX(June!$AI:$AI,MATCH($A104,June!$A:$A,0)),0)+IFERROR(INDEX(July!$AJ:$AJ,MATCH($A104,July!$A:$A,0)),0)+IFERROR(INDEX(August!$AJ:$AJ,MATCH($A104,August!$A:$A,0)),0)+IFERROR(INDEX(September!$AI:$AI,MATCH($A104,September!$A:$A,0)),0)+IFERROR(INDEX(October!$AJ:$AJ,MATCH($A104,October!$A:$A,0)),0)+IFERROR(INDEX(November!$AI:$AI,MATCH($A104,November!$A:$A,0)),0)+IFERROR(INDEX(December!$AJ:$AJ,MATCH($A104,December!$A:$A,0)),0)</f>
        <v>156</v>
      </c>
      <c r="W104" s="53">
        <f>IFERROR(INDEX(January!$AO:$AO,MATCH($A104,January!$A:$A,0)),0)+IFERROR(INDEX(February!$AL:$AL,MATCH($A104,February!$A:$A,0)),0)+IFERROR(INDEX(March!$AO:$AO,MATCH($A104,March!$A:$A,0)),0)+IFERROR(INDEX(April!$AN:$AN,MATCH($A104,April!$A:$A,0)),0)+IFERROR(INDEX(May!$AO:$AO,MATCH($A104,May!$A:$A,0)),0)+IFERROR(INDEX(June!$AN:$AN,MATCH($A104,June!$A:$A,0)),0)+IFERROR(INDEX(July!$AO:$AO,MATCH($A104,July!$A:$A,0)),0)+IFERROR(INDEX(August!$AO:$AO,MATCH($A104,August!$A:$A,0)),0)+IFERROR(INDEX(September!$AN:$AN,MATCH($A104,September!$A:$A,0)),0)+IFERROR(INDEX(October!$AO:$AO,MATCH($A104,October!$A:$A,0)),0)+IFERROR(INDEX(November!$AN:$AN,MATCH($A104,November!$A:$A,0)),0)+IFERROR(INDEX(December!$AO:$AO,MATCH($A104,December!$A:$A,0)),0)</f>
        <v>18</v>
      </c>
      <c r="X104" s="53">
        <f t="shared" si="21"/>
        <v>9</v>
      </c>
      <c r="Y104" s="53">
        <f>(IFERROR(INDEX(January!$AL:$AL,MATCH($A104,January!$A:$A,0)),0)+IFERROR(INDEX(February!$AI:$AI,MATCH($A104,February!$A:$A,0)),0)+IFERROR(INDEX(March!$AL:$AL,MATCH($A104,March!$A:$A,0)),0)+IFERROR(INDEX(April!$AK:$AK,MATCH($A104,April!$A:$A,0)),0)+IFERROR(INDEX(May!$AL:$AL,MATCH($A104,May!$A:$A,0)),0)+IFERROR(INDEX(June!$AK:$AK,MATCH($A104,June!$A:$A,0)),0)+IFERROR(INDEX(July!$AL:$AL,MATCH($A104,July!$A:$A,0)),0)+IFERROR(INDEX(August!$AL:$AL,MATCH($A104,August!$A:$A,0)),0)+IFERROR(INDEX(September!$AK:$AK,MATCH($A104,September!$A:$A,0)),0)+IFERROR(INDEX(October!$AL:$AL,MATCH($A104,October!$A:$A,0)),0)+IFERROR(INDEX(November!$AK:$AK,MATCH($A104,November!$A:$A,0)),0)+IFERROR(INDEX(December!$AL:$AL,MATCH($A104,December!$A:$A,0)),0))*0.5</f>
        <v>1.5</v>
      </c>
      <c r="Z104" s="54">
        <f>IFERROR(INDEX(January!$AK:$AK,MATCH($A104,January!$A:$A,0)),0)+IFERROR(INDEX(February!$AH:$AH,MATCH($A104,February!$A:$A,0)),0)+IFERROR(INDEX(March!$AK:$AK,MATCH($A104,March!$A:$A,0)),0)+IFERROR(INDEX(April!$AJ:$AJ,MATCH($A104,April!$A:$A,0)),0)+IFERROR(INDEX(May!$AK:$AK,MATCH($A104,May!$A:$A,0)),0)+IFERROR(INDEX(June!$AJ:$AJ,MATCH($A104,June!$A:$A,0)),0)+IFERROR(INDEX(July!$AK:$AK,MATCH($A104,July!$A:$A,0)),0)+IFERROR(INDEX(August!$AK:$AK,MATCH($A104,August!$A:$A,0)),0)+IFERROR(INDEX(September!$AJ:$AJ,MATCH($A104,September!$A:$A,0)),0)+IFERROR(INDEX(October!$AK:$AK,MATCH($A104,October!$A:$A,0)),0)+IFERROR(INDEX(November!$AJ:$AJ,MATCH($A104,November!$A:$A,0)),0)+IFERROR(INDEX(December!$AK:$AK,MATCH($A104,December!$A:$A,0)),0)</f>
        <v>1</v>
      </c>
      <c r="AA104" s="51">
        <f t="shared" si="22"/>
        <v>2.5</v>
      </c>
      <c r="AB104" s="55"/>
      <c r="AC104" s="56">
        <f t="shared" si="23"/>
        <v>2.5</v>
      </c>
      <c r="AD104" s="57"/>
      <c r="AE104" s="58">
        <f t="shared" si="24"/>
        <v>2.5</v>
      </c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</row>
    <row r="105" spans="1:49" ht="22" customHeight="1" x14ac:dyDescent="0.35">
      <c r="A105" s="8" t="s">
        <v>227</v>
      </c>
      <c r="B105" s="8" t="s">
        <v>228</v>
      </c>
      <c r="C105" s="8" t="s">
        <v>216</v>
      </c>
      <c r="D105" s="10">
        <v>22</v>
      </c>
      <c r="E105" s="10">
        <v>20</v>
      </c>
      <c r="F105" s="10">
        <v>21</v>
      </c>
      <c r="G105" s="10">
        <v>20</v>
      </c>
      <c r="H105" s="11">
        <v>19</v>
      </c>
      <c r="I105" s="10">
        <v>21</v>
      </c>
      <c r="J105" s="10">
        <v>23</v>
      </c>
      <c r="K105" s="11">
        <v>19</v>
      </c>
      <c r="L105" s="10">
        <v>23</v>
      </c>
      <c r="M105" s="10">
        <v>22</v>
      </c>
      <c r="N105" s="10">
        <v>20</v>
      </c>
      <c r="O105" s="11">
        <v>18</v>
      </c>
      <c r="P105" s="8">
        <f>IFERROR(INDEX(January!$AI:$AI,MATCH($A105,January!$A:$A,0)),0)+IFERROR(INDEX(February!$AF:$AF,MATCH($A105,February!$A:$A,0)),0)+IFERROR(INDEX(March!$AI:$AI,MATCH($A105,March!$A:$A,0)),0)+IFERROR(INDEX(April!$AH:$AH,MATCH($A105,April!$A:$A,0)),0)+IFERROR(INDEX(May!$AI:$AI,MATCH($A105,May!$A:$A,0)),0)+IFERROR(INDEX(June!$AH:$AH,MATCH($A105,June!$A:$A,0)),0)+IFERROR(INDEX(July!$AI:$AI,MATCH($A105,July!$A:$A,0)),0)+IFERROR(INDEX(August!$AI:$AI,MATCH($A105,August!$A:$A,0)),0)+IFERROR(INDEX(September!$AH:$AH,MATCH($A105,September!$A:$A,0)),0)+IFERROR(INDEX(October!$AI:$AI,MATCH($A105,October!$A:$A,0)),0)+IFERROR(INDEX(November!$AH:$AH,MATCH($A105,November!$A:$A,0)),0)+IFERROR(INDEX(December!$AI:$AI,MATCH($A105,December!$A:$A,0)),0)</f>
        <v>247</v>
      </c>
      <c r="Q105" s="8">
        <f>IFERROR(INDEX(January!$AJ:$AJ,MATCH($A105,January!$A:$A,0)),0)+IFERROR(INDEX(February!$AG:$AG,MATCH($A105,February!$A:$A,0)),0)+IFERROR(INDEX(March!$AJ:$AJ,MATCH($A105,March!$A:$A,0)),0)+IFERROR(INDEX(April!$AI:$AI,MATCH($A105,April!$A:$A,0)),0)+IFERROR(INDEX(May!$AJ:$AJ,MATCH($A105,May!$A:$A,0)),0)+IFERROR(INDEX(June!$AI:$AI,MATCH($A105,June!$A:$A,0)),0)+IFERROR(INDEX(July!$AJ:$AJ,MATCH($A105,July!$A:$A,0)),0)+IFERROR(INDEX(August!$AJ:$AJ,MATCH($A105,August!$A:$A,0)),0)+IFERROR(INDEX(September!$AI:$AI,MATCH($A105,September!$A:$A,0)),0)+IFERROR(INDEX(October!$AJ:$AJ,MATCH($A105,October!$A:$A,0)),0)+IFERROR(INDEX(November!$AI:$AI,MATCH($A105,November!$A:$A,0)),0)+IFERROR(INDEX(December!$AJ:$AJ,MATCH($A105,December!$A:$A,0)),0)</f>
        <v>14</v>
      </c>
      <c r="R105" s="8">
        <f>IFERROR(INDEX(January!$AK:$AK,MATCH($A105,January!$A:$A,0)),0)+IFERROR(INDEX(February!$AH:$AH,MATCH($A105,February!$A:$A,0)),0)+IFERROR(INDEX(March!$AK:$AK,MATCH($A105,March!$A:$A,0)),0)+IFERROR(INDEX(April!$AJ:$AJ,MATCH($A105,April!$A:$A,0)),0)+IFERROR(INDEX(May!$AK:$AK,MATCH($A105,May!$A:$A,0)),0)+IFERROR(INDEX(June!$AJ:$AJ,MATCH($A105,June!$A:$A,0)),0)+IFERROR(INDEX(July!$AK:$AK,MATCH($A105,July!$A:$A,0)),0)+IFERROR(INDEX(August!$AK:$AK,MATCH($A105,August!$A:$A,0)),0)+IFERROR(INDEX(September!$AJ:$AJ,MATCH($A105,September!$A:$A,0)),0)+IFERROR(INDEX(October!$AK:$AK,MATCH($A105,October!$A:$A,0)),0)+IFERROR(INDEX(November!$AJ:$AJ,MATCH($A105,November!$A:$A,0)),0)+IFERROR(INDEX(December!$AK:$AK,MATCH($A105,December!$A:$A,0)),0)</f>
        <v>1</v>
      </c>
      <c r="S105" s="35">
        <f t="shared" si="20"/>
        <v>0.94636015325670497</v>
      </c>
      <c r="T105" s="38"/>
      <c r="U105" s="51">
        <f>IFERROR(INDEX(January!$AQ:$AQ,MATCH($A105,January!$A:$A,0)),0)+IFERROR(INDEX(February!$AN:$AN,MATCH($A105,February!$A:$A,0)),0)+IFERROR(INDEX(March!$AQ:$AQ,MATCH($A105,March!$A:$A,0)),0)+IFERROR(INDEX(April!$AP:$AP,MATCH($A105,April!$A:$A,0)),0)+IFERROR(INDEX(May!$AQ:$AQ,MATCH($A105,May!$A:$A,0)),0)+IFERROR(INDEX(June!$AP:$AP,MATCH($A105,June!$A:$A,0)),0)+IFERROR(INDEX(July!$AQ:$AQ,MATCH($A105,July!$A:$A,0)),0)+IFERROR(INDEX(August!$AQ:$AQ,MATCH($A105,August!$A:$A,0)),0)+IFERROR(INDEX(September!$AP:$AP,MATCH($A105,September!$A:$A,0)),0)+IFERROR(INDEX(October!$AQ:$AQ,MATCH($A105,October!$A:$A,0)),0)+IFERROR(INDEX(November!$AP:$AP,MATCH($A105,November!$A:$A,0)),0)+IFERROR(INDEX(December!$AQ:$AQ,MATCH($A105,December!$A:$A,0)),0)</f>
        <v>223</v>
      </c>
      <c r="V105" s="52">
        <f>IFERROR(INDEX(January!$AJ:$AJ,MATCH($A105,January!$A:$A,0)),0)+IFERROR(INDEX(February!$AG:$AG,MATCH($A105,February!$A:$A,0)),0)+IFERROR(INDEX(March!$AJ:$AJ,MATCH($A105,March!$A:$A,0)),0)+IFERROR(INDEX(April!$AI:$AI,MATCH($A105,April!$A:$A,0)),0)+IFERROR(INDEX(May!$AJ:$AJ,MATCH($A105,May!$A:$A,0)),0)+IFERROR(INDEX(June!$AI:$AI,MATCH($A105,June!$A:$A,0)),0)+IFERROR(INDEX(July!$AJ:$AJ,MATCH($A105,July!$A:$A,0)),0)+IFERROR(INDEX(August!$AJ:$AJ,MATCH($A105,August!$A:$A,0)),0)+IFERROR(INDEX(September!$AI:$AI,MATCH($A105,September!$A:$A,0)),0)+IFERROR(INDEX(October!$AJ:$AJ,MATCH($A105,October!$A:$A,0)),0)+IFERROR(INDEX(November!$AI:$AI,MATCH($A105,November!$A:$A,0)),0)+IFERROR(INDEX(December!$AJ:$AJ,MATCH($A105,December!$A:$A,0)),0)</f>
        <v>14</v>
      </c>
      <c r="W105" s="53">
        <f>IFERROR(INDEX(January!$AO:$AO,MATCH($A105,January!$A:$A,0)),0)+IFERROR(INDEX(February!$AL:$AL,MATCH($A105,February!$A:$A,0)),0)+IFERROR(INDEX(March!$AO:$AO,MATCH($A105,March!$A:$A,0)),0)+IFERROR(INDEX(April!$AN:$AN,MATCH($A105,April!$A:$A,0)),0)+IFERROR(INDEX(May!$AO:$AO,MATCH($A105,May!$A:$A,0)),0)+IFERROR(INDEX(June!$AN:$AN,MATCH($A105,June!$A:$A,0)),0)+IFERROR(INDEX(July!$AO:$AO,MATCH($A105,July!$A:$A,0)),0)+IFERROR(INDEX(August!$AO:$AO,MATCH($A105,August!$A:$A,0)),0)+IFERROR(INDEX(September!$AN:$AN,MATCH($A105,September!$A:$A,0)),0)+IFERROR(INDEX(October!$AO:$AO,MATCH($A105,October!$A:$A,0)),0)+IFERROR(INDEX(November!$AN:$AN,MATCH($A105,November!$A:$A,0)),0)+IFERROR(INDEX(December!$AO:$AO,MATCH($A105,December!$A:$A,0)),0)</f>
        <v>50</v>
      </c>
      <c r="X105" s="53">
        <f t="shared" si="21"/>
        <v>25</v>
      </c>
      <c r="Y105" s="53">
        <f>(IFERROR(INDEX(January!$AL:$AL,MATCH($A105,January!$A:$A,0)),0)+IFERROR(INDEX(February!$AI:$AI,MATCH($A105,February!$A:$A,0)),0)+IFERROR(INDEX(March!$AL:$AL,MATCH($A105,March!$A:$A,0)),0)+IFERROR(INDEX(April!$AK:$AK,MATCH($A105,April!$A:$A,0)),0)+IFERROR(INDEX(May!$AL:$AL,MATCH($A105,May!$A:$A,0)),0)+IFERROR(INDEX(June!$AK:$AK,MATCH($A105,June!$A:$A,0)),0)+IFERROR(INDEX(July!$AL:$AL,MATCH($A105,July!$A:$A,0)),0)+IFERROR(INDEX(August!$AL:$AL,MATCH($A105,August!$A:$A,0)),0)+IFERROR(INDEX(September!$AK:$AK,MATCH($A105,September!$A:$A,0)),0)+IFERROR(INDEX(October!$AL:$AL,MATCH($A105,October!$A:$A,0)),0)+IFERROR(INDEX(November!$AK:$AK,MATCH($A105,November!$A:$A,0)),0)+IFERROR(INDEX(December!$AL:$AL,MATCH($A105,December!$A:$A,0)),0))*0.5</f>
        <v>0</v>
      </c>
      <c r="Z105" s="54">
        <f>IFERROR(INDEX(January!$AK:$AK,MATCH($A105,January!$A:$A,0)),0)+IFERROR(INDEX(February!$AH:$AH,MATCH($A105,February!$A:$A,0)),0)+IFERROR(INDEX(March!$AK:$AK,MATCH($A105,March!$A:$A,0)),0)+IFERROR(INDEX(April!$AJ:$AJ,MATCH($A105,April!$A:$A,0)),0)+IFERROR(INDEX(May!$AK:$AK,MATCH($A105,May!$A:$A,0)),0)+IFERROR(INDEX(June!$AJ:$AJ,MATCH($A105,June!$A:$A,0)),0)+IFERROR(INDEX(July!$AK:$AK,MATCH($A105,July!$A:$A,0)),0)+IFERROR(INDEX(August!$AK:$AK,MATCH($A105,August!$A:$A,0)),0)+IFERROR(INDEX(September!$AJ:$AJ,MATCH($A105,September!$A:$A,0)),0)+IFERROR(INDEX(October!$AK:$AK,MATCH($A105,October!$A:$A,0)),0)+IFERROR(INDEX(November!$AJ:$AJ,MATCH($A105,November!$A:$A,0)),0)+IFERROR(INDEX(December!$AK:$AK,MATCH($A105,December!$A:$A,0)),0)</f>
        <v>1</v>
      </c>
      <c r="AA105" s="51">
        <f t="shared" si="22"/>
        <v>1</v>
      </c>
      <c r="AB105" s="55"/>
      <c r="AC105" s="56">
        <f t="shared" si="23"/>
        <v>1</v>
      </c>
      <c r="AD105" s="57"/>
      <c r="AE105" s="58">
        <f t="shared" si="24"/>
        <v>1</v>
      </c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</row>
    <row r="106" spans="1:49" ht="22" customHeight="1" x14ac:dyDescent="0.35">
      <c r="A106" s="8" t="s">
        <v>229</v>
      </c>
      <c r="B106" s="8" t="s">
        <v>230</v>
      </c>
      <c r="C106" s="8" t="s">
        <v>216</v>
      </c>
      <c r="D106" s="10">
        <v>23</v>
      </c>
      <c r="E106" s="11">
        <v>19</v>
      </c>
      <c r="F106" s="10">
        <v>20</v>
      </c>
      <c r="G106" s="10">
        <v>20</v>
      </c>
      <c r="H106" s="11">
        <v>16</v>
      </c>
      <c r="I106" s="11">
        <v>11</v>
      </c>
      <c r="J106" s="11">
        <v>12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8">
        <f>IFERROR(INDEX(January!$AI:$AI,MATCH($A106,January!$A:$A,0)),0)+IFERROR(INDEX(February!$AF:$AF,MATCH($A106,February!$A:$A,0)),0)+IFERROR(INDEX(March!$AI:$AI,MATCH($A106,March!$A:$A,0)),0)+IFERROR(INDEX(April!$AH:$AH,MATCH($A106,April!$A:$A,0)),0)+IFERROR(INDEX(May!$AI:$AI,MATCH($A106,May!$A:$A,0)),0)+IFERROR(INDEX(June!$AH:$AH,MATCH($A106,June!$A:$A,0)),0)+IFERROR(INDEX(July!$AI:$AI,MATCH($A106,July!$A:$A,0)),0)+IFERROR(INDEX(August!$AI:$AI,MATCH($A106,August!$A:$A,0)),0)+IFERROR(INDEX(September!$AH:$AH,MATCH($A106,September!$A:$A,0)),0)+IFERROR(INDEX(October!$AI:$AI,MATCH($A106,October!$A:$A,0)),0)+IFERROR(INDEX(November!$AH:$AH,MATCH($A106,November!$A:$A,0)),0)+IFERROR(INDEX(December!$AI:$AI,MATCH($A106,December!$A:$A,0)),0)</f>
        <v>114</v>
      </c>
      <c r="Q106" s="8">
        <f>IFERROR(INDEX(January!$AJ:$AJ,MATCH($A106,January!$A:$A,0)),0)+IFERROR(INDEX(February!$AG:$AG,MATCH($A106,February!$A:$A,0)),0)+IFERROR(INDEX(March!$AJ:$AJ,MATCH($A106,March!$A:$A,0)),0)+IFERROR(INDEX(April!$AI:$AI,MATCH($A106,April!$A:$A,0)),0)+IFERROR(INDEX(May!$AJ:$AJ,MATCH($A106,May!$A:$A,0)),0)+IFERROR(INDEX(June!$AI:$AI,MATCH($A106,June!$A:$A,0)),0)+IFERROR(INDEX(July!$AJ:$AJ,MATCH($A106,July!$A:$A,0)),0)+IFERROR(INDEX(August!$AJ:$AJ,MATCH($A106,August!$A:$A,0)),0)+IFERROR(INDEX(September!$AI:$AI,MATCH($A106,September!$A:$A,0)),0)+IFERROR(INDEX(October!$AJ:$AJ,MATCH($A106,October!$A:$A,0)),0)+IFERROR(INDEX(November!$AI:$AI,MATCH($A106,November!$A:$A,0)),0)+IFERROR(INDEX(December!$AJ:$AJ,MATCH($A106,December!$A:$A,0)),0)</f>
        <v>147</v>
      </c>
      <c r="R106" s="8">
        <f>IFERROR(INDEX(January!$AK:$AK,MATCH($A106,January!$A:$A,0)),0)+IFERROR(INDEX(February!$AH:$AH,MATCH($A106,February!$A:$A,0)),0)+IFERROR(INDEX(March!$AK:$AK,MATCH($A106,March!$A:$A,0)),0)+IFERROR(INDEX(April!$AJ:$AJ,MATCH($A106,April!$A:$A,0)),0)+IFERROR(INDEX(May!$AK:$AK,MATCH($A106,May!$A:$A,0)),0)+IFERROR(INDEX(June!$AJ:$AJ,MATCH($A106,June!$A:$A,0)),0)+IFERROR(INDEX(July!$AK:$AK,MATCH($A106,July!$A:$A,0)),0)+IFERROR(INDEX(August!$AK:$AK,MATCH($A106,August!$A:$A,0)),0)+IFERROR(INDEX(September!$AJ:$AJ,MATCH($A106,September!$A:$A,0)),0)+IFERROR(INDEX(October!$AK:$AK,MATCH($A106,October!$A:$A,0)),0)+IFERROR(INDEX(November!$AJ:$AJ,MATCH($A106,November!$A:$A,0)),0)+IFERROR(INDEX(December!$AK:$AK,MATCH($A106,December!$A:$A,0)),0)</f>
        <v>3</v>
      </c>
      <c r="S106" s="37">
        <f t="shared" si="20"/>
        <v>0.43678160919540232</v>
      </c>
      <c r="T106" s="38"/>
      <c r="U106" s="51">
        <f>IFERROR(INDEX(January!$AQ:$AQ,MATCH($A106,January!$A:$A,0)),0)+IFERROR(INDEX(February!$AN:$AN,MATCH($A106,February!$A:$A,0)),0)+IFERROR(INDEX(March!$AQ:$AQ,MATCH($A106,March!$A:$A,0)),0)+IFERROR(INDEX(April!$AP:$AP,MATCH($A106,April!$A:$A,0)),0)+IFERROR(INDEX(May!$AQ:$AQ,MATCH($A106,May!$A:$A,0)),0)+IFERROR(INDEX(June!$AP:$AP,MATCH($A106,June!$A:$A,0)),0)+IFERROR(INDEX(July!$AQ:$AQ,MATCH($A106,July!$A:$A,0)),0)+IFERROR(INDEX(August!$AQ:$AQ,MATCH($A106,August!$A:$A,0)),0)+IFERROR(INDEX(September!$AP:$AP,MATCH($A106,September!$A:$A,0)),0)+IFERROR(INDEX(October!$AQ:$AQ,MATCH($A106,October!$A:$A,0)),0)+IFERROR(INDEX(November!$AP:$AP,MATCH($A106,November!$A:$A,0)),0)+IFERROR(INDEX(December!$AQ:$AQ,MATCH($A106,December!$A:$A,0)),0)</f>
        <v>108</v>
      </c>
      <c r="V106" s="52">
        <f>IFERROR(INDEX(January!$AJ:$AJ,MATCH($A106,January!$A:$A,0)),0)+IFERROR(INDEX(February!$AG:$AG,MATCH($A106,February!$A:$A,0)),0)+IFERROR(INDEX(March!$AJ:$AJ,MATCH($A106,March!$A:$A,0)),0)+IFERROR(INDEX(April!$AI:$AI,MATCH($A106,April!$A:$A,0)),0)+IFERROR(INDEX(May!$AJ:$AJ,MATCH($A106,May!$A:$A,0)),0)+IFERROR(INDEX(June!$AI:$AI,MATCH($A106,June!$A:$A,0)),0)+IFERROR(INDEX(July!$AJ:$AJ,MATCH($A106,July!$A:$A,0)),0)+IFERROR(INDEX(August!$AJ:$AJ,MATCH($A106,August!$A:$A,0)),0)+IFERROR(INDEX(September!$AI:$AI,MATCH($A106,September!$A:$A,0)),0)+IFERROR(INDEX(October!$AJ:$AJ,MATCH($A106,October!$A:$A,0)),0)+IFERROR(INDEX(November!$AI:$AI,MATCH($A106,November!$A:$A,0)),0)+IFERROR(INDEX(December!$AJ:$AJ,MATCH($A106,December!$A:$A,0)),0)</f>
        <v>147</v>
      </c>
      <c r="W106" s="53">
        <f>IFERROR(INDEX(January!$AO:$AO,MATCH($A106,January!$A:$A,0)),0)+IFERROR(INDEX(February!$AL:$AL,MATCH($A106,February!$A:$A,0)),0)+IFERROR(INDEX(March!$AO:$AO,MATCH($A106,March!$A:$A,0)),0)+IFERROR(INDEX(April!$AN:$AN,MATCH($A106,April!$A:$A,0)),0)+IFERROR(INDEX(May!$AO:$AO,MATCH($A106,May!$A:$A,0)),0)+IFERROR(INDEX(June!$AN:$AN,MATCH($A106,June!$A:$A,0)),0)+IFERROR(INDEX(July!$AO:$AO,MATCH($A106,July!$A:$A,0)),0)+IFERROR(INDEX(August!$AO:$AO,MATCH($A106,August!$A:$A,0)),0)+IFERROR(INDEX(September!$AN:$AN,MATCH($A106,September!$A:$A,0)),0)+IFERROR(INDEX(October!$AO:$AO,MATCH($A106,October!$A:$A,0)),0)+IFERROR(INDEX(November!$AN:$AN,MATCH($A106,November!$A:$A,0)),0)+IFERROR(INDEX(December!$AO:$AO,MATCH($A106,December!$A:$A,0)),0)</f>
        <v>22</v>
      </c>
      <c r="X106" s="53">
        <f t="shared" si="21"/>
        <v>11</v>
      </c>
      <c r="Y106" s="53">
        <f>(IFERROR(INDEX(January!$AL:$AL,MATCH($A106,January!$A:$A,0)),0)+IFERROR(INDEX(February!$AI:$AI,MATCH($A106,February!$A:$A,0)),0)+IFERROR(INDEX(March!$AL:$AL,MATCH($A106,March!$A:$A,0)),0)+IFERROR(INDEX(April!$AK:$AK,MATCH($A106,April!$A:$A,0)),0)+IFERROR(INDEX(May!$AL:$AL,MATCH($A106,May!$A:$A,0)),0)+IFERROR(INDEX(June!$AK:$AK,MATCH($A106,June!$A:$A,0)),0)+IFERROR(INDEX(July!$AL:$AL,MATCH($A106,July!$A:$A,0)),0)+IFERROR(INDEX(August!$AL:$AL,MATCH($A106,August!$A:$A,0)),0)+IFERROR(INDEX(September!$AK:$AK,MATCH($A106,September!$A:$A,0)),0)+IFERROR(INDEX(October!$AL:$AL,MATCH($A106,October!$A:$A,0)),0)+IFERROR(INDEX(November!$AK:$AK,MATCH($A106,November!$A:$A,0)),0)+IFERROR(INDEX(December!$AL:$AL,MATCH($A106,December!$A:$A,0)),0))*0.5</f>
        <v>2</v>
      </c>
      <c r="Z106" s="54">
        <f>IFERROR(INDEX(January!$AK:$AK,MATCH($A106,January!$A:$A,0)),0)+IFERROR(INDEX(February!$AH:$AH,MATCH($A106,February!$A:$A,0)),0)+IFERROR(INDEX(March!$AK:$AK,MATCH($A106,March!$A:$A,0)),0)+IFERROR(INDEX(April!$AJ:$AJ,MATCH($A106,April!$A:$A,0)),0)+IFERROR(INDEX(May!$AK:$AK,MATCH($A106,May!$A:$A,0)),0)+IFERROR(INDEX(June!$AJ:$AJ,MATCH($A106,June!$A:$A,0)),0)+IFERROR(INDEX(July!$AK:$AK,MATCH($A106,July!$A:$A,0)),0)+IFERROR(INDEX(August!$AK:$AK,MATCH($A106,August!$A:$A,0)),0)+IFERROR(INDEX(September!$AJ:$AJ,MATCH($A106,September!$A:$A,0)),0)+IFERROR(INDEX(October!$AK:$AK,MATCH($A106,October!$A:$A,0)),0)+IFERROR(INDEX(November!$AJ:$AJ,MATCH($A106,November!$A:$A,0)),0)+IFERROR(INDEX(December!$AK:$AK,MATCH($A106,December!$A:$A,0)),0)</f>
        <v>3</v>
      </c>
      <c r="AA106" s="51">
        <f t="shared" si="22"/>
        <v>5</v>
      </c>
      <c r="AB106" s="55"/>
      <c r="AC106" s="56">
        <f t="shared" si="23"/>
        <v>5</v>
      </c>
      <c r="AD106" s="57"/>
      <c r="AE106" s="58">
        <f t="shared" si="24"/>
        <v>5</v>
      </c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</row>
    <row r="107" spans="1:49" ht="22" customHeight="1" x14ac:dyDescent="0.35">
      <c r="A107" s="8" t="s">
        <v>231</v>
      </c>
      <c r="B107" s="8" t="s">
        <v>232</v>
      </c>
      <c r="C107" s="8" t="s">
        <v>216</v>
      </c>
      <c r="D107" s="10">
        <v>23</v>
      </c>
      <c r="E107" s="11">
        <v>16</v>
      </c>
      <c r="F107" s="10">
        <v>20</v>
      </c>
      <c r="G107" s="11">
        <v>15</v>
      </c>
      <c r="H107" s="10">
        <v>20</v>
      </c>
      <c r="I107" s="11">
        <v>18</v>
      </c>
      <c r="J107" s="10">
        <v>21</v>
      </c>
      <c r="K107" s="10">
        <v>23</v>
      </c>
      <c r="L107" s="10">
        <v>23</v>
      </c>
      <c r="M107" s="10">
        <v>21</v>
      </c>
      <c r="N107" s="10">
        <v>22</v>
      </c>
      <c r="O107" s="11">
        <v>13</v>
      </c>
      <c r="P107" s="8">
        <f>IFERROR(INDEX(January!$AI:$AI,MATCH($A107,January!$A:$A,0)),0)+IFERROR(INDEX(February!$AF:$AF,MATCH($A107,February!$A:$A,0)),0)+IFERROR(INDEX(March!$AI:$AI,MATCH($A107,March!$A:$A,0)),0)+IFERROR(INDEX(April!$AH:$AH,MATCH($A107,April!$A:$A,0)),0)+IFERROR(INDEX(May!$AI:$AI,MATCH($A107,May!$A:$A,0)),0)+IFERROR(INDEX(June!$AH:$AH,MATCH($A107,June!$A:$A,0)),0)+IFERROR(INDEX(July!$AI:$AI,MATCH($A107,July!$A:$A,0)),0)+IFERROR(INDEX(August!$AI:$AI,MATCH($A107,August!$A:$A,0)),0)+IFERROR(INDEX(September!$AH:$AH,MATCH($A107,September!$A:$A,0)),0)+IFERROR(INDEX(October!$AI:$AI,MATCH($A107,October!$A:$A,0)),0)+IFERROR(INDEX(November!$AH:$AH,MATCH($A107,November!$A:$A,0)),0)+IFERROR(INDEX(December!$AI:$AI,MATCH($A107,December!$A:$A,0)),0)</f>
        <v>212</v>
      </c>
      <c r="Q107" s="8">
        <f>IFERROR(INDEX(January!$AJ:$AJ,MATCH($A107,January!$A:$A,0)),0)+IFERROR(INDEX(February!$AG:$AG,MATCH($A107,February!$A:$A,0)),0)+IFERROR(INDEX(March!$AJ:$AJ,MATCH($A107,March!$A:$A,0)),0)+IFERROR(INDEX(April!$AI:$AI,MATCH($A107,April!$A:$A,0)),0)+IFERROR(INDEX(May!$AJ:$AJ,MATCH($A107,May!$A:$A,0)),0)+IFERROR(INDEX(June!$AI:$AI,MATCH($A107,June!$A:$A,0)),0)+IFERROR(INDEX(July!$AJ:$AJ,MATCH($A107,July!$A:$A,0)),0)+IFERROR(INDEX(August!$AJ:$AJ,MATCH($A107,August!$A:$A,0)),0)+IFERROR(INDEX(September!$AI:$AI,MATCH($A107,September!$A:$A,0)),0)+IFERROR(INDEX(October!$AJ:$AJ,MATCH($A107,October!$A:$A,0)),0)+IFERROR(INDEX(November!$AI:$AI,MATCH($A107,November!$A:$A,0)),0)+IFERROR(INDEX(December!$AJ:$AJ,MATCH($A107,December!$A:$A,0)),0)</f>
        <v>49</v>
      </c>
      <c r="R107" s="8">
        <f>IFERROR(INDEX(January!$AK:$AK,MATCH($A107,January!$A:$A,0)),0)+IFERROR(INDEX(February!$AH:$AH,MATCH($A107,February!$A:$A,0)),0)+IFERROR(INDEX(March!$AK:$AK,MATCH($A107,March!$A:$A,0)),0)+IFERROR(INDEX(April!$AJ:$AJ,MATCH($A107,April!$A:$A,0)),0)+IFERROR(INDEX(May!$AK:$AK,MATCH($A107,May!$A:$A,0)),0)+IFERROR(INDEX(June!$AJ:$AJ,MATCH($A107,June!$A:$A,0)),0)+IFERROR(INDEX(July!$AK:$AK,MATCH($A107,July!$A:$A,0)),0)+IFERROR(INDEX(August!$AK:$AK,MATCH($A107,August!$A:$A,0)),0)+IFERROR(INDEX(September!$AJ:$AJ,MATCH($A107,September!$A:$A,0)),0)+IFERROR(INDEX(October!$AK:$AK,MATCH($A107,October!$A:$A,0)),0)+IFERROR(INDEX(November!$AJ:$AJ,MATCH($A107,November!$A:$A,0)),0)+IFERROR(INDEX(December!$AK:$AK,MATCH($A107,December!$A:$A,0)),0)</f>
        <v>12</v>
      </c>
      <c r="S107" s="35">
        <f t="shared" si="20"/>
        <v>0.8122605363984674</v>
      </c>
      <c r="T107" s="38"/>
      <c r="U107" s="51">
        <f>IFERROR(INDEX(January!$AQ:$AQ,MATCH($A107,January!$A:$A,0)),0)+IFERROR(INDEX(February!$AN:$AN,MATCH($A107,February!$A:$A,0)),0)+IFERROR(INDEX(March!$AQ:$AQ,MATCH($A107,March!$A:$A,0)),0)+IFERROR(INDEX(April!$AP:$AP,MATCH($A107,April!$A:$A,0)),0)+IFERROR(INDEX(May!$AQ:$AQ,MATCH($A107,May!$A:$A,0)),0)+IFERROR(INDEX(June!$AP:$AP,MATCH($A107,June!$A:$A,0)),0)+IFERROR(INDEX(July!$AQ:$AQ,MATCH($A107,July!$A:$A,0)),0)+IFERROR(INDEX(August!$AQ:$AQ,MATCH($A107,August!$A:$A,0)),0)+IFERROR(INDEX(September!$AP:$AP,MATCH($A107,September!$A:$A,0)),0)+IFERROR(INDEX(October!$AQ:$AQ,MATCH($A107,October!$A:$A,0)),0)+IFERROR(INDEX(November!$AP:$AP,MATCH($A107,November!$A:$A,0)),0)+IFERROR(INDEX(December!$AQ:$AQ,MATCH($A107,December!$A:$A,0)),0)</f>
        <v>212</v>
      </c>
      <c r="V107" s="52">
        <f>IFERROR(INDEX(January!$AJ:$AJ,MATCH($A107,January!$A:$A,0)),0)+IFERROR(INDEX(February!$AG:$AG,MATCH($A107,February!$A:$A,0)),0)+IFERROR(INDEX(March!$AJ:$AJ,MATCH($A107,March!$A:$A,0)),0)+IFERROR(INDEX(April!$AI:$AI,MATCH($A107,April!$A:$A,0)),0)+IFERROR(INDEX(May!$AJ:$AJ,MATCH($A107,May!$A:$A,0)),0)+IFERROR(INDEX(June!$AI:$AI,MATCH($A107,June!$A:$A,0)),0)+IFERROR(INDEX(July!$AJ:$AJ,MATCH($A107,July!$A:$A,0)),0)+IFERROR(INDEX(August!$AJ:$AJ,MATCH($A107,August!$A:$A,0)),0)+IFERROR(INDEX(September!$AI:$AI,MATCH($A107,September!$A:$A,0)),0)+IFERROR(INDEX(October!$AJ:$AJ,MATCH($A107,October!$A:$A,0)),0)+IFERROR(INDEX(November!$AI:$AI,MATCH($A107,November!$A:$A,0)),0)+IFERROR(INDEX(December!$AJ:$AJ,MATCH($A107,December!$A:$A,0)),0)</f>
        <v>49</v>
      </c>
      <c r="W107" s="53">
        <f>IFERROR(INDEX(January!$AO:$AO,MATCH($A107,January!$A:$A,0)),0)+IFERROR(INDEX(February!$AL:$AL,MATCH($A107,February!$A:$A,0)),0)+IFERROR(INDEX(March!$AO:$AO,MATCH($A107,March!$A:$A,0)),0)+IFERROR(INDEX(April!$AN:$AN,MATCH($A107,April!$A:$A,0)),0)+IFERROR(INDEX(May!$AO:$AO,MATCH($A107,May!$A:$A,0)),0)+IFERROR(INDEX(June!$AN:$AN,MATCH($A107,June!$A:$A,0)),0)+IFERROR(INDEX(July!$AO:$AO,MATCH($A107,July!$A:$A,0)),0)+IFERROR(INDEX(August!$AO:$AO,MATCH($A107,August!$A:$A,0)),0)+IFERROR(INDEX(September!$AN:$AN,MATCH($A107,September!$A:$A,0)),0)+IFERROR(INDEX(October!$AO:$AO,MATCH($A107,October!$A:$A,0)),0)+IFERROR(INDEX(November!$AN:$AN,MATCH($A107,November!$A:$A,0)),0)+IFERROR(INDEX(December!$AO:$AO,MATCH($A107,December!$A:$A,0)),0)</f>
        <v>35</v>
      </c>
      <c r="X107" s="53">
        <f t="shared" si="21"/>
        <v>17.5</v>
      </c>
      <c r="Y107" s="53">
        <f>(IFERROR(INDEX(January!$AL:$AL,MATCH($A107,January!$A:$A,0)),0)+IFERROR(INDEX(February!$AI:$AI,MATCH($A107,February!$A:$A,0)),0)+IFERROR(INDEX(March!$AL:$AL,MATCH($A107,March!$A:$A,0)),0)+IFERROR(INDEX(April!$AK:$AK,MATCH($A107,April!$A:$A,0)),0)+IFERROR(INDEX(May!$AL:$AL,MATCH($A107,May!$A:$A,0)),0)+IFERROR(INDEX(June!$AK:$AK,MATCH($A107,June!$A:$A,0)),0)+IFERROR(INDEX(July!$AL:$AL,MATCH($A107,July!$A:$A,0)),0)+IFERROR(INDEX(August!$AL:$AL,MATCH($A107,August!$A:$A,0)),0)+IFERROR(INDEX(September!$AK:$AK,MATCH($A107,September!$A:$A,0)),0)+IFERROR(INDEX(October!$AL:$AL,MATCH($A107,October!$A:$A,0)),0)+IFERROR(INDEX(November!$AK:$AK,MATCH($A107,November!$A:$A,0)),0)+IFERROR(INDEX(December!$AL:$AL,MATCH($A107,December!$A:$A,0)),0))*0.5</f>
        <v>5.5</v>
      </c>
      <c r="Z107" s="54">
        <f>IFERROR(INDEX(January!$AK:$AK,MATCH($A107,January!$A:$A,0)),0)+IFERROR(INDEX(February!$AH:$AH,MATCH($A107,February!$A:$A,0)),0)+IFERROR(INDEX(March!$AK:$AK,MATCH($A107,March!$A:$A,0)),0)+IFERROR(INDEX(April!$AJ:$AJ,MATCH($A107,April!$A:$A,0)),0)+IFERROR(INDEX(May!$AK:$AK,MATCH($A107,May!$A:$A,0)),0)+IFERROR(INDEX(June!$AJ:$AJ,MATCH($A107,June!$A:$A,0)),0)+IFERROR(INDEX(July!$AK:$AK,MATCH($A107,July!$A:$A,0)),0)+IFERROR(INDEX(August!$AK:$AK,MATCH($A107,August!$A:$A,0)),0)+IFERROR(INDEX(September!$AJ:$AJ,MATCH($A107,September!$A:$A,0)),0)+IFERROR(INDEX(October!$AK:$AK,MATCH($A107,October!$A:$A,0)),0)+IFERROR(INDEX(November!$AJ:$AJ,MATCH($A107,November!$A:$A,0)),0)+IFERROR(INDEX(December!$AK:$AK,MATCH($A107,December!$A:$A,0)),0)</f>
        <v>12</v>
      </c>
      <c r="AA107" s="51">
        <f t="shared" si="22"/>
        <v>17.5</v>
      </c>
      <c r="AB107" s="55"/>
      <c r="AC107" s="56">
        <f t="shared" si="23"/>
        <v>17.5</v>
      </c>
      <c r="AD107" s="57"/>
      <c r="AE107" s="58">
        <f t="shared" si="24"/>
        <v>17.5</v>
      </c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</row>
    <row r="108" spans="1:49" ht="22" customHeight="1" x14ac:dyDescent="0.35">
      <c r="A108" s="8" t="s">
        <v>233</v>
      </c>
      <c r="B108" s="8" t="s">
        <v>234</v>
      </c>
      <c r="C108" s="8" t="s">
        <v>216</v>
      </c>
      <c r="D108" s="10">
        <v>23</v>
      </c>
      <c r="E108" s="10">
        <v>23</v>
      </c>
      <c r="F108" s="10">
        <v>23</v>
      </c>
      <c r="G108" s="10">
        <v>20</v>
      </c>
      <c r="H108" s="10">
        <v>20</v>
      </c>
      <c r="I108" s="10">
        <v>22</v>
      </c>
      <c r="J108" s="10">
        <v>23</v>
      </c>
      <c r="K108" s="10">
        <v>24</v>
      </c>
      <c r="L108" s="10">
        <v>23</v>
      </c>
      <c r="M108" s="10">
        <v>24</v>
      </c>
      <c r="N108" s="10">
        <v>21</v>
      </c>
      <c r="O108" s="11">
        <v>17</v>
      </c>
      <c r="P108" s="8">
        <f>IFERROR(INDEX(January!$AI:$AI,MATCH($A108,January!$A:$A,0)),0)+IFERROR(INDEX(February!$AF:$AF,MATCH($A108,February!$A:$A,0)),0)+IFERROR(INDEX(March!$AI:$AI,MATCH($A108,March!$A:$A,0)),0)+IFERROR(INDEX(April!$AH:$AH,MATCH($A108,April!$A:$A,0)),0)+IFERROR(INDEX(May!$AI:$AI,MATCH($A108,May!$A:$A,0)),0)+IFERROR(INDEX(June!$AH:$AH,MATCH($A108,June!$A:$A,0)),0)+IFERROR(INDEX(July!$AI:$AI,MATCH($A108,July!$A:$A,0)),0)+IFERROR(INDEX(August!$AI:$AI,MATCH($A108,August!$A:$A,0)),0)+IFERROR(INDEX(September!$AH:$AH,MATCH($A108,September!$A:$A,0)),0)+IFERROR(INDEX(October!$AI:$AI,MATCH($A108,October!$A:$A,0)),0)+IFERROR(INDEX(November!$AH:$AH,MATCH($A108,November!$A:$A,0)),0)+IFERROR(INDEX(December!$AI:$AI,MATCH($A108,December!$A:$A,0)),0)</f>
        <v>247</v>
      </c>
      <c r="Q108" s="8">
        <f>IFERROR(INDEX(January!$AJ:$AJ,MATCH($A108,January!$A:$A,0)),0)+IFERROR(INDEX(February!$AG:$AG,MATCH($A108,February!$A:$A,0)),0)+IFERROR(INDEX(March!$AJ:$AJ,MATCH($A108,March!$A:$A,0)),0)+IFERROR(INDEX(April!$AI:$AI,MATCH($A108,April!$A:$A,0)),0)+IFERROR(INDEX(May!$AJ:$AJ,MATCH($A108,May!$A:$A,0)),0)+IFERROR(INDEX(June!$AI:$AI,MATCH($A108,June!$A:$A,0)),0)+IFERROR(INDEX(July!$AJ:$AJ,MATCH($A108,July!$A:$A,0)),0)+IFERROR(INDEX(August!$AJ:$AJ,MATCH($A108,August!$A:$A,0)),0)+IFERROR(INDEX(September!$AI:$AI,MATCH($A108,September!$A:$A,0)),0)+IFERROR(INDEX(October!$AJ:$AJ,MATCH($A108,October!$A:$A,0)),0)+IFERROR(INDEX(November!$AI:$AI,MATCH($A108,November!$A:$A,0)),0)+IFERROR(INDEX(December!$AJ:$AJ,MATCH($A108,December!$A:$A,0)),0)</f>
        <v>14</v>
      </c>
      <c r="R108" s="8">
        <f>IFERROR(INDEX(January!$AK:$AK,MATCH($A108,January!$A:$A,0)),0)+IFERROR(INDEX(February!$AH:$AH,MATCH($A108,February!$A:$A,0)),0)+IFERROR(INDEX(March!$AK:$AK,MATCH($A108,March!$A:$A,0)),0)+IFERROR(INDEX(April!$AJ:$AJ,MATCH($A108,April!$A:$A,0)),0)+IFERROR(INDEX(May!$AK:$AK,MATCH($A108,May!$A:$A,0)),0)+IFERROR(INDEX(June!$AJ:$AJ,MATCH($A108,June!$A:$A,0)),0)+IFERROR(INDEX(July!$AK:$AK,MATCH($A108,July!$A:$A,0)),0)+IFERROR(INDEX(August!$AK:$AK,MATCH($A108,August!$A:$A,0)),0)+IFERROR(INDEX(September!$AJ:$AJ,MATCH($A108,September!$A:$A,0)),0)+IFERROR(INDEX(October!$AK:$AK,MATCH($A108,October!$A:$A,0)),0)+IFERROR(INDEX(November!$AJ:$AJ,MATCH($A108,November!$A:$A,0)),0)+IFERROR(INDEX(December!$AK:$AK,MATCH($A108,December!$A:$A,0)),0)</f>
        <v>2</v>
      </c>
      <c r="S108" s="35">
        <f t="shared" si="20"/>
        <v>0.94636015325670497</v>
      </c>
      <c r="T108" s="38"/>
      <c r="U108" s="51">
        <f>IFERROR(INDEX(January!$AQ:$AQ,MATCH($A108,January!$A:$A,0)),0)+IFERROR(INDEX(February!$AN:$AN,MATCH($A108,February!$A:$A,0)),0)+IFERROR(INDEX(March!$AQ:$AQ,MATCH($A108,March!$A:$A,0)),0)+IFERROR(INDEX(April!$AP:$AP,MATCH($A108,April!$A:$A,0)),0)+IFERROR(INDEX(May!$AQ:$AQ,MATCH($A108,May!$A:$A,0)),0)+IFERROR(INDEX(June!$AP:$AP,MATCH($A108,June!$A:$A,0)),0)+IFERROR(INDEX(July!$AQ:$AQ,MATCH($A108,July!$A:$A,0)),0)+IFERROR(INDEX(August!$AQ:$AQ,MATCH($A108,August!$A:$A,0)),0)+IFERROR(INDEX(September!$AP:$AP,MATCH($A108,September!$A:$A,0)),0)+IFERROR(INDEX(October!$AQ:$AQ,MATCH($A108,October!$A:$A,0)),0)+IFERROR(INDEX(November!$AP:$AP,MATCH($A108,November!$A:$A,0)),0)+IFERROR(INDEX(December!$AQ:$AQ,MATCH($A108,December!$A:$A,0)),0)</f>
        <v>238.5</v>
      </c>
      <c r="V108" s="52">
        <f>IFERROR(INDEX(January!$AJ:$AJ,MATCH($A108,January!$A:$A,0)),0)+IFERROR(INDEX(February!$AG:$AG,MATCH($A108,February!$A:$A,0)),0)+IFERROR(INDEX(March!$AJ:$AJ,MATCH($A108,March!$A:$A,0)),0)+IFERROR(INDEX(April!$AI:$AI,MATCH($A108,April!$A:$A,0)),0)+IFERROR(INDEX(May!$AJ:$AJ,MATCH($A108,May!$A:$A,0)),0)+IFERROR(INDEX(June!$AI:$AI,MATCH($A108,June!$A:$A,0)),0)+IFERROR(INDEX(July!$AJ:$AJ,MATCH($A108,July!$A:$A,0)),0)+IFERROR(INDEX(August!$AJ:$AJ,MATCH($A108,August!$A:$A,0)),0)+IFERROR(INDEX(September!$AI:$AI,MATCH($A108,September!$A:$A,0)),0)+IFERROR(INDEX(October!$AJ:$AJ,MATCH($A108,October!$A:$A,0)),0)+IFERROR(INDEX(November!$AI:$AI,MATCH($A108,November!$A:$A,0)),0)+IFERROR(INDEX(December!$AJ:$AJ,MATCH($A108,December!$A:$A,0)),0)</f>
        <v>14</v>
      </c>
      <c r="W108" s="53">
        <f>IFERROR(INDEX(January!$AO:$AO,MATCH($A108,January!$A:$A,0)),0)+IFERROR(INDEX(February!$AL:$AL,MATCH($A108,February!$A:$A,0)),0)+IFERROR(INDEX(March!$AO:$AO,MATCH($A108,March!$A:$A,0)),0)+IFERROR(INDEX(April!$AN:$AN,MATCH($A108,April!$A:$A,0)),0)+IFERROR(INDEX(May!$AO:$AO,MATCH($A108,May!$A:$A,0)),0)+IFERROR(INDEX(June!$AN:$AN,MATCH($A108,June!$A:$A,0)),0)+IFERROR(INDEX(July!$AO:$AO,MATCH($A108,July!$A:$A,0)),0)+IFERROR(INDEX(August!$AO:$AO,MATCH($A108,August!$A:$A,0)),0)+IFERROR(INDEX(September!$AN:$AN,MATCH($A108,September!$A:$A,0)),0)+IFERROR(INDEX(October!$AO:$AO,MATCH($A108,October!$A:$A,0)),0)+IFERROR(INDEX(November!$AN:$AN,MATCH($A108,November!$A:$A,0)),0)+IFERROR(INDEX(December!$AO:$AO,MATCH($A108,December!$A:$A,0)),0)</f>
        <v>35</v>
      </c>
      <c r="X108" s="53">
        <f t="shared" si="21"/>
        <v>17.5</v>
      </c>
      <c r="Y108" s="53">
        <f>(IFERROR(INDEX(January!$AL:$AL,MATCH($A108,January!$A:$A,0)),0)+IFERROR(INDEX(February!$AI:$AI,MATCH($A108,February!$A:$A,0)),0)+IFERROR(INDEX(March!$AL:$AL,MATCH($A108,March!$A:$A,0)),0)+IFERROR(INDEX(April!$AK:$AK,MATCH($A108,April!$A:$A,0)),0)+IFERROR(INDEX(May!$AL:$AL,MATCH($A108,May!$A:$A,0)),0)+IFERROR(INDEX(June!$AK:$AK,MATCH($A108,June!$A:$A,0)),0)+IFERROR(INDEX(July!$AL:$AL,MATCH($A108,July!$A:$A,0)),0)+IFERROR(INDEX(August!$AL:$AL,MATCH($A108,August!$A:$A,0)),0)+IFERROR(INDEX(September!$AK:$AK,MATCH($A108,September!$A:$A,0)),0)+IFERROR(INDEX(October!$AL:$AL,MATCH($A108,October!$A:$A,0)),0)+IFERROR(INDEX(November!$AK:$AK,MATCH($A108,November!$A:$A,0)),0)+IFERROR(INDEX(December!$AL:$AL,MATCH($A108,December!$A:$A,0)),0))*0.5</f>
        <v>7</v>
      </c>
      <c r="Z108" s="54">
        <f>IFERROR(INDEX(January!$AK:$AK,MATCH($A108,January!$A:$A,0)),0)+IFERROR(INDEX(February!$AH:$AH,MATCH($A108,February!$A:$A,0)),0)+IFERROR(INDEX(March!$AK:$AK,MATCH($A108,March!$A:$A,0)),0)+IFERROR(INDEX(April!$AJ:$AJ,MATCH($A108,April!$A:$A,0)),0)+IFERROR(INDEX(May!$AK:$AK,MATCH($A108,May!$A:$A,0)),0)+IFERROR(INDEX(June!$AJ:$AJ,MATCH($A108,June!$A:$A,0)),0)+IFERROR(INDEX(July!$AK:$AK,MATCH($A108,July!$A:$A,0)),0)+IFERROR(INDEX(August!$AK:$AK,MATCH($A108,August!$A:$A,0)),0)+IFERROR(INDEX(September!$AJ:$AJ,MATCH($A108,September!$A:$A,0)),0)+IFERROR(INDEX(October!$AK:$AK,MATCH($A108,October!$A:$A,0)),0)+IFERROR(INDEX(November!$AJ:$AJ,MATCH($A108,November!$A:$A,0)),0)+IFERROR(INDEX(December!$AK:$AK,MATCH($A108,December!$A:$A,0)),0)</f>
        <v>2</v>
      </c>
      <c r="AA108" s="51">
        <f t="shared" si="22"/>
        <v>9</v>
      </c>
      <c r="AB108" s="55"/>
      <c r="AC108" s="56">
        <f t="shared" si="23"/>
        <v>9</v>
      </c>
      <c r="AD108" s="57"/>
      <c r="AE108" s="58">
        <f t="shared" si="24"/>
        <v>9</v>
      </c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</row>
    <row r="109" spans="1:49" ht="22" customHeight="1" x14ac:dyDescent="0.35">
      <c r="A109" s="8" t="s">
        <v>235</v>
      </c>
      <c r="B109" s="8" t="s">
        <v>236</v>
      </c>
      <c r="C109" s="8" t="s">
        <v>216</v>
      </c>
      <c r="D109" s="10">
        <v>22</v>
      </c>
      <c r="E109" s="10">
        <v>21</v>
      </c>
      <c r="F109" s="10">
        <v>22</v>
      </c>
      <c r="G109" s="11">
        <v>19</v>
      </c>
      <c r="H109" s="10">
        <v>22</v>
      </c>
      <c r="I109" s="11">
        <v>18</v>
      </c>
      <c r="J109" s="10">
        <v>24</v>
      </c>
      <c r="K109" s="10">
        <v>22</v>
      </c>
      <c r="L109" s="10">
        <v>23</v>
      </c>
      <c r="M109" s="10">
        <v>21</v>
      </c>
      <c r="N109" s="11">
        <v>17</v>
      </c>
      <c r="O109" s="11">
        <v>14</v>
      </c>
      <c r="P109" s="8">
        <f>IFERROR(INDEX(January!$AI:$AI,MATCH($A109,January!$A:$A,0)),0)+IFERROR(INDEX(February!$AF:$AF,MATCH($A109,February!$A:$A,0)),0)+IFERROR(INDEX(March!$AI:$AI,MATCH($A109,March!$A:$A,0)),0)+IFERROR(INDEX(April!$AH:$AH,MATCH($A109,April!$A:$A,0)),0)+IFERROR(INDEX(May!$AI:$AI,MATCH($A109,May!$A:$A,0)),0)+IFERROR(INDEX(June!$AH:$AH,MATCH($A109,June!$A:$A,0)),0)+IFERROR(INDEX(July!$AI:$AI,MATCH($A109,July!$A:$A,0)),0)+IFERROR(INDEX(August!$AI:$AI,MATCH($A109,August!$A:$A,0)),0)+IFERROR(INDEX(September!$AH:$AH,MATCH($A109,September!$A:$A,0)),0)+IFERROR(INDEX(October!$AI:$AI,MATCH($A109,October!$A:$A,0)),0)+IFERROR(INDEX(November!$AH:$AH,MATCH($A109,November!$A:$A,0)),0)+IFERROR(INDEX(December!$AI:$AI,MATCH($A109,December!$A:$A,0)),0)</f>
        <v>230</v>
      </c>
      <c r="Q109" s="8">
        <f>IFERROR(INDEX(January!$AJ:$AJ,MATCH($A109,January!$A:$A,0)),0)+IFERROR(INDEX(February!$AG:$AG,MATCH($A109,February!$A:$A,0)),0)+IFERROR(INDEX(March!$AJ:$AJ,MATCH($A109,March!$A:$A,0)),0)+IFERROR(INDEX(April!$AI:$AI,MATCH($A109,April!$A:$A,0)),0)+IFERROR(INDEX(May!$AJ:$AJ,MATCH($A109,May!$A:$A,0)),0)+IFERROR(INDEX(June!$AI:$AI,MATCH($A109,June!$A:$A,0)),0)+IFERROR(INDEX(July!$AJ:$AJ,MATCH($A109,July!$A:$A,0)),0)+IFERROR(INDEX(August!$AJ:$AJ,MATCH($A109,August!$A:$A,0)),0)+IFERROR(INDEX(September!$AI:$AI,MATCH($A109,September!$A:$A,0)),0)+IFERROR(INDEX(October!$AJ:$AJ,MATCH($A109,October!$A:$A,0)),0)+IFERROR(INDEX(November!$AI:$AI,MATCH($A109,November!$A:$A,0)),0)+IFERROR(INDEX(December!$AJ:$AJ,MATCH($A109,December!$A:$A,0)),0)</f>
        <v>31</v>
      </c>
      <c r="R109" s="8">
        <f>IFERROR(INDEX(January!$AK:$AK,MATCH($A109,January!$A:$A,0)),0)+IFERROR(INDEX(February!$AH:$AH,MATCH($A109,February!$A:$A,0)),0)+IFERROR(INDEX(March!$AK:$AK,MATCH($A109,March!$A:$A,0)),0)+IFERROR(INDEX(April!$AJ:$AJ,MATCH($A109,April!$A:$A,0)),0)+IFERROR(INDEX(May!$AK:$AK,MATCH($A109,May!$A:$A,0)),0)+IFERROR(INDEX(June!$AJ:$AJ,MATCH($A109,June!$A:$A,0)),0)+IFERROR(INDEX(July!$AK:$AK,MATCH($A109,July!$A:$A,0)),0)+IFERROR(INDEX(August!$AK:$AK,MATCH($A109,August!$A:$A,0)),0)+IFERROR(INDEX(September!$AJ:$AJ,MATCH($A109,September!$A:$A,0)),0)+IFERROR(INDEX(October!$AK:$AK,MATCH($A109,October!$A:$A,0)),0)+IFERROR(INDEX(November!$AJ:$AJ,MATCH($A109,November!$A:$A,0)),0)+IFERROR(INDEX(December!$AK:$AK,MATCH($A109,December!$A:$A,0)),0)</f>
        <v>2</v>
      </c>
      <c r="S109" s="35">
        <f t="shared" si="20"/>
        <v>0.88122605363984674</v>
      </c>
      <c r="T109" s="38"/>
      <c r="U109" s="51">
        <f>IFERROR(INDEX(January!$AQ:$AQ,MATCH($A109,January!$A:$A,0)),0)+IFERROR(INDEX(February!$AN:$AN,MATCH($A109,February!$A:$A,0)),0)+IFERROR(INDEX(March!$AQ:$AQ,MATCH($A109,March!$A:$A,0)),0)+IFERROR(INDEX(April!$AP:$AP,MATCH($A109,April!$A:$A,0)),0)+IFERROR(INDEX(May!$AQ:$AQ,MATCH($A109,May!$A:$A,0)),0)+IFERROR(INDEX(June!$AP:$AP,MATCH($A109,June!$A:$A,0)),0)+IFERROR(INDEX(July!$AQ:$AQ,MATCH($A109,July!$A:$A,0)),0)+IFERROR(INDEX(August!$AQ:$AQ,MATCH($A109,August!$A:$A,0)),0)+IFERROR(INDEX(September!$AP:$AP,MATCH($A109,September!$A:$A,0)),0)+IFERROR(INDEX(October!$AQ:$AQ,MATCH($A109,October!$A:$A,0)),0)+IFERROR(INDEX(November!$AP:$AP,MATCH($A109,November!$A:$A,0)),0)+IFERROR(INDEX(December!$AQ:$AQ,MATCH($A109,December!$A:$A,0)),0)</f>
        <v>223</v>
      </c>
      <c r="V109" s="52">
        <f>IFERROR(INDEX(January!$AJ:$AJ,MATCH($A109,January!$A:$A,0)),0)+IFERROR(INDEX(February!$AG:$AG,MATCH($A109,February!$A:$A,0)),0)+IFERROR(INDEX(March!$AJ:$AJ,MATCH($A109,March!$A:$A,0)),0)+IFERROR(INDEX(April!$AI:$AI,MATCH($A109,April!$A:$A,0)),0)+IFERROR(INDEX(May!$AJ:$AJ,MATCH($A109,May!$A:$A,0)),0)+IFERROR(INDEX(June!$AI:$AI,MATCH($A109,June!$A:$A,0)),0)+IFERROR(INDEX(July!$AJ:$AJ,MATCH($A109,July!$A:$A,0)),0)+IFERROR(INDEX(August!$AJ:$AJ,MATCH($A109,August!$A:$A,0)),0)+IFERROR(INDEX(September!$AI:$AI,MATCH($A109,September!$A:$A,0)),0)+IFERROR(INDEX(October!$AJ:$AJ,MATCH($A109,October!$A:$A,0)),0)+IFERROR(INDEX(November!$AI:$AI,MATCH($A109,November!$A:$A,0)),0)+IFERROR(INDEX(December!$AJ:$AJ,MATCH($A109,December!$A:$A,0)),0)</f>
        <v>31</v>
      </c>
      <c r="W109" s="53">
        <f>IFERROR(INDEX(January!$AO:$AO,MATCH($A109,January!$A:$A,0)),0)+IFERROR(INDEX(February!$AL:$AL,MATCH($A109,February!$A:$A,0)),0)+IFERROR(INDEX(March!$AO:$AO,MATCH($A109,March!$A:$A,0)),0)+IFERROR(INDEX(April!$AN:$AN,MATCH($A109,April!$A:$A,0)),0)+IFERROR(INDEX(May!$AO:$AO,MATCH($A109,May!$A:$A,0)),0)+IFERROR(INDEX(June!$AN:$AN,MATCH($A109,June!$A:$A,0)),0)+IFERROR(INDEX(July!$AO:$AO,MATCH($A109,July!$A:$A,0)),0)+IFERROR(INDEX(August!$AO:$AO,MATCH($A109,August!$A:$A,0)),0)+IFERROR(INDEX(September!$AN:$AN,MATCH($A109,September!$A:$A,0)),0)+IFERROR(INDEX(October!$AO:$AO,MATCH($A109,October!$A:$A,0)),0)+IFERROR(INDEX(November!$AN:$AN,MATCH($A109,November!$A:$A,0)),0)+IFERROR(INDEX(December!$AO:$AO,MATCH($A109,December!$A:$A,0)),0)</f>
        <v>31</v>
      </c>
      <c r="X109" s="53">
        <f t="shared" si="21"/>
        <v>15.5</v>
      </c>
      <c r="Y109" s="53">
        <f>(IFERROR(INDEX(January!$AL:$AL,MATCH($A109,January!$A:$A,0)),0)+IFERROR(INDEX(February!$AI:$AI,MATCH($A109,February!$A:$A,0)),0)+IFERROR(INDEX(March!$AL:$AL,MATCH($A109,March!$A:$A,0)),0)+IFERROR(INDEX(April!$AK:$AK,MATCH($A109,April!$A:$A,0)),0)+IFERROR(INDEX(May!$AL:$AL,MATCH($A109,May!$A:$A,0)),0)+IFERROR(INDEX(June!$AK:$AK,MATCH($A109,June!$A:$A,0)),0)+IFERROR(INDEX(July!$AL:$AL,MATCH($A109,July!$A:$A,0)),0)+IFERROR(INDEX(August!$AL:$AL,MATCH($A109,August!$A:$A,0)),0)+IFERROR(INDEX(September!$AK:$AK,MATCH($A109,September!$A:$A,0)),0)+IFERROR(INDEX(October!$AL:$AL,MATCH($A109,October!$A:$A,0)),0)+IFERROR(INDEX(November!$AK:$AK,MATCH($A109,November!$A:$A,0)),0)+IFERROR(INDEX(December!$AL:$AL,MATCH($A109,December!$A:$A,0)),0))*0.5</f>
        <v>6.5</v>
      </c>
      <c r="Z109" s="54">
        <f>IFERROR(INDEX(January!$AK:$AK,MATCH($A109,January!$A:$A,0)),0)+IFERROR(INDEX(February!$AH:$AH,MATCH($A109,February!$A:$A,0)),0)+IFERROR(INDEX(March!$AK:$AK,MATCH($A109,March!$A:$A,0)),0)+IFERROR(INDEX(April!$AJ:$AJ,MATCH($A109,April!$A:$A,0)),0)+IFERROR(INDEX(May!$AK:$AK,MATCH($A109,May!$A:$A,0)),0)+IFERROR(INDEX(June!$AJ:$AJ,MATCH($A109,June!$A:$A,0)),0)+IFERROR(INDEX(July!$AK:$AK,MATCH($A109,July!$A:$A,0)),0)+IFERROR(INDEX(August!$AK:$AK,MATCH($A109,August!$A:$A,0)),0)+IFERROR(INDEX(September!$AJ:$AJ,MATCH($A109,September!$A:$A,0)),0)+IFERROR(INDEX(October!$AK:$AK,MATCH($A109,October!$A:$A,0)),0)+IFERROR(INDEX(November!$AJ:$AJ,MATCH($A109,November!$A:$A,0)),0)+IFERROR(INDEX(December!$AK:$AK,MATCH($A109,December!$A:$A,0)),0)</f>
        <v>2</v>
      </c>
      <c r="AA109" s="51">
        <f t="shared" si="22"/>
        <v>8.5</v>
      </c>
      <c r="AB109" s="55"/>
      <c r="AC109" s="56">
        <f t="shared" si="23"/>
        <v>8.5</v>
      </c>
      <c r="AD109" s="57"/>
      <c r="AE109" s="58">
        <f t="shared" si="24"/>
        <v>8.5</v>
      </c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</row>
    <row r="110" spans="1:49" ht="22" customHeight="1" x14ac:dyDescent="0.35">
      <c r="A110" s="8" t="s">
        <v>237</v>
      </c>
      <c r="B110" s="8" t="s">
        <v>238</v>
      </c>
      <c r="C110" s="8" t="s">
        <v>216</v>
      </c>
      <c r="D110" s="10">
        <v>22</v>
      </c>
      <c r="E110" s="11">
        <v>18</v>
      </c>
      <c r="F110" s="10">
        <v>21</v>
      </c>
      <c r="G110" s="11">
        <v>18</v>
      </c>
      <c r="H110" s="11">
        <v>19</v>
      </c>
      <c r="I110" s="11">
        <v>19</v>
      </c>
      <c r="J110" s="10">
        <v>21</v>
      </c>
      <c r="K110" s="10">
        <v>22</v>
      </c>
      <c r="L110" s="10">
        <v>22</v>
      </c>
      <c r="M110" s="10">
        <v>20</v>
      </c>
      <c r="N110" s="11">
        <v>17</v>
      </c>
      <c r="O110" s="11">
        <v>13</v>
      </c>
      <c r="P110" s="8">
        <f>IFERROR(INDEX(January!$AI:$AI,MATCH($A110,January!$A:$A,0)),0)+IFERROR(INDEX(February!$AF:$AF,MATCH($A110,February!$A:$A,0)),0)+IFERROR(INDEX(March!$AI:$AI,MATCH($A110,March!$A:$A,0)),0)+IFERROR(INDEX(April!$AH:$AH,MATCH($A110,April!$A:$A,0)),0)+IFERROR(INDEX(May!$AI:$AI,MATCH($A110,May!$A:$A,0)),0)+IFERROR(INDEX(June!$AH:$AH,MATCH($A110,June!$A:$A,0)),0)+IFERROR(INDEX(July!$AI:$AI,MATCH($A110,July!$A:$A,0)),0)+IFERROR(INDEX(August!$AI:$AI,MATCH($A110,August!$A:$A,0)),0)+IFERROR(INDEX(September!$AH:$AH,MATCH($A110,September!$A:$A,0)),0)+IFERROR(INDEX(October!$AI:$AI,MATCH($A110,October!$A:$A,0)),0)+IFERROR(INDEX(November!$AH:$AH,MATCH($A110,November!$A:$A,0)),0)+IFERROR(INDEX(December!$AI:$AI,MATCH($A110,December!$A:$A,0)),0)</f>
        <v>221</v>
      </c>
      <c r="Q110" s="8">
        <f>IFERROR(INDEX(January!$AJ:$AJ,MATCH($A110,January!$A:$A,0)),0)+IFERROR(INDEX(February!$AG:$AG,MATCH($A110,February!$A:$A,0)),0)+IFERROR(INDEX(March!$AJ:$AJ,MATCH($A110,March!$A:$A,0)),0)+IFERROR(INDEX(April!$AI:$AI,MATCH($A110,April!$A:$A,0)),0)+IFERROR(INDEX(May!$AJ:$AJ,MATCH($A110,May!$A:$A,0)),0)+IFERROR(INDEX(June!$AI:$AI,MATCH($A110,June!$A:$A,0)),0)+IFERROR(INDEX(July!$AJ:$AJ,MATCH($A110,July!$A:$A,0)),0)+IFERROR(INDEX(August!$AJ:$AJ,MATCH($A110,August!$A:$A,0)),0)+IFERROR(INDEX(September!$AI:$AI,MATCH($A110,September!$A:$A,0)),0)+IFERROR(INDEX(October!$AJ:$AJ,MATCH($A110,October!$A:$A,0)),0)+IFERROR(INDEX(November!$AI:$AI,MATCH($A110,November!$A:$A,0)),0)+IFERROR(INDEX(December!$AJ:$AJ,MATCH($A110,December!$A:$A,0)),0)</f>
        <v>40</v>
      </c>
      <c r="R110" s="8">
        <f>IFERROR(INDEX(January!$AK:$AK,MATCH($A110,January!$A:$A,0)),0)+IFERROR(INDEX(February!$AH:$AH,MATCH($A110,February!$A:$A,0)),0)+IFERROR(INDEX(March!$AK:$AK,MATCH($A110,March!$A:$A,0)),0)+IFERROR(INDEX(April!$AJ:$AJ,MATCH($A110,April!$A:$A,0)),0)+IFERROR(INDEX(May!$AK:$AK,MATCH($A110,May!$A:$A,0)),0)+IFERROR(INDEX(June!$AJ:$AJ,MATCH($A110,June!$A:$A,0)),0)+IFERROR(INDEX(July!$AK:$AK,MATCH($A110,July!$A:$A,0)),0)+IFERROR(INDEX(August!$AK:$AK,MATCH($A110,August!$A:$A,0)),0)+IFERROR(INDEX(September!$AJ:$AJ,MATCH($A110,September!$A:$A,0)),0)+IFERROR(INDEX(October!$AK:$AK,MATCH($A110,October!$A:$A,0)),0)+IFERROR(INDEX(November!$AJ:$AJ,MATCH($A110,November!$A:$A,0)),0)+IFERROR(INDEX(December!$AK:$AK,MATCH($A110,December!$A:$A,0)),0)</f>
        <v>4</v>
      </c>
      <c r="S110" s="35">
        <f t="shared" si="20"/>
        <v>0.84674329501915713</v>
      </c>
      <c r="T110" s="38"/>
      <c r="U110" s="51">
        <f>IFERROR(INDEX(January!$AQ:$AQ,MATCH($A110,January!$A:$A,0)),0)+IFERROR(INDEX(February!$AN:$AN,MATCH($A110,February!$A:$A,0)),0)+IFERROR(INDEX(March!$AQ:$AQ,MATCH($A110,March!$A:$A,0)),0)+IFERROR(INDEX(April!$AP:$AP,MATCH($A110,April!$A:$A,0)),0)+IFERROR(INDEX(May!$AQ:$AQ,MATCH($A110,May!$A:$A,0)),0)+IFERROR(INDEX(June!$AP:$AP,MATCH($A110,June!$A:$A,0)),0)+IFERROR(INDEX(July!$AQ:$AQ,MATCH($A110,July!$A:$A,0)),0)+IFERROR(INDEX(August!$AQ:$AQ,MATCH($A110,August!$A:$A,0)),0)+IFERROR(INDEX(September!$AP:$AP,MATCH($A110,September!$A:$A,0)),0)+IFERROR(INDEX(October!$AQ:$AQ,MATCH($A110,October!$A:$A,0)),0)+IFERROR(INDEX(November!$AP:$AP,MATCH($A110,November!$A:$A,0)),0)+IFERROR(INDEX(December!$AQ:$AQ,MATCH($A110,December!$A:$A,0)),0)</f>
        <v>211</v>
      </c>
      <c r="V110" s="52">
        <f>IFERROR(INDEX(January!$AJ:$AJ,MATCH($A110,January!$A:$A,0)),0)+IFERROR(INDEX(February!$AG:$AG,MATCH($A110,February!$A:$A,0)),0)+IFERROR(INDEX(March!$AJ:$AJ,MATCH($A110,March!$A:$A,0)),0)+IFERROR(INDEX(April!$AI:$AI,MATCH($A110,April!$A:$A,0)),0)+IFERROR(INDEX(May!$AJ:$AJ,MATCH($A110,May!$A:$A,0)),0)+IFERROR(INDEX(June!$AI:$AI,MATCH($A110,June!$A:$A,0)),0)+IFERROR(INDEX(July!$AJ:$AJ,MATCH($A110,July!$A:$A,0)),0)+IFERROR(INDEX(August!$AJ:$AJ,MATCH($A110,August!$A:$A,0)),0)+IFERROR(INDEX(September!$AI:$AI,MATCH($A110,September!$A:$A,0)),0)+IFERROR(INDEX(October!$AJ:$AJ,MATCH($A110,October!$A:$A,0)),0)+IFERROR(INDEX(November!$AI:$AI,MATCH($A110,November!$A:$A,0)),0)+IFERROR(INDEX(December!$AJ:$AJ,MATCH($A110,December!$A:$A,0)),0)</f>
        <v>40</v>
      </c>
      <c r="W110" s="53">
        <f>IFERROR(INDEX(January!$AO:$AO,MATCH($A110,January!$A:$A,0)),0)+IFERROR(INDEX(February!$AL:$AL,MATCH($A110,February!$A:$A,0)),0)+IFERROR(INDEX(March!$AO:$AO,MATCH($A110,March!$A:$A,0)),0)+IFERROR(INDEX(April!$AN:$AN,MATCH($A110,April!$A:$A,0)),0)+IFERROR(INDEX(May!$AO:$AO,MATCH($A110,May!$A:$A,0)),0)+IFERROR(INDEX(June!$AN:$AN,MATCH($A110,June!$A:$A,0)),0)+IFERROR(INDEX(July!$AO:$AO,MATCH($A110,July!$A:$A,0)),0)+IFERROR(INDEX(August!$AO:$AO,MATCH($A110,August!$A:$A,0)),0)+IFERROR(INDEX(September!$AN:$AN,MATCH($A110,September!$A:$A,0)),0)+IFERROR(INDEX(October!$AO:$AO,MATCH($A110,October!$A:$A,0)),0)+IFERROR(INDEX(November!$AN:$AN,MATCH($A110,November!$A:$A,0)),0)+IFERROR(INDEX(December!$AO:$AO,MATCH($A110,December!$A:$A,0)),0)</f>
        <v>35</v>
      </c>
      <c r="X110" s="53">
        <f t="shared" si="21"/>
        <v>17.5</v>
      </c>
      <c r="Y110" s="53">
        <f>(IFERROR(INDEX(January!$AL:$AL,MATCH($A110,January!$A:$A,0)),0)+IFERROR(INDEX(February!$AI:$AI,MATCH($A110,February!$A:$A,0)),0)+IFERROR(INDEX(March!$AL:$AL,MATCH($A110,March!$A:$A,0)),0)+IFERROR(INDEX(April!$AK:$AK,MATCH($A110,April!$A:$A,0)),0)+IFERROR(INDEX(May!$AL:$AL,MATCH($A110,May!$A:$A,0)),0)+IFERROR(INDEX(June!$AK:$AK,MATCH($A110,June!$A:$A,0)),0)+IFERROR(INDEX(July!$AL:$AL,MATCH($A110,July!$A:$A,0)),0)+IFERROR(INDEX(August!$AL:$AL,MATCH($A110,August!$A:$A,0)),0)+IFERROR(INDEX(September!$AK:$AK,MATCH($A110,September!$A:$A,0)),0)+IFERROR(INDEX(October!$AL:$AL,MATCH($A110,October!$A:$A,0)),0)+IFERROR(INDEX(November!$AK:$AK,MATCH($A110,November!$A:$A,0)),0)+IFERROR(INDEX(December!$AL:$AL,MATCH($A110,December!$A:$A,0)),0))*0.5</f>
        <v>3.5</v>
      </c>
      <c r="Z110" s="54">
        <f>IFERROR(INDEX(January!$AK:$AK,MATCH($A110,January!$A:$A,0)),0)+IFERROR(INDEX(February!$AH:$AH,MATCH($A110,February!$A:$A,0)),0)+IFERROR(INDEX(March!$AK:$AK,MATCH($A110,March!$A:$A,0)),0)+IFERROR(INDEX(April!$AJ:$AJ,MATCH($A110,April!$A:$A,0)),0)+IFERROR(INDEX(May!$AK:$AK,MATCH($A110,May!$A:$A,0)),0)+IFERROR(INDEX(June!$AJ:$AJ,MATCH($A110,June!$A:$A,0)),0)+IFERROR(INDEX(July!$AK:$AK,MATCH($A110,July!$A:$A,0)),0)+IFERROR(INDEX(August!$AK:$AK,MATCH($A110,August!$A:$A,0)),0)+IFERROR(INDEX(September!$AJ:$AJ,MATCH($A110,September!$A:$A,0)),0)+IFERROR(INDEX(October!$AK:$AK,MATCH($A110,October!$A:$A,0)),0)+IFERROR(INDEX(November!$AJ:$AJ,MATCH($A110,November!$A:$A,0)),0)+IFERROR(INDEX(December!$AK:$AK,MATCH($A110,December!$A:$A,0)),0)</f>
        <v>4</v>
      </c>
      <c r="AA110" s="51">
        <f t="shared" si="22"/>
        <v>7.5</v>
      </c>
      <c r="AB110" s="55"/>
      <c r="AC110" s="56">
        <f t="shared" si="23"/>
        <v>7.5</v>
      </c>
      <c r="AD110" s="57"/>
      <c r="AE110" s="58">
        <f t="shared" si="24"/>
        <v>7.5</v>
      </c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</row>
    <row r="111" spans="1:49" ht="22" customHeight="1" x14ac:dyDescent="0.35">
      <c r="A111" s="8" t="s">
        <v>239</v>
      </c>
      <c r="B111" s="8" t="s">
        <v>240</v>
      </c>
      <c r="C111" s="8" t="s">
        <v>216</v>
      </c>
      <c r="D111" s="10">
        <v>20</v>
      </c>
      <c r="E111" s="11">
        <v>18</v>
      </c>
      <c r="F111" s="11">
        <v>18</v>
      </c>
      <c r="G111" s="11">
        <v>18</v>
      </c>
      <c r="H111" s="11">
        <v>19</v>
      </c>
      <c r="I111" s="11">
        <v>18</v>
      </c>
      <c r="J111" s="10">
        <v>22</v>
      </c>
      <c r="K111" s="10">
        <v>24</v>
      </c>
      <c r="L111" s="10">
        <v>24</v>
      </c>
      <c r="M111" s="11">
        <v>19</v>
      </c>
      <c r="N111" s="11">
        <v>17</v>
      </c>
      <c r="O111" s="11">
        <v>14</v>
      </c>
      <c r="P111" s="8">
        <f>IFERROR(INDEX(January!$AI:$AI,MATCH($A111,January!$A:$A,0)),0)+IFERROR(INDEX(February!$AF:$AF,MATCH($A111,February!$A:$A,0)),0)+IFERROR(INDEX(March!$AI:$AI,MATCH($A111,March!$A:$A,0)),0)+IFERROR(INDEX(April!$AH:$AH,MATCH($A111,April!$A:$A,0)),0)+IFERROR(INDEX(May!$AI:$AI,MATCH($A111,May!$A:$A,0)),0)+IFERROR(INDEX(June!$AH:$AH,MATCH($A111,June!$A:$A,0)),0)+IFERROR(INDEX(July!$AI:$AI,MATCH($A111,July!$A:$A,0)),0)+IFERROR(INDEX(August!$AI:$AI,MATCH($A111,August!$A:$A,0)),0)+IFERROR(INDEX(September!$AH:$AH,MATCH($A111,September!$A:$A,0)),0)+IFERROR(INDEX(October!$AI:$AI,MATCH($A111,October!$A:$A,0)),0)+IFERROR(INDEX(November!$AH:$AH,MATCH($A111,November!$A:$A,0)),0)+IFERROR(INDEX(December!$AI:$AI,MATCH($A111,December!$A:$A,0)),0)</f>
        <v>221</v>
      </c>
      <c r="Q111" s="8">
        <f>IFERROR(INDEX(January!$AJ:$AJ,MATCH($A111,January!$A:$A,0)),0)+IFERROR(INDEX(February!$AG:$AG,MATCH($A111,February!$A:$A,0)),0)+IFERROR(INDEX(March!$AJ:$AJ,MATCH($A111,March!$A:$A,0)),0)+IFERROR(INDEX(April!$AI:$AI,MATCH($A111,April!$A:$A,0)),0)+IFERROR(INDEX(May!$AJ:$AJ,MATCH($A111,May!$A:$A,0)),0)+IFERROR(INDEX(June!$AI:$AI,MATCH($A111,June!$A:$A,0)),0)+IFERROR(INDEX(July!$AJ:$AJ,MATCH($A111,July!$A:$A,0)),0)+IFERROR(INDEX(August!$AJ:$AJ,MATCH($A111,August!$A:$A,0)),0)+IFERROR(INDEX(September!$AI:$AI,MATCH($A111,September!$A:$A,0)),0)+IFERROR(INDEX(October!$AJ:$AJ,MATCH($A111,October!$A:$A,0)),0)+IFERROR(INDEX(November!$AI:$AI,MATCH($A111,November!$A:$A,0)),0)+IFERROR(INDEX(December!$AJ:$AJ,MATCH($A111,December!$A:$A,0)),0)</f>
        <v>40</v>
      </c>
      <c r="R111" s="8">
        <f>IFERROR(INDEX(January!$AK:$AK,MATCH($A111,January!$A:$A,0)),0)+IFERROR(INDEX(February!$AH:$AH,MATCH($A111,February!$A:$A,0)),0)+IFERROR(INDEX(March!$AK:$AK,MATCH($A111,March!$A:$A,0)),0)+IFERROR(INDEX(April!$AJ:$AJ,MATCH($A111,April!$A:$A,0)),0)+IFERROR(INDEX(May!$AK:$AK,MATCH($A111,May!$A:$A,0)),0)+IFERROR(INDEX(June!$AJ:$AJ,MATCH($A111,June!$A:$A,0)),0)+IFERROR(INDEX(July!$AK:$AK,MATCH($A111,July!$A:$A,0)),0)+IFERROR(INDEX(August!$AK:$AK,MATCH($A111,August!$A:$A,0)),0)+IFERROR(INDEX(September!$AJ:$AJ,MATCH($A111,September!$A:$A,0)),0)+IFERROR(INDEX(October!$AK:$AK,MATCH($A111,October!$A:$A,0)),0)+IFERROR(INDEX(November!$AJ:$AJ,MATCH($A111,November!$A:$A,0)),0)+IFERROR(INDEX(December!$AK:$AK,MATCH($A111,December!$A:$A,0)),0)</f>
        <v>5</v>
      </c>
      <c r="S111" s="35">
        <f t="shared" si="20"/>
        <v>0.84674329501915713</v>
      </c>
      <c r="T111" s="38"/>
      <c r="U111" s="51">
        <f>IFERROR(INDEX(January!$AQ:$AQ,MATCH($A111,January!$A:$A,0)),0)+IFERROR(INDEX(February!$AN:$AN,MATCH($A111,February!$A:$A,0)),0)+IFERROR(INDEX(March!$AQ:$AQ,MATCH($A111,March!$A:$A,0)),0)+IFERROR(INDEX(April!$AP:$AP,MATCH($A111,April!$A:$A,0)),0)+IFERROR(INDEX(May!$AQ:$AQ,MATCH($A111,May!$A:$A,0)),0)+IFERROR(INDEX(June!$AP:$AP,MATCH($A111,June!$A:$A,0)),0)+IFERROR(INDEX(July!$AQ:$AQ,MATCH($A111,July!$A:$A,0)),0)+IFERROR(INDEX(August!$AQ:$AQ,MATCH($A111,August!$A:$A,0)),0)+IFERROR(INDEX(September!$AP:$AP,MATCH($A111,September!$A:$A,0)),0)+IFERROR(INDEX(October!$AQ:$AQ,MATCH($A111,October!$A:$A,0)),0)+IFERROR(INDEX(November!$AP:$AP,MATCH($A111,November!$A:$A,0)),0)+IFERROR(INDEX(December!$AQ:$AQ,MATCH($A111,December!$A:$A,0)),0)</f>
        <v>209</v>
      </c>
      <c r="V111" s="52">
        <f>IFERROR(INDEX(January!$AJ:$AJ,MATCH($A111,January!$A:$A,0)),0)+IFERROR(INDEX(February!$AG:$AG,MATCH($A111,February!$A:$A,0)),0)+IFERROR(INDEX(March!$AJ:$AJ,MATCH($A111,March!$A:$A,0)),0)+IFERROR(INDEX(April!$AI:$AI,MATCH($A111,April!$A:$A,0)),0)+IFERROR(INDEX(May!$AJ:$AJ,MATCH($A111,May!$A:$A,0)),0)+IFERROR(INDEX(June!$AI:$AI,MATCH($A111,June!$A:$A,0)),0)+IFERROR(INDEX(July!$AJ:$AJ,MATCH($A111,July!$A:$A,0)),0)+IFERROR(INDEX(August!$AJ:$AJ,MATCH($A111,August!$A:$A,0)),0)+IFERROR(INDEX(September!$AI:$AI,MATCH($A111,September!$A:$A,0)),0)+IFERROR(INDEX(October!$AJ:$AJ,MATCH($A111,October!$A:$A,0)),0)+IFERROR(INDEX(November!$AI:$AI,MATCH($A111,November!$A:$A,0)),0)+IFERROR(INDEX(December!$AJ:$AJ,MATCH($A111,December!$A:$A,0)),0)</f>
        <v>40</v>
      </c>
      <c r="W111" s="53">
        <f>IFERROR(INDEX(January!$AO:$AO,MATCH($A111,January!$A:$A,0)),0)+IFERROR(INDEX(February!$AL:$AL,MATCH($A111,February!$A:$A,0)),0)+IFERROR(INDEX(March!$AO:$AO,MATCH($A111,March!$A:$A,0)),0)+IFERROR(INDEX(April!$AN:$AN,MATCH($A111,April!$A:$A,0)),0)+IFERROR(INDEX(May!$AO:$AO,MATCH($A111,May!$A:$A,0)),0)+IFERROR(INDEX(June!$AN:$AN,MATCH($A111,June!$A:$A,0)),0)+IFERROR(INDEX(July!$AO:$AO,MATCH($A111,July!$A:$A,0)),0)+IFERROR(INDEX(August!$AO:$AO,MATCH($A111,August!$A:$A,0)),0)+IFERROR(INDEX(September!$AN:$AN,MATCH($A111,September!$A:$A,0)),0)+IFERROR(INDEX(October!$AO:$AO,MATCH($A111,October!$A:$A,0)),0)+IFERROR(INDEX(November!$AN:$AN,MATCH($A111,November!$A:$A,0)),0)+IFERROR(INDEX(December!$AO:$AO,MATCH($A111,December!$A:$A,0)),0)</f>
        <v>39</v>
      </c>
      <c r="X111" s="53">
        <f t="shared" si="21"/>
        <v>19.5</v>
      </c>
      <c r="Y111" s="53">
        <f>(IFERROR(INDEX(January!$AL:$AL,MATCH($A111,January!$A:$A,0)),0)+IFERROR(INDEX(February!$AI:$AI,MATCH($A111,February!$A:$A,0)),0)+IFERROR(INDEX(March!$AL:$AL,MATCH($A111,March!$A:$A,0)),0)+IFERROR(INDEX(April!$AK:$AK,MATCH($A111,April!$A:$A,0)),0)+IFERROR(INDEX(May!$AL:$AL,MATCH($A111,May!$A:$A,0)),0)+IFERROR(INDEX(June!$AK:$AK,MATCH($A111,June!$A:$A,0)),0)+IFERROR(INDEX(July!$AL:$AL,MATCH($A111,July!$A:$A,0)),0)+IFERROR(INDEX(August!$AL:$AL,MATCH($A111,August!$A:$A,0)),0)+IFERROR(INDEX(September!$AK:$AK,MATCH($A111,September!$A:$A,0)),0)+IFERROR(INDEX(October!$AL:$AL,MATCH($A111,October!$A:$A,0)),0)+IFERROR(INDEX(November!$AK:$AK,MATCH($A111,November!$A:$A,0)),0)+IFERROR(INDEX(December!$AL:$AL,MATCH($A111,December!$A:$A,0)),0))*0.5</f>
        <v>2.5</v>
      </c>
      <c r="Z111" s="54">
        <f>IFERROR(INDEX(January!$AK:$AK,MATCH($A111,January!$A:$A,0)),0)+IFERROR(INDEX(February!$AH:$AH,MATCH($A111,February!$A:$A,0)),0)+IFERROR(INDEX(March!$AK:$AK,MATCH($A111,March!$A:$A,0)),0)+IFERROR(INDEX(April!$AJ:$AJ,MATCH($A111,April!$A:$A,0)),0)+IFERROR(INDEX(May!$AK:$AK,MATCH($A111,May!$A:$A,0)),0)+IFERROR(INDEX(June!$AJ:$AJ,MATCH($A111,June!$A:$A,0)),0)+IFERROR(INDEX(July!$AK:$AK,MATCH($A111,July!$A:$A,0)),0)+IFERROR(INDEX(August!$AK:$AK,MATCH($A111,August!$A:$A,0)),0)+IFERROR(INDEX(September!$AJ:$AJ,MATCH($A111,September!$A:$A,0)),0)+IFERROR(INDEX(October!$AK:$AK,MATCH($A111,October!$A:$A,0)),0)+IFERROR(INDEX(November!$AJ:$AJ,MATCH($A111,November!$A:$A,0)),0)+IFERROR(INDEX(December!$AK:$AK,MATCH($A111,December!$A:$A,0)),0)</f>
        <v>5</v>
      </c>
      <c r="AA111" s="51">
        <f t="shared" si="22"/>
        <v>7.5</v>
      </c>
      <c r="AB111" s="55"/>
      <c r="AC111" s="56">
        <f t="shared" si="23"/>
        <v>7.5</v>
      </c>
      <c r="AD111" s="57"/>
      <c r="AE111" s="58">
        <f t="shared" si="24"/>
        <v>7.5</v>
      </c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</row>
    <row r="112" spans="1:49" ht="22" customHeight="1" x14ac:dyDescent="0.35">
      <c r="A112" s="8" t="s">
        <v>241</v>
      </c>
      <c r="B112" s="8" t="s">
        <v>242</v>
      </c>
      <c r="C112" s="8" t="s">
        <v>216</v>
      </c>
      <c r="D112" s="10">
        <v>22</v>
      </c>
      <c r="E112" s="11">
        <v>18</v>
      </c>
      <c r="F112" s="10">
        <v>20</v>
      </c>
      <c r="G112" s="10">
        <v>20</v>
      </c>
      <c r="H112" s="11">
        <v>19</v>
      </c>
      <c r="I112" s="10">
        <v>21</v>
      </c>
      <c r="J112" s="10">
        <v>23</v>
      </c>
      <c r="K112" s="10">
        <v>20</v>
      </c>
      <c r="L112" s="10">
        <v>22</v>
      </c>
      <c r="M112" s="11">
        <v>12</v>
      </c>
      <c r="N112" s="11">
        <v>18</v>
      </c>
      <c r="O112" s="11">
        <v>18</v>
      </c>
      <c r="P112" s="8">
        <f>IFERROR(INDEX(January!$AI:$AI,MATCH($A112,January!$A:$A,0)),0)+IFERROR(INDEX(February!$AF:$AF,MATCH($A112,February!$A:$A,0)),0)+IFERROR(INDEX(March!$AI:$AI,MATCH($A112,March!$A:$A,0)),0)+IFERROR(INDEX(April!$AH:$AH,MATCH($A112,April!$A:$A,0)),0)+IFERROR(INDEX(May!$AI:$AI,MATCH($A112,May!$A:$A,0)),0)+IFERROR(INDEX(June!$AH:$AH,MATCH($A112,June!$A:$A,0)),0)+IFERROR(INDEX(July!$AI:$AI,MATCH($A112,July!$A:$A,0)),0)+IFERROR(INDEX(August!$AI:$AI,MATCH($A112,August!$A:$A,0)),0)+IFERROR(INDEX(September!$AH:$AH,MATCH($A112,September!$A:$A,0)),0)+IFERROR(INDEX(October!$AI:$AI,MATCH($A112,October!$A:$A,0)),0)+IFERROR(INDEX(November!$AH:$AH,MATCH($A112,November!$A:$A,0)),0)+IFERROR(INDEX(December!$AI:$AI,MATCH($A112,December!$A:$A,0)),0)</f>
        <v>232</v>
      </c>
      <c r="Q112" s="8">
        <f>IFERROR(INDEX(January!$AJ:$AJ,MATCH($A112,January!$A:$A,0)),0)+IFERROR(INDEX(February!$AG:$AG,MATCH($A112,February!$A:$A,0)),0)+IFERROR(INDEX(March!$AJ:$AJ,MATCH($A112,March!$A:$A,0)),0)+IFERROR(INDEX(April!$AI:$AI,MATCH($A112,April!$A:$A,0)),0)+IFERROR(INDEX(May!$AJ:$AJ,MATCH($A112,May!$A:$A,0)),0)+IFERROR(INDEX(June!$AI:$AI,MATCH($A112,June!$A:$A,0)),0)+IFERROR(INDEX(July!$AJ:$AJ,MATCH($A112,July!$A:$A,0)),0)+IFERROR(INDEX(August!$AJ:$AJ,MATCH($A112,August!$A:$A,0)),0)+IFERROR(INDEX(September!$AI:$AI,MATCH($A112,September!$A:$A,0)),0)+IFERROR(INDEX(October!$AJ:$AJ,MATCH($A112,October!$A:$A,0)),0)+IFERROR(INDEX(November!$AI:$AI,MATCH($A112,November!$A:$A,0)),0)+IFERROR(INDEX(December!$AJ:$AJ,MATCH($A112,December!$A:$A,0)),0)</f>
        <v>29</v>
      </c>
      <c r="R112" s="8">
        <f>IFERROR(INDEX(January!$AK:$AK,MATCH($A112,January!$A:$A,0)),0)+IFERROR(INDEX(February!$AH:$AH,MATCH($A112,February!$A:$A,0)),0)+IFERROR(INDEX(March!$AK:$AK,MATCH($A112,March!$A:$A,0)),0)+IFERROR(INDEX(April!$AJ:$AJ,MATCH($A112,April!$A:$A,0)),0)+IFERROR(INDEX(May!$AK:$AK,MATCH($A112,May!$A:$A,0)),0)+IFERROR(INDEX(June!$AJ:$AJ,MATCH($A112,June!$A:$A,0)),0)+IFERROR(INDEX(July!$AK:$AK,MATCH($A112,July!$A:$A,0)),0)+IFERROR(INDEX(August!$AK:$AK,MATCH($A112,August!$A:$A,0)),0)+IFERROR(INDEX(September!$AJ:$AJ,MATCH($A112,September!$A:$A,0)),0)+IFERROR(INDEX(October!$AK:$AK,MATCH($A112,October!$A:$A,0)),0)+IFERROR(INDEX(November!$AJ:$AJ,MATCH($A112,November!$A:$A,0)),0)+IFERROR(INDEX(December!$AK:$AK,MATCH($A112,December!$A:$A,0)),0)</f>
        <v>1</v>
      </c>
      <c r="S112" s="35">
        <f t="shared" si="20"/>
        <v>0.88888888888888884</v>
      </c>
      <c r="T112" s="38"/>
      <c r="U112" s="51">
        <f>IFERROR(INDEX(January!$AQ:$AQ,MATCH($A112,January!$A:$A,0)),0)+IFERROR(INDEX(February!$AN:$AN,MATCH($A112,February!$A:$A,0)),0)+IFERROR(INDEX(March!$AQ:$AQ,MATCH($A112,March!$A:$A,0)),0)+IFERROR(INDEX(April!$AP:$AP,MATCH($A112,April!$A:$A,0)),0)+IFERROR(INDEX(May!$AQ:$AQ,MATCH($A112,May!$A:$A,0)),0)+IFERROR(INDEX(June!$AP:$AP,MATCH($A112,June!$A:$A,0)),0)+IFERROR(INDEX(July!$AQ:$AQ,MATCH($A112,July!$A:$A,0)),0)+IFERROR(INDEX(August!$AQ:$AQ,MATCH($A112,August!$A:$A,0)),0)+IFERROR(INDEX(September!$AP:$AP,MATCH($A112,September!$A:$A,0)),0)+IFERROR(INDEX(October!$AQ:$AQ,MATCH($A112,October!$A:$A,0)),0)+IFERROR(INDEX(November!$AP:$AP,MATCH($A112,November!$A:$A,0)),0)+IFERROR(INDEX(December!$AQ:$AQ,MATCH($A112,December!$A:$A,0)),0)</f>
        <v>210</v>
      </c>
      <c r="V112" s="52">
        <f>IFERROR(INDEX(January!$AJ:$AJ,MATCH($A112,January!$A:$A,0)),0)+IFERROR(INDEX(February!$AG:$AG,MATCH($A112,February!$A:$A,0)),0)+IFERROR(INDEX(March!$AJ:$AJ,MATCH($A112,March!$A:$A,0)),0)+IFERROR(INDEX(April!$AI:$AI,MATCH($A112,April!$A:$A,0)),0)+IFERROR(INDEX(May!$AJ:$AJ,MATCH($A112,May!$A:$A,0)),0)+IFERROR(INDEX(June!$AI:$AI,MATCH($A112,June!$A:$A,0)),0)+IFERROR(INDEX(July!$AJ:$AJ,MATCH($A112,July!$A:$A,0)),0)+IFERROR(INDEX(August!$AJ:$AJ,MATCH($A112,August!$A:$A,0)),0)+IFERROR(INDEX(September!$AI:$AI,MATCH($A112,September!$A:$A,0)),0)+IFERROR(INDEX(October!$AJ:$AJ,MATCH($A112,October!$A:$A,0)),0)+IFERROR(INDEX(November!$AI:$AI,MATCH($A112,November!$A:$A,0)),0)+IFERROR(INDEX(December!$AJ:$AJ,MATCH($A112,December!$A:$A,0)),0)</f>
        <v>29</v>
      </c>
      <c r="W112" s="53">
        <f>IFERROR(INDEX(January!$AO:$AO,MATCH($A112,January!$A:$A,0)),0)+IFERROR(INDEX(February!$AL:$AL,MATCH($A112,February!$A:$A,0)),0)+IFERROR(INDEX(March!$AO:$AO,MATCH($A112,March!$A:$A,0)),0)+IFERROR(INDEX(April!$AN:$AN,MATCH($A112,April!$A:$A,0)),0)+IFERROR(INDEX(May!$AO:$AO,MATCH($A112,May!$A:$A,0)),0)+IFERROR(INDEX(June!$AN:$AN,MATCH($A112,June!$A:$A,0)),0)+IFERROR(INDEX(July!$AO:$AO,MATCH($A112,July!$A:$A,0)),0)+IFERROR(INDEX(August!$AO:$AO,MATCH($A112,August!$A:$A,0)),0)+IFERROR(INDEX(September!$AN:$AN,MATCH($A112,September!$A:$A,0)),0)+IFERROR(INDEX(October!$AO:$AO,MATCH($A112,October!$A:$A,0)),0)+IFERROR(INDEX(November!$AN:$AN,MATCH($A112,November!$A:$A,0)),0)+IFERROR(INDEX(December!$AO:$AO,MATCH($A112,December!$A:$A,0)),0)</f>
        <v>46</v>
      </c>
      <c r="X112" s="53">
        <f t="shared" si="21"/>
        <v>23</v>
      </c>
      <c r="Y112" s="53">
        <f>(IFERROR(INDEX(January!$AL:$AL,MATCH($A112,January!$A:$A,0)),0)+IFERROR(INDEX(February!$AI:$AI,MATCH($A112,February!$A:$A,0)),0)+IFERROR(INDEX(March!$AL:$AL,MATCH($A112,March!$A:$A,0)),0)+IFERROR(INDEX(April!$AK:$AK,MATCH($A112,April!$A:$A,0)),0)+IFERROR(INDEX(May!$AL:$AL,MATCH($A112,May!$A:$A,0)),0)+IFERROR(INDEX(June!$AK:$AK,MATCH($A112,June!$A:$A,0)),0)+IFERROR(INDEX(July!$AL:$AL,MATCH($A112,July!$A:$A,0)),0)+IFERROR(INDEX(August!$AL:$AL,MATCH($A112,August!$A:$A,0)),0)+IFERROR(INDEX(September!$AK:$AK,MATCH($A112,September!$A:$A,0)),0)+IFERROR(INDEX(October!$AL:$AL,MATCH($A112,October!$A:$A,0)),0)+IFERROR(INDEX(November!$AK:$AK,MATCH($A112,November!$A:$A,0)),0)+IFERROR(INDEX(December!$AL:$AL,MATCH($A112,December!$A:$A,0)),0))*0.5</f>
        <v>0</v>
      </c>
      <c r="Z112" s="54">
        <f>IFERROR(INDEX(January!$AK:$AK,MATCH($A112,January!$A:$A,0)),0)+IFERROR(INDEX(February!$AH:$AH,MATCH($A112,February!$A:$A,0)),0)+IFERROR(INDEX(March!$AK:$AK,MATCH($A112,March!$A:$A,0)),0)+IFERROR(INDEX(April!$AJ:$AJ,MATCH($A112,April!$A:$A,0)),0)+IFERROR(INDEX(May!$AK:$AK,MATCH($A112,May!$A:$A,0)),0)+IFERROR(INDEX(June!$AJ:$AJ,MATCH($A112,June!$A:$A,0)),0)+IFERROR(INDEX(July!$AK:$AK,MATCH($A112,July!$A:$A,0)),0)+IFERROR(INDEX(August!$AK:$AK,MATCH($A112,August!$A:$A,0)),0)+IFERROR(INDEX(September!$AJ:$AJ,MATCH($A112,September!$A:$A,0)),0)+IFERROR(INDEX(October!$AK:$AK,MATCH($A112,October!$A:$A,0)),0)+IFERROR(INDEX(November!$AJ:$AJ,MATCH($A112,November!$A:$A,0)),0)+IFERROR(INDEX(December!$AK:$AK,MATCH($A112,December!$A:$A,0)),0)</f>
        <v>1</v>
      </c>
      <c r="AA112" s="51">
        <f t="shared" si="22"/>
        <v>1</v>
      </c>
      <c r="AB112" s="55"/>
      <c r="AC112" s="56">
        <f t="shared" si="23"/>
        <v>1</v>
      </c>
      <c r="AD112" s="57"/>
      <c r="AE112" s="58">
        <f t="shared" si="24"/>
        <v>1</v>
      </c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</row>
    <row r="114" spans="1:49" ht="25" customHeight="1" x14ac:dyDescent="0.35">
      <c r="A114" s="64" t="s">
        <v>243</v>
      </c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</row>
    <row r="115" spans="1:49" ht="22" customHeight="1" x14ac:dyDescent="0.35">
      <c r="A115" s="8" t="s">
        <v>244</v>
      </c>
      <c r="B115" s="8" t="s">
        <v>245</v>
      </c>
      <c r="C115" s="8" t="s">
        <v>246</v>
      </c>
      <c r="D115" s="10">
        <v>29</v>
      </c>
      <c r="E115" s="11">
        <v>17</v>
      </c>
      <c r="F115" s="10">
        <v>28</v>
      </c>
      <c r="G115" s="10">
        <v>27</v>
      </c>
      <c r="H115" s="11">
        <v>1</v>
      </c>
      <c r="I115" s="11">
        <v>18</v>
      </c>
      <c r="J115" s="10">
        <v>29</v>
      </c>
      <c r="K115" s="10">
        <v>30</v>
      </c>
      <c r="L115" s="10">
        <v>27</v>
      </c>
      <c r="M115" s="11">
        <v>11</v>
      </c>
      <c r="N115" s="9">
        <v>0</v>
      </c>
      <c r="O115" s="11">
        <v>10</v>
      </c>
      <c r="P115" s="8">
        <f>IFERROR(INDEX(January!$AI:$AI,MATCH($A115,January!$A:$A,0)),0)+IFERROR(INDEX(February!$AF:$AF,MATCH($A115,February!$A:$A,0)),0)+IFERROR(INDEX(March!$AI:$AI,MATCH($A115,March!$A:$A,0)),0)+IFERROR(INDEX(April!$AH:$AH,MATCH($A115,April!$A:$A,0)),0)+IFERROR(INDEX(May!$AI:$AI,MATCH($A115,May!$A:$A,0)),0)+IFERROR(INDEX(June!$AH:$AH,MATCH($A115,June!$A:$A,0)),0)+IFERROR(INDEX(July!$AI:$AI,MATCH($A115,July!$A:$A,0)),0)+IFERROR(INDEX(August!$AI:$AI,MATCH($A115,August!$A:$A,0)),0)+IFERROR(INDEX(September!$AH:$AH,MATCH($A115,September!$A:$A,0)),0)+IFERROR(INDEX(October!$AI:$AI,MATCH($A115,October!$A:$A,0)),0)+IFERROR(INDEX(November!$AH:$AH,MATCH($A115,November!$A:$A,0)),0)+IFERROR(INDEX(December!$AI:$AI,MATCH($A115,December!$A:$A,0)),0)</f>
        <v>165</v>
      </c>
      <c r="Q115" s="8">
        <f>IFERROR(INDEX(January!$AJ:$AJ,MATCH($A115,January!$A:$A,0)),0)+IFERROR(INDEX(February!$AG:$AG,MATCH($A115,February!$A:$A,0)),0)+IFERROR(INDEX(March!$AJ:$AJ,MATCH($A115,March!$A:$A,0)),0)+IFERROR(INDEX(April!$AI:$AI,MATCH($A115,April!$A:$A,0)),0)+IFERROR(INDEX(May!$AJ:$AJ,MATCH($A115,May!$A:$A,0)),0)+IFERROR(INDEX(June!$AI:$AI,MATCH($A115,June!$A:$A,0)),0)+IFERROR(INDEX(July!$AJ:$AJ,MATCH($A115,July!$A:$A,0)),0)+IFERROR(INDEX(August!$AJ:$AJ,MATCH($A115,August!$A:$A,0)),0)+IFERROR(INDEX(September!$AI:$AI,MATCH($A115,September!$A:$A,0)),0)+IFERROR(INDEX(October!$AJ:$AJ,MATCH($A115,October!$A:$A,0)),0)+IFERROR(INDEX(November!$AI:$AI,MATCH($A115,November!$A:$A,0)),0)+IFERROR(INDEX(December!$AJ:$AJ,MATCH($A115,December!$A:$A,0)),0)</f>
        <v>96</v>
      </c>
      <c r="R115" s="8">
        <f>IFERROR(INDEX(January!$AK:$AK,MATCH($A115,January!$A:$A,0)),0)+IFERROR(INDEX(February!$AH:$AH,MATCH($A115,February!$A:$A,0)),0)+IFERROR(INDEX(March!$AK:$AK,MATCH($A115,March!$A:$A,0)),0)+IFERROR(INDEX(April!$AJ:$AJ,MATCH($A115,April!$A:$A,0)),0)+IFERROR(INDEX(May!$AK:$AK,MATCH($A115,May!$A:$A,0)),0)+IFERROR(INDEX(June!$AJ:$AJ,MATCH($A115,June!$A:$A,0)),0)+IFERROR(INDEX(July!$AK:$AK,MATCH($A115,July!$A:$A,0)),0)+IFERROR(INDEX(August!$AK:$AK,MATCH($A115,August!$A:$A,0)),0)+IFERROR(INDEX(September!$AJ:$AJ,MATCH($A115,September!$A:$A,0)),0)+IFERROR(INDEX(October!$AK:$AK,MATCH($A115,October!$A:$A,0)),0)+IFERROR(INDEX(November!$AJ:$AJ,MATCH($A115,November!$A:$A,0)),0)+IFERROR(INDEX(December!$AK:$AK,MATCH($A115,December!$A:$A,0)),0)</f>
        <v>30</v>
      </c>
      <c r="S115" s="36">
        <f>IF((P115+Q115)=0,"",P115/(P115+Q115))</f>
        <v>0.63218390804597702</v>
      </c>
      <c r="T115" s="38"/>
      <c r="U115" s="51">
        <f>IFERROR(INDEX(January!$AQ:$AQ,MATCH($A115,January!$A:$A,0)),0)+IFERROR(INDEX(February!$AN:$AN,MATCH($A115,February!$A:$A,0)),0)+IFERROR(INDEX(March!$AQ:$AQ,MATCH($A115,March!$A:$A,0)),0)+IFERROR(INDEX(April!$AP:$AP,MATCH($A115,April!$A:$A,0)),0)+IFERROR(INDEX(May!$AQ:$AQ,MATCH($A115,May!$A:$A,0)),0)+IFERROR(INDEX(June!$AP:$AP,MATCH($A115,June!$A:$A,0)),0)+IFERROR(INDEX(July!$AQ:$AQ,MATCH($A115,July!$A:$A,0)),0)+IFERROR(INDEX(August!$AQ:$AQ,MATCH($A115,August!$A:$A,0)),0)+IFERROR(INDEX(September!$AP:$AP,MATCH($A115,September!$A:$A,0)),0)+IFERROR(INDEX(October!$AQ:$AQ,MATCH($A115,October!$A:$A,0)),0)+IFERROR(INDEX(November!$AP:$AP,MATCH($A115,November!$A:$A,0)),0)+IFERROR(INDEX(December!$AQ:$AQ,MATCH($A115,December!$A:$A,0)),0)</f>
        <v>210</v>
      </c>
      <c r="V115" s="52">
        <f>IFERROR(INDEX(January!$AJ:$AJ,MATCH($A115,January!$A:$A,0)),0)+IFERROR(INDEX(February!$AG:$AG,MATCH($A115,February!$A:$A,0)),0)+IFERROR(INDEX(March!$AJ:$AJ,MATCH($A115,March!$A:$A,0)),0)+IFERROR(INDEX(April!$AI:$AI,MATCH($A115,April!$A:$A,0)),0)+IFERROR(INDEX(May!$AJ:$AJ,MATCH($A115,May!$A:$A,0)),0)+IFERROR(INDEX(June!$AI:$AI,MATCH($A115,June!$A:$A,0)),0)+IFERROR(INDEX(July!$AJ:$AJ,MATCH($A115,July!$A:$A,0)),0)+IFERROR(INDEX(August!$AJ:$AJ,MATCH($A115,August!$A:$A,0)),0)+IFERROR(INDEX(September!$AI:$AI,MATCH($A115,September!$A:$A,0)),0)+IFERROR(INDEX(October!$AJ:$AJ,MATCH($A115,October!$A:$A,0)),0)+IFERROR(INDEX(November!$AI:$AI,MATCH($A115,November!$A:$A,0)),0)+IFERROR(INDEX(December!$AJ:$AJ,MATCH($A115,December!$A:$A,0)),0)</f>
        <v>96</v>
      </c>
      <c r="W115" s="53">
        <f>IFERROR(INDEX(January!$AO:$AO,MATCH($A115,January!$A:$A,0)),0)+IFERROR(INDEX(February!$AL:$AL,MATCH($A115,February!$A:$A,0)),0)+IFERROR(INDEX(March!$AO:$AO,MATCH($A115,March!$A:$A,0)),0)+IFERROR(INDEX(April!$AN:$AN,MATCH($A115,April!$A:$A,0)),0)+IFERROR(INDEX(May!$AO:$AO,MATCH($A115,May!$A:$A,0)),0)+IFERROR(INDEX(June!$AN:$AN,MATCH($A115,June!$A:$A,0)),0)+IFERROR(INDEX(July!$AO:$AO,MATCH($A115,July!$A:$A,0)),0)+IFERROR(INDEX(August!$AO:$AO,MATCH($A115,August!$A:$A,0)),0)+IFERROR(INDEX(September!$AN:$AN,MATCH($A115,September!$A:$A,0)),0)+IFERROR(INDEX(October!$AO:$AO,MATCH($A115,October!$A:$A,0)),0)+IFERROR(INDEX(November!$AN:$AN,MATCH($A115,November!$A:$A,0)),0)+IFERROR(INDEX(December!$AO:$AO,MATCH($A115,December!$A:$A,0)),0)</f>
        <v>2</v>
      </c>
      <c r="X115" s="53">
        <f>W115/2</f>
        <v>1</v>
      </c>
      <c r="Y115" s="53">
        <f>(IFERROR(INDEX(January!$AL:$AL,MATCH($A115,January!$A:$A,0)),0)+IFERROR(INDEX(February!$AI:$AI,MATCH($A115,February!$A:$A,0)),0)+IFERROR(INDEX(March!$AL:$AL,MATCH($A115,March!$A:$A,0)),0)+IFERROR(INDEX(April!$AK:$AK,MATCH($A115,April!$A:$A,0)),0)+IFERROR(INDEX(May!$AL:$AL,MATCH($A115,May!$A:$A,0)),0)+IFERROR(INDEX(June!$AK:$AK,MATCH($A115,June!$A:$A,0)),0)+IFERROR(INDEX(July!$AL:$AL,MATCH($A115,July!$A:$A,0)),0)+IFERROR(INDEX(August!$AL:$AL,MATCH($A115,August!$A:$A,0)),0)+IFERROR(INDEX(September!$AK:$AK,MATCH($A115,September!$A:$A,0)),0)+IFERROR(INDEX(October!$AL:$AL,MATCH($A115,October!$A:$A,0)),0)+IFERROR(INDEX(November!$AK:$AK,MATCH($A115,November!$A:$A,0)),0)+IFERROR(INDEX(December!$AL:$AL,MATCH($A115,December!$A:$A,0)),0))*0.5</f>
        <v>16</v>
      </c>
      <c r="Z115" s="54">
        <f>IFERROR(INDEX(January!$AK:$AK,MATCH($A115,January!$A:$A,0)),0)+IFERROR(INDEX(February!$AH:$AH,MATCH($A115,February!$A:$A,0)),0)+IFERROR(INDEX(March!$AK:$AK,MATCH($A115,March!$A:$A,0)),0)+IFERROR(INDEX(April!$AJ:$AJ,MATCH($A115,April!$A:$A,0)),0)+IFERROR(INDEX(May!$AK:$AK,MATCH($A115,May!$A:$A,0)),0)+IFERROR(INDEX(June!$AJ:$AJ,MATCH($A115,June!$A:$A,0)),0)+IFERROR(INDEX(July!$AK:$AK,MATCH($A115,July!$A:$A,0)),0)+IFERROR(INDEX(August!$AK:$AK,MATCH($A115,August!$A:$A,0)),0)+IFERROR(INDEX(September!$AJ:$AJ,MATCH($A115,September!$A:$A,0)),0)+IFERROR(INDEX(October!$AK:$AK,MATCH($A115,October!$A:$A,0)),0)+IFERROR(INDEX(November!$AJ:$AJ,MATCH($A115,November!$A:$A,0)),0)+IFERROR(INDEX(December!$AK:$AK,MATCH($A115,December!$A:$A,0)),0)</f>
        <v>30</v>
      </c>
      <c r="AA115" s="51">
        <f>Y115+Z115</f>
        <v>46</v>
      </c>
      <c r="AB115" s="55"/>
      <c r="AC115" s="56">
        <f>AA115+IF(AB115="",0,AB115)</f>
        <v>46</v>
      </c>
      <c r="AD115" s="57"/>
      <c r="AE115" s="58">
        <f>AC115-IF(AD115="",0,AD115)</f>
        <v>46</v>
      </c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</row>
    <row r="116" spans="1:49" ht="22" customHeight="1" x14ac:dyDescent="0.35">
      <c r="A116" s="8" t="s">
        <v>247</v>
      </c>
      <c r="B116" s="8" t="s">
        <v>248</v>
      </c>
      <c r="C116" s="8" t="s">
        <v>246</v>
      </c>
      <c r="D116" s="10">
        <v>27</v>
      </c>
      <c r="E116" s="10">
        <v>28</v>
      </c>
      <c r="F116" s="10">
        <v>31</v>
      </c>
      <c r="G116" s="11">
        <v>15</v>
      </c>
      <c r="H116" s="9">
        <v>0</v>
      </c>
      <c r="I116" s="10">
        <v>28</v>
      </c>
      <c r="J116" s="10">
        <v>28</v>
      </c>
      <c r="K116" s="10">
        <v>29</v>
      </c>
      <c r="L116" s="10">
        <v>30</v>
      </c>
      <c r="M116" s="11">
        <v>7</v>
      </c>
      <c r="N116" s="9">
        <v>0</v>
      </c>
      <c r="O116" s="11">
        <v>10</v>
      </c>
      <c r="P116" s="8">
        <f>IFERROR(INDEX(January!$AI:$AI,MATCH($A116,January!$A:$A,0)),0)+IFERROR(INDEX(February!$AF:$AF,MATCH($A116,February!$A:$A,0)),0)+IFERROR(INDEX(March!$AI:$AI,MATCH($A116,March!$A:$A,0)),0)+IFERROR(INDEX(April!$AH:$AH,MATCH($A116,April!$A:$A,0)),0)+IFERROR(INDEX(May!$AI:$AI,MATCH($A116,May!$A:$A,0)),0)+IFERROR(INDEX(June!$AH:$AH,MATCH($A116,June!$A:$A,0)),0)+IFERROR(INDEX(July!$AI:$AI,MATCH($A116,July!$A:$A,0)),0)+IFERROR(INDEX(August!$AI:$AI,MATCH($A116,August!$A:$A,0)),0)+IFERROR(INDEX(September!$AH:$AH,MATCH($A116,September!$A:$A,0)),0)+IFERROR(INDEX(October!$AI:$AI,MATCH($A116,October!$A:$A,0)),0)+IFERROR(INDEX(November!$AH:$AH,MATCH($A116,November!$A:$A,0)),0)+IFERROR(INDEX(December!$AI:$AI,MATCH($A116,December!$A:$A,0)),0)</f>
        <v>168</v>
      </c>
      <c r="Q116" s="8">
        <f>IFERROR(INDEX(January!$AJ:$AJ,MATCH($A116,January!$A:$A,0)),0)+IFERROR(INDEX(February!$AG:$AG,MATCH($A116,February!$A:$A,0)),0)+IFERROR(INDEX(March!$AJ:$AJ,MATCH($A116,March!$A:$A,0)),0)+IFERROR(INDEX(April!$AI:$AI,MATCH($A116,April!$A:$A,0)),0)+IFERROR(INDEX(May!$AJ:$AJ,MATCH($A116,May!$A:$A,0)),0)+IFERROR(INDEX(June!$AI:$AI,MATCH($A116,June!$A:$A,0)),0)+IFERROR(INDEX(July!$AJ:$AJ,MATCH($A116,July!$A:$A,0)),0)+IFERROR(INDEX(August!$AJ:$AJ,MATCH($A116,August!$A:$A,0)),0)+IFERROR(INDEX(September!$AI:$AI,MATCH($A116,September!$A:$A,0)),0)+IFERROR(INDEX(October!$AJ:$AJ,MATCH($A116,October!$A:$A,0)),0)+IFERROR(INDEX(November!$AI:$AI,MATCH($A116,November!$A:$A,0)),0)+IFERROR(INDEX(December!$AJ:$AJ,MATCH($A116,December!$A:$A,0)),0)</f>
        <v>93</v>
      </c>
      <c r="R116" s="8">
        <f>IFERROR(INDEX(January!$AK:$AK,MATCH($A116,January!$A:$A,0)),0)+IFERROR(INDEX(February!$AH:$AH,MATCH($A116,February!$A:$A,0)),0)+IFERROR(INDEX(March!$AK:$AK,MATCH($A116,March!$A:$A,0)),0)+IFERROR(INDEX(April!$AJ:$AJ,MATCH($A116,April!$A:$A,0)),0)+IFERROR(INDEX(May!$AK:$AK,MATCH($A116,May!$A:$A,0)),0)+IFERROR(INDEX(June!$AJ:$AJ,MATCH($A116,June!$A:$A,0)),0)+IFERROR(INDEX(July!$AK:$AK,MATCH($A116,July!$A:$A,0)),0)+IFERROR(INDEX(August!$AK:$AK,MATCH($A116,August!$A:$A,0)),0)+IFERROR(INDEX(September!$AJ:$AJ,MATCH($A116,September!$A:$A,0)),0)+IFERROR(INDEX(October!$AK:$AK,MATCH($A116,October!$A:$A,0)),0)+IFERROR(INDEX(November!$AJ:$AJ,MATCH($A116,November!$A:$A,0)),0)+IFERROR(INDEX(December!$AK:$AK,MATCH($A116,December!$A:$A,0)),0)</f>
        <v>32</v>
      </c>
      <c r="S116" s="35">
        <f>IF((P116+Q116)=0,"",P116/(P116+Q116))</f>
        <v>0.64367816091954022</v>
      </c>
      <c r="T116" s="38"/>
      <c r="U116" s="51">
        <f>IFERROR(INDEX(January!$AQ:$AQ,MATCH($A116,January!$A:$A,0)),0)+IFERROR(INDEX(February!$AN:$AN,MATCH($A116,February!$A:$A,0)),0)+IFERROR(INDEX(March!$AQ:$AQ,MATCH($A116,March!$A:$A,0)),0)+IFERROR(INDEX(April!$AP:$AP,MATCH($A116,April!$A:$A,0)),0)+IFERROR(INDEX(May!$AQ:$AQ,MATCH($A116,May!$A:$A,0)),0)+IFERROR(INDEX(June!$AP:$AP,MATCH($A116,June!$A:$A,0)),0)+IFERROR(INDEX(July!$AQ:$AQ,MATCH($A116,July!$A:$A,0)),0)+IFERROR(INDEX(August!$AQ:$AQ,MATCH($A116,August!$A:$A,0)),0)+IFERROR(INDEX(September!$AP:$AP,MATCH($A116,September!$A:$A,0)),0)+IFERROR(INDEX(October!$AQ:$AQ,MATCH($A116,October!$A:$A,0)),0)+IFERROR(INDEX(November!$AP:$AP,MATCH($A116,November!$A:$A,0)),0)+IFERROR(INDEX(December!$AQ:$AQ,MATCH($A116,December!$A:$A,0)),0)</f>
        <v>215.5</v>
      </c>
      <c r="V116" s="52">
        <f>IFERROR(INDEX(January!$AJ:$AJ,MATCH($A116,January!$A:$A,0)),0)+IFERROR(INDEX(February!$AG:$AG,MATCH($A116,February!$A:$A,0)),0)+IFERROR(INDEX(March!$AJ:$AJ,MATCH($A116,March!$A:$A,0)),0)+IFERROR(INDEX(April!$AI:$AI,MATCH($A116,April!$A:$A,0)),0)+IFERROR(INDEX(May!$AJ:$AJ,MATCH($A116,May!$A:$A,0)),0)+IFERROR(INDEX(June!$AI:$AI,MATCH($A116,June!$A:$A,0)),0)+IFERROR(INDEX(July!$AJ:$AJ,MATCH($A116,July!$A:$A,0)),0)+IFERROR(INDEX(August!$AJ:$AJ,MATCH($A116,August!$A:$A,0)),0)+IFERROR(INDEX(September!$AI:$AI,MATCH($A116,September!$A:$A,0)),0)+IFERROR(INDEX(October!$AJ:$AJ,MATCH($A116,October!$A:$A,0)),0)+IFERROR(INDEX(November!$AI:$AI,MATCH($A116,November!$A:$A,0)),0)+IFERROR(INDEX(December!$AJ:$AJ,MATCH($A116,December!$A:$A,0)),0)</f>
        <v>93</v>
      </c>
      <c r="W116" s="53">
        <f>IFERROR(INDEX(January!$AO:$AO,MATCH($A116,January!$A:$A,0)),0)+IFERROR(INDEX(February!$AL:$AL,MATCH($A116,February!$A:$A,0)),0)+IFERROR(INDEX(March!$AO:$AO,MATCH($A116,March!$A:$A,0)),0)+IFERROR(INDEX(April!$AN:$AN,MATCH($A116,April!$A:$A,0)),0)+IFERROR(INDEX(May!$AO:$AO,MATCH($A116,May!$A:$A,0)),0)+IFERROR(INDEX(June!$AN:$AN,MATCH($A116,June!$A:$A,0)),0)+IFERROR(INDEX(July!$AO:$AO,MATCH($A116,July!$A:$A,0)),0)+IFERROR(INDEX(August!$AO:$AO,MATCH($A116,August!$A:$A,0)),0)+IFERROR(INDEX(September!$AN:$AN,MATCH($A116,September!$A:$A,0)),0)+IFERROR(INDEX(October!$AO:$AO,MATCH($A116,October!$A:$A,0)),0)+IFERROR(INDEX(November!$AN:$AN,MATCH($A116,November!$A:$A,0)),0)+IFERROR(INDEX(December!$AO:$AO,MATCH($A116,December!$A:$A,0)),0)</f>
        <v>2</v>
      </c>
      <c r="X116" s="53">
        <f>W116/2</f>
        <v>1</v>
      </c>
      <c r="Y116" s="53">
        <f>(IFERROR(INDEX(January!$AL:$AL,MATCH($A116,January!$A:$A,0)),0)+IFERROR(INDEX(February!$AI:$AI,MATCH($A116,February!$A:$A,0)),0)+IFERROR(INDEX(March!$AL:$AL,MATCH($A116,March!$A:$A,0)),0)+IFERROR(INDEX(April!$AK:$AK,MATCH($A116,April!$A:$A,0)),0)+IFERROR(INDEX(May!$AL:$AL,MATCH($A116,May!$A:$A,0)),0)+IFERROR(INDEX(June!$AK:$AK,MATCH($A116,June!$A:$A,0)),0)+IFERROR(INDEX(July!$AL:$AL,MATCH($A116,July!$A:$A,0)),0)+IFERROR(INDEX(August!$AL:$AL,MATCH($A116,August!$A:$A,0)),0)+IFERROR(INDEX(September!$AK:$AK,MATCH($A116,September!$A:$A,0)),0)+IFERROR(INDEX(October!$AL:$AL,MATCH($A116,October!$A:$A,0)),0)+IFERROR(INDEX(November!$AK:$AK,MATCH($A116,November!$A:$A,0)),0)+IFERROR(INDEX(December!$AL:$AL,MATCH($A116,December!$A:$A,0)),0))*0.5</f>
        <v>16.5</v>
      </c>
      <c r="Z116" s="54">
        <f>IFERROR(INDEX(January!$AK:$AK,MATCH($A116,January!$A:$A,0)),0)+IFERROR(INDEX(February!$AH:$AH,MATCH($A116,February!$A:$A,0)),0)+IFERROR(INDEX(March!$AK:$AK,MATCH($A116,March!$A:$A,0)),0)+IFERROR(INDEX(April!$AJ:$AJ,MATCH($A116,April!$A:$A,0)),0)+IFERROR(INDEX(May!$AK:$AK,MATCH($A116,May!$A:$A,0)),0)+IFERROR(INDEX(June!$AJ:$AJ,MATCH($A116,June!$A:$A,0)),0)+IFERROR(INDEX(July!$AK:$AK,MATCH($A116,July!$A:$A,0)),0)+IFERROR(INDEX(August!$AK:$AK,MATCH($A116,August!$A:$A,0)),0)+IFERROR(INDEX(September!$AJ:$AJ,MATCH($A116,September!$A:$A,0)),0)+IFERROR(INDEX(October!$AK:$AK,MATCH($A116,October!$A:$A,0)),0)+IFERROR(INDEX(November!$AJ:$AJ,MATCH($A116,November!$A:$A,0)),0)+IFERROR(INDEX(December!$AK:$AK,MATCH($A116,December!$A:$A,0)),0)</f>
        <v>32</v>
      </c>
      <c r="AA116" s="51">
        <f>Y116+Z116</f>
        <v>48.5</v>
      </c>
      <c r="AB116" s="55"/>
      <c r="AC116" s="56">
        <f>AA116+IF(AB116="",0,AB116)</f>
        <v>48.5</v>
      </c>
      <c r="AD116" s="57"/>
      <c r="AE116" s="58">
        <f>AC116-IF(AD116="",0,AD116)</f>
        <v>48.5</v>
      </c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</row>
    <row r="117" spans="1:49" ht="22" customHeight="1" x14ac:dyDescent="0.35">
      <c r="A117" s="8" t="s">
        <v>249</v>
      </c>
      <c r="B117" s="8" t="s">
        <v>250</v>
      </c>
      <c r="C117" s="8" t="s">
        <v>246</v>
      </c>
      <c r="D117" s="10">
        <v>24</v>
      </c>
      <c r="E117" s="10">
        <v>27</v>
      </c>
      <c r="F117" s="10">
        <v>20</v>
      </c>
      <c r="G117" s="11">
        <v>12</v>
      </c>
      <c r="H117" s="10">
        <v>30</v>
      </c>
      <c r="I117" s="11">
        <v>2</v>
      </c>
      <c r="J117" s="11">
        <v>16</v>
      </c>
      <c r="K117" s="10">
        <v>24</v>
      </c>
      <c r="L117" s="10">
        <v>23</v>
      </c>
      <c r="M117" s="10">
        <v>23</v>
      </c>
      <c r="N117" s="10">
        <v>29</v>
      </c>
      <c r="O117" s="10">
        <v>21</v>
      </c>
      <c r="P117" s="8">
        <f>IFERROR(INDEX(January!$AI:$AI,MATCH($A117,January!$A:$A,0)),0)+IFERROR(INDEX(February!$AF:$AF,MATCH($A117,February!$A:$A,0)),0)+IFERROR(INDEX(March!$AI:$AI,MATCH($A117,March!$A:$A,0)),0)+IFERROR(INDEX(April!$AH:$AH,MATCH($A117,April!$A:$A,0)),0)+IFERROR(INDEX(May!$AI:$AI,MATCH($A117,May!$A:$A,0)),0)+IFERROR(INDEX(June!$AH:$AH,MATCH($A117,June!$A:$A,0)),0)+IFERROR(INDEX(July!$AI:$AI,MATCH($A117,July!$A:$A,0)),0)+IFERROR(INDEX(August!$AI:$AI,MATCH($A117,August!$A:$A,0)),0)+IFERROR(INDEX(September!$AH:$AH,MATCH($A117,September!$A:$A,0)),0)+IFERROR(INDEX(October!$AI:$AI,MATCH($A117,October!$A:$A,0)),0)+IFERROR(INDEX(November!$AH:$AH,MATCH($A117,November!$A:$A,0)),0)+IFERROR(INDEX(December!$AI:$AI,MATCH($A117,December!$A:$A,0)),0)</f>
        <v>178</v>
      </c>
      <c r="Q117" s="8">
        <f>IFERROR(INDEX(January!$AJ:$AJ,MATCH($A117,January!$A:$A,0)),0)+IFERROR(INDEX(February!$AG:$AG,MATCH($A117,February!$A:$A,0)),0)+IFERROR(INDEX(March!$AJ:$AJ,MATCH($A117,March!$A:$A,0)),0)+IFERROR(INDEX(April!$AI:$AI,MATCH($A117,April!$A:$A,0)),0)+IFERROR(INDEX(May!$AJ:$AJ,MATCH($A117,May!$A:$A,0)),0)+IFERROR(INDEX(June!$AI:$AI,MATCH($A117,June!$A:$A,0)),0)+IFERROR(INDEX(July!$AJ:$AJ,MATCH($A117,July!$A:$A,0)),0)+IFERROR(INDEX(August!$AJ:$AJ,MATCH($A117,August!$A:$A,0)),0)+IFERROR(INDEX(September!$AI:$AI,MATCH($A117,September!$A:$A,0)),0)+IFERROR(INDEX(October!$AJ:$AJ,MATCH($A117,October!$A:$A,0)),0)+IFERROR(INDEX(November!$AI:$AI,MATCH($A117,November!$A:$A,0)),0)+IFERROR(INDEX(December!$AJ:$AJ,MATCH($A117,December!$A:$A,0)),0)</f>
        <v>83</v>
      </c>
      <c r="R117" s="8">
        <f>IFERROR(INDEX(January!$AK:$AK,MATCH($A117,January!$A:$A,0)),0)+IFERROR(INDEX(February!$AH:$AH,MATCH($A117,February!$A:$A,0)),0)+IFERROR(INDEX(March!$AK:$AK,MATCH($A117,March!$A:$A,0)),0)+IFERROR(INDEX(April!$AJ:$AJ,MATCH($A117,April!$A:$A,0)),0)+IFERROR(INDEX(May!$AK:$AK,MATCH($A117,May!$A:$A,0)),0)+IFERROR(INDEX(June!$AJ:$AJ,MATCH($A117,June!$A:$A,0)),0)+IFERROR(INDEX(July!$AK:$AK,MATCH($A117,July!$A:$A,0)),0)+IFERROR(INDEX(August!$AK:$AK,MATCH($A117,August!$A:$A,0)),0)+IFERROR(INDEX(September!$AJ:$AJ,MATCH($A117,September!$A:$A,0)),0)+IFERROR(INDEX(October!$AK:$AK,MATCH($A117,October!$A:$A,0)),0)+IFERROR(INDEX(November!$AJ:$AJ,MATCH($A117,November!$A:$A,0)),0)+IFERROR(INDEX(December!$AK:$AK,MATCH($A117,December!$A:$A,0)),0)</f>
        <v>36</v>
      </c>
      <c r="S117" s="35">
        <f>IF((P117+Q117)=0,"",P117/(P117+Q117))</f>
        <v>0.68199233716475094</v>
      </c>
      <c r="T117" s="38"/>
      <c r="U117" s="51">
        <f>IFERROR(INDEX(January!$AQ:$AQ,MATCH($A117,January!$A:$A,0)),0)+IFERROR(INDEX(February!$AN:$AN,MATCH($A117,February!$A:$A,0)),0)+IFERROR(INDEX(March!$AQ:$AQ,MATCH($A117,March!$A:$A,0)),0)+IFERROR(INDEX(April!$AP:$AP,MATCH($A117,April!$A:$A,0)),0)+IFERROR(INDEX(May!$AQ:$AQ,MATCH($A117,May!$A:$A,0)),0)+IFERROR(INDEX(June!$AP:$AP,MATCH($A117,June!$A:$A,0)),0)+IFERROR(INDEX(July!$AQ:$AQ,MATCH($A117,July!$A:$A,0)),0)+IFERROR(INDEX(August!$AQ:$AQ,MATCH($A117,August!$A:$A,0)),0)+IFERROR(INDEX(September!$AP:$AP,MATCH($A117,September!$A:$A,0)),0)+IFERROR(INDEX(October!$AQ:$AQ,MATCH($A117,October!$A:$A,0)),0)+IFERROR(INDEX(November!$AP:$AP,MATCH($A117,November!$A:$A,0)),0)+IFERROR(INDEX(December!$AQ:$AQ,MATCH($A117,December!$A:$A,0)),0)</f>
        <v>231</v>
      </c>
      <c r="V117" s="52">
        <f>IFERROR(INDEX(January!$AJ:$AJ,MATCH($A117,January!$A:$A,0)),0)+IFERROR(INDEX(February!$AG:$AG,MATCH($A117,February!$A:$A,0)),0)+IFERROR(INDEX(March!$AJ:$AJ,MATCH($A117,March!$A:$A,0)),0)+IFERROR(INDEX(April!$AI:$AI,MATCH($A117,April!$A:$A,0)),0)+IFERROR(INDEX(May!$AJ:$AJ,MATCH($A117,May!$A:$A,0)),0)+IFERROR(INDEX(June!$AI:$AI,MATCH($A117,June!$A:$A,0)),0)+IFERROR(INDEX(July!$AJ:$AJ,MATCH($A117,July!$A:$A,0)),0)+IFERROR(INDEX(August!$AJ:$AJ,MATCH($A117,August!$A:$A,0)),0)+IFERROR(INDEX(September!$AI:$AI,MATCH($A117,September!$A:$A,0)),0)+IFERROR(INDEX(October!$AJ:$AJ,MATCH($A117,October!$A:$A,0)),0)+IFERROR(INDEX(November!$AI:$AI,MATCH($A117,November!$A:$A,0)),0)+IFERROR(INDEX(December!$AJ:$AJ,MATCH($A117,December!$A:$A,0)),0)</f>
        <v>83</v>
      </c>
      <c r="W117" s="53">
        <f>IFERROR(INDEX(January!$AO:$AO,MATCH($A117,January!$A:$A,0)),0)+IFERROR(INDEX(February!$AL:$AL,MATCH($A117,February!$A:$A,0)),0)+IFERROR(INDEX(March!$AO:$AO,MATCH($A117,March!$A:$A,0)),0)+IFERROR(INDEX(April!$AN:$AN,MATCH($A117,April!$A:$A,0)),0)+IFERROR(INDEX(May!$AO:$AO,MATCH($A117,May!$A:$A,0)),0)+IFERROR(INDEX(June!$AN:$AN,MATCH($A117,June!$A:$A,0)),0)+IFERROR(INDEX(July!$AO:$AO,MATCH($A117,July!$A:$A,0)),0)+IFERROR(INDEX(August!$AO:$AO,MATCH($A117,August!$A:$A,0)),0)+IFERROR(INDEX(September!$AN:$AN,MATCH($A117,September!$A:$A,0)),0)+IFERROR(INDEX(October!$AO:$AO,MATCH($A117,October!$A:$A,0)),0)+IFERROR(INDEX(November!$AN:$AN,MATCH($A117,November!$A:$A,0)),0)+IFERROR(INDEX(December!$AO:$AO,MATCH($A117,December!$A:$A,0)),0)</f>
        <v>3</v>
      </c>
      <c r="X117" s="53">
        <f>W117/2</f>
        <v>1.5</v>
      </c>
      <c r="Y117" s="53">
        <f>(IFERROR(INDEX(January!$AL:$AL,MATCH($A117,January!$A:$A,0)),0)+IFERROR(INDEX(February!$AI:$AI,MATCH($A117,February!$A:$A,0)),0)+IFERROR(INDEX(March!$AL:$AL,MATCH($A117,March!$A:$A,0)),0)+IFERROR(INDEX(April!$AK:$AK,MATCH($A117,April!$A:$A,0)),0)+IFERROR(INDEX(May!$AL:$AL,MATCH($A117,May!$A:$A,0)),0)+IFERROR(INDEX(June!$AK:$AK,MATCH($A117,June!$A:$A,0)),0)+IFERROR(INDEX(July!$AL:$AL,MATCH($A117,July!$A:$A,0)),0)+IFERROR(INDEX(August!$AL:$AL,MATCH($A117,August!$A:$A,0)),0)+IFERROR(INDEX(September!$AK:$AK,MATCH($A117,September!$A:$A,0)),0)+IFERROR(INDEX(October!$AL:$AL,MATCH($A117,October!$A:$A,0)),0)+IFERROR(INDEX(November!$AK:$AK,MATCH($A117,November!$A:$A,0)),0)+IFERROR(INDEX(December!$AL:$AL,MATCH($A117,December!$A:$A,0)),0))*0.5</f>
        <v>18.5</v>
      </c>
      <c r="Z117" s="54">
        <f>IFERROR(INDEX(January!$AK:$AK,MATCH($A117,January!$A:$A,0)),0)+IFERROR(INDEX(February!$AH:$AH,MATCH($A117,February!$A:$A,0)),0)+IFERROR(INDEX(March!$AK:$AK,MATCH($A117,March!$A:$A,0)),0)+IFERROR(INDEX(April!$AJ:$AJ,MATCH($A117,April!$A:$A,0)),0)+IFERROR(INDEX(May!$AK:$AK,MATCH($A117,May!$A:$A,0)),0)+IFERROR(INDEX(June!$AJ:$AJ,MATCH($A117,June!$A:$A,0)),0)+IFERROR(INDEX(July!$AK:$AK,MATCH($A117,July!$A:$A,0)),0)+IFERROR(INDEX(August!$AK:$AK,MATCH($A117,August!$A:$A,0)),0)+IFERROR(INDEX(September!$AJ:$AJ,MATCH($A117,September!$A:$A,0)),0)+IFERROR(INDEX(October!$AK:$AK,MATCH($A117,October!$A:$A,0)),0)+IFERROR(INDEX(November!$AJ:$AJ,MATCH($A117,November!$A:$A,0)),0)+IFERROR(INDEX(December!$AK:$AK,MATCH($A117,December!$A:$A,0)),0)</f>
        <v>36</v>
      </c>
      <c r="AA117" s="51">
        <f>Y117+Z117</f>
        <v>54.5</v>
      </c>
      <c r="AB117" s="55"/>
      <c r="AC117" s="56">
        <f>AA117+IF(AB117="",0,AB117)</f>
        <v>54.5</v>
      </c>
      <c r="AD117" s="57"/>
      <c r="AE117" s="58">
        <f>AC117-IF(AD117="",0,AD117)</f>
        <v>54.5</v>
      </c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</row>
    <row r="119" spans="1:49" ht="25" customHeight="1" x14ac:dyDescent="0.35">
      <c r="A119" s="64" t="s">
        <v>251</v>
      </c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</row>
    <row r="120" spans="1:49" ht="22" customHeight="1" x14ac:dyDescent="0.35">
      <c r="A120" s="8" t="s">
        <v>252</v>
      </c>
      <c r="B120" s="8" t="s">
        <v>253</v>
      </c>
      <c r="C120" s="8" t="s">
        <v>254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10">
        <v>27</v>
      </c>
      <c r="M120" s="10">
        <v>31</v>
      </c>
      <c r="N120" s="10">
        <v>29</v>
      </c>
      <c r="O120" s="11">
        <v>7</v>
      </c>
      <c r="P120" s="8">
        <f>IFERROR(INDEX(January!$AI:$AI,MATCH($A120,January!$A:$A,0)),0)+IFERROR(INDEX(February!$AF:$AF,MATCH($A120,February!$A:$A,0)),0)+IFERROR(INDEX(March!$AI:$AI,MATCH($A120,March!$A:$A,0)),0)+IFERROR(INDEX(April!$AH:$AH,MATCH($A120,April!$A:$A,0)),0)+IFERROR(INDEX(May!$AI:$AI,MATCH($A120,May!$A:$A,0)),0)+IFERROR(INDEX(June!$AH:$AH,MATCH($A120,June!$A:$A,0)),0)+IFERROR(INDEX(July!$AI:$AI,MATCH($A120,July!$A:$A,0)),0)+IFERROR(INDEX(August!$AI:$AI,MATCH($A120,August!$A:$A,0)),0)+IFERROR(INDEX(September!$AH:$AH,MATCH($A120,September!$A:$A,0)),0)+IFERROR(INDEX(October!$AI:$AI,MATCH($A120,October!$A:$A,0)),0)+IFERROR(INDEX(November!$AH:$AH,MATCH($A120,November!$A:$A,0)),0)+IFERROR(INDEX(December!$AI:$AI,MATCH($A120,December!$A:$A,0)),0)</f>
        <v>67</v>
      </c>
      <c r="Q120" s="8">
        <f>IFERROR(INDEX(January!$AJ:$AJ,MATCH($A120,January!$A:$A,0)),0)+IFERROR(INDEX(February!$AG:$AG,MATCH($A120,February!$A:$A,0)),0)+IFERROR(INDEX(March!$AJ:$AJ,MATCH($A120,March!$A:$A,0)),0)+IFERROR(INDEX(April!$AI:$AI,MATCH($A120,April!$A:$A,0)),0)+IFERROR(INDEX(May!$AJ:$AJ,MATCH($A120,May!$A:$A,0)),0)+IFERROR(INDEX(June!$AI:$AI,MATCH($A120,June!$A:$A,0)),0)+IFERROR(INDEX(July!$AJ:$AJ,MATCH($A120,July!$A:$A,0)),0)+IFERROR(INDEX(August!$AJ:$AJ,MATCH($A120,August!$A:$A,0)),0)+IFERROR(INDEX(September!$AI:$AI,MATCH($A120,September!$A:$A,0)),0)+IFERROR(INDEX(October!$AJ:$AJ,MATCH($A120,October!$A:$A,0)),0)+IFERROR(INDEX(November!$AI:$AI,MATCH($A120,November!$A:$A,0)),0)+IFERROR(INDEX(December!$AJ:$AJ,MATCH($A120,December!$A:$A,0)),0)</f>
        <v>194</v>
      </c>
      <c r="R120" s="8">
        <f>IFERROR(INDEX(January!$AK:$AK,MATCH($A120,January!$A:$A,0)),0)+IFERROR(INDEX(February!$AH:$AH,MATCH($A120,February!$A:$A,0)),0)+IFERROR(INDEX(March!$AK:$AK,MATCH($A120,March!$A:$A,0)),0)+IFERROR(INDEX(April!$AJ:$AJ,MATCH($A120,April!$A:$A,0)),0)+IFERROR(INDEX(May!$AK:$AK,MATCH($A120,May!$A:$A,0)),0)+IFERROR(INDEX(June!$AJ:$AJ,MATCH($A120,June!$A:$A,0)),0)+IFERROR(INDEX(July!$AK:$AK,MATCH($A120,July!$A:$A,0)),0)+IFERROR(INDEX(August!$AK:$AK,MATCH($A120,August!$A:$A,0)),0)+IFERROR(INDEX(September!$AJ:$AJ,MATCH($A120,September!$A:$A,0)),0)+IFERROR(INDEX(October!$AK:$AK,MATCH($A120,October!$A:$A,0)),0)+IFERROR(INDEX(November!$AJ:$AJ,MATCH($A120,November!$A:$A,0)),0)+IFERROR(INDEX(December!$AK:$AK,MATCH($A120,December!$A:$A,0)),0)</f>
        <v>13</v>
      </c>
      <c r="S120" s="37">
        <f t="shared" ref="S120:S130" si="25">IF((P120+Q120)=0,"",P120/(P120+Q120))</f>
        <v>0.25670498084291188</v>
      </c>
      <c r="T120" s="38"/>
      <c r="U120" s="51">
        <f>IFERROR(INDEX(January!$AQ:$AQ,MATCH($A120,January!$A:$A,0)),0)+IFERROR(INDEX(February!$AN:$AN,MATCH($A120,February!$A:$A,0)),0)+IFERROR(INDEX(March!$AQ:$AQ,MATCH($A120,March!$A:$A,0)),0)+IFERROR(INDEX(April!$AP:$AP,MATCH($A120,April!$A:$A,0)),0)+IFERROR(INDEX(May!$AQ:$AQ,MATCH($A120,May!$A:$A,0)),0)+IFERROR(INDEX(June!$AP:$AP,MATCH($A120,June!$A:$A,0)),0)+IFERROR(INDEX(July!$AQ:$AQ,MATCH($A120,July!$A:$A,0)),0)+IFERROR(INDEX(August!$AQ:$AQ,MATCH($A120,August!$A:$A,0)),0)+IFERROR(INDEX(September!$AP:$AP,MATCH($A120,September!$A:$A,0)),0)+IFERROR(INDEX(October!$AQ:$AQ,MATCH($A120,October!$A:$A,0)),0)+IFERROR(INDEX(November!$AP:$AP,MATCH($A120,November!$A:$A,0)),0)+IFERROR(INDEX(December!$AQ:$AQ,MATCH($A120,December!$A:$A,0)),0)</f>
        <v>86.5</v>
      </c>
      <c r="V120" s="52">
        <f>IFERROR(INDEX(January!$AJ:$AJ,MATCH($A120,January!$A:$A,0)),0)+IFERROR(INDEX(February!$AG:$AG,MATCH($A120,February!$A:$A,0)),0)+IFERROR(INDEX(March!$AJ:$AJ,MATCH($A120,March!$A:$A,0)),0)+IFERROR(INDEX(April!$AI:$AI,MATCH($A120,April!$A:$A,0)),0)+IFERROR(INDEX(May!$AJ:$AJ,MATCH($A120,May!$A:$A,0)),0)+IFERROR(INDEX(June!$AI:$AI,MATCH($A120,June!$A:$A,0)),0)+IFERROR(INDEX(July!$AJ:$AJ,MATCH($A120,July!$A:$A,0)),0)+IFERROR(INDEX(August!$AJ:$AJ,MATCH($A120,August!$A:$A,0)),0)+IFERROR(INDEX(September!$AI:$AI,MATCH($A120,September!$A:$A,0)),0)+IFERROR(INDEX(October!$AJ:$AJ,MATCH($A120,October!$A:$A,0)),0)+IFERROR(INDEX(November!$AI:$AI,MATCH($A120,November!$A:$A,0)),0)+IFERROR(INDEX(December!$AJ:$AJ,MATCH($A120,December!$A:$A,0)),0)</f>
        <v>194</v>
      </c>
      <c r="W120" s="53">
        <f>IFERROR(INDEX(January!$AO:$AO,MATCH($A120,January!$A:$A,0)),0)+IFERROR(INDEX(February!$AL:$AL,MATCH($A120,February!$A:$A,0)),0)+IFERROR(INDEX(March!$AO:$AO,MATCH($A120,March!$A:$A,0)),0)+IFERROR(INDEX(April!$AN:$AN,MATCH($A120,April!$A:$A,0)),0)+IFERROR(INDEX(May!$AO:$AO,MATCH($A120,May!$A:$A,0)),0)+IFERROR(INDEX(June!$AN:$AN,MATCH($A120,June!$A:$A,0)),0)+IFERROR(INDEX(July!$AO:$AO,MATCH($A120,July!$A:$A,0)),0)+IFERROR(INDEX(August!$AO:$AO,MATCH($A120,August!$A:$A,0)),0)+IFERROR(INDEX(September!$AN:$AN,MATCH($A120,September!$A:$A,0)),0)+IFERROR(INDEX(October!$AO:$AO,MATCH($A120,October!$A:$A,0)),0)+IFERROR(INDEX(November!$AN:$AN,MATCH($A120,November!$A:$A,0)),0)+IFERROR(INDEX(December!$AO:$AO,MATCH($A120,December!$A:$A,0)),0)</f>
        <v>1</v>
      </c>
      <c r="X120" s="53">
        <f t="shared" ref="X120:X130" si="26">W120/2</f>
        <v>0.5</v>
      </c>
      <c r="Y120" s="53">
        <f>(IFERROR(INDEX(January!$AL:$AL,MATCH($A120,January!$A:$A,0)),0)+IFERROR(INDEX(February!$AI:$AI,MATCH($A120,February!$A:$A,0)),0)+IFERROR(INDEX(March!$AL:$AL,MATCH($A120,March!$A:$A,0)),0)+IFERROR(INDEX(April!$AK:$AK,MATCH($A120,April!$A:$A,0)),0)+IFERROR(INDEX(May!$AL:$AL,MATCH($A120,May!$A:$A,0)),0)+IFERROR(INDEX(June!$AK:$AK,MATCH($A120,June!$A:$A,0)),0)+IFERROR(INDEX(July!$AL:$AL,MATCH($A120,July!$A:$A,0)),0)+IFERROR(INDEX(August!$AL:$AL,MATCH($A120,August!$A:$A,0)),0)+IFERROR(INDEX(September!$AK:$AK,MATCH($A120,September!$A:$A,0)),0)+IFERROR(INDEX(October!$AL:$AL,MATCH($A120,October!$A:$A,0)),0)+IFERROR(INDEX(November!$AK:$AK,MATCH($A120,November!$A:$A,0)),0)+IFERROR(INDEX(December!$AL:$AL,MATCH($A120,December!$A:$A,0)),0))*0.5</f>
        <v>7</v>
      </c>
      <c r="Z120" s="54">
        <f>IFERROR(INDEX(January!$AK:$AK,MATCH($A120,January!$A:$A,0)),0)+IFERROR(INDEX(February!$AH:$AH,MATCH($A120,February!$A:$A,0)),0)+IFERROR(INDEX(March!$AK:$AK,MATCH($A120,March!$A:$A,0)),0)+IFERROR(INDEX(April!$AJ:$AJ,MATCH($A120,April!$A:$A,0)),0)+IFERROR(INDEX(May!$AK:$AK,MATCH($A120,May!$A:$A,0)),0)+IFERROR(INDEX(June!$AJ:$AJ,MATCH($A120,June!$A:$A,0)),0)+IFERROR(INDEX(July!$AK:$AK,MATCH($A120,July!$A:$A,0)),0)+IFERROR(INDEX(August!$AK:$AK,MATCH($A120,August!$A:$A,0)),0)+IFERROR(INDEX(September!$AJ:$AJ,MATCH($A120,September!$A:$A,0)),0)+IFERROR(INDEX(October!$AK:$AK,MATCH($A120,October!$A:$A,0)),0)+IFERROR(INDEX(November!$AJ:$AJ,MATCH($A120,November!$A:$A,0)),0)+IFERROR(INDEX(December!$AK:$AK,MATCH($A120,December!$A:$A,0)),0)</f>
        <v>13</v>
      </c>
      <c r="AA120" s="51">
        <f t="shared" ref="AA120:AA130" si="27">Y120+Z120</f>
        <v>20</v>
      </c>
      <c r="AB120" s="55"/>
      <c r="AC120" s="56">
        <f t="shared" ref="AC120:AC130" si="28">AA120+IF(AB120="",0,AB120)</f>
        <v>20</v>
      </c>
      <c r="AD120" s="57"/>
      <c r="AE120" s="58">
        <f t="shared" ref="AE120:AE130" si="29">AC120-IF(AD120="",0,AD120)</f>
        <v>20</v>
      </c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</row>
    <row r="121" spans="1:49" ht="22" customHeight="1" x14ac:dyDescent="0.35">
      <c r="A121" s="8" t="s">
        <v>255</v>
      </c>
      <c r="B121" s="8" t="s">
        <v>256</v>
      </c>
      <c r="C121" s="8" t="s">
        <v>254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24</v>
      </c>
      <c r="M121" s="11">
        <v>18</v>
      </c>
      <c r="N121" s="11">
        <v>11</v>
      </c>
      <c r="O121" s="11">
        <v>14</v>
      </c>
      <c r="P121" s="8">
        <f>IFERROR(INDEX(January!$AI:$AI,MATCH($A121,January!$A:$A,0)),0)+IFERROR(INDEX(February!$AF:$AF,MATCH($A121,February!$A:$A,0)),0)+IFERROR(INDEX(March!$AI:$AI,MATCH($A121,March!$A:$A,0)),0)+IFERROR(INDEX(April!$AH:$AH,MATCH($A121,April!$A:$A,0)),0)+IFERROR(INDEX(May!$AI:$AI,MATCH($A121,May!$A:$A,0)),0)+IFERROR(INDEX(June!$AH:$AH,MATCH($A121,June!$A:$A,0)),0)+IFERROR(INDEX(July!$AI:$AI,MATCH($A121,July!$A:$A,0)),0)+IFERROR(INDEX(August!$AI:$AI,MATCH($A121,August!$A:$A,0)),0)+IFERROR(INDEX(September!$AH:$AH,MATCH($A121,September!$A:$A,0)),0)+IFERROR(INDEX(October!$AI:$AI,MATCH($A121,October!$A:$A,0)),0)+IFERROR(INDEX(November!$AH:$AH,MATCH($A121,November!$A:$A,0)),0)+IFERROR(INDEX(December!$AI:$AI,MATCH($A121,December!$A:$A,0)),0)</f>
        <v>49</v>
      </c>
      <c r="Q121" s="8">
        <f>IFERROR(INDEX(January!$AJ:$AJ,MATCH($A121,January!$A:$A,0)),0)+IFERROR(INDEX(February!$AG:$AG,MATCH($A121,February!$A:$A,0)),0)+IFERROR(INDEX(March!$AJ:$AJ,MATCH($A121,March!$A:$A,0)),0)+IFERROR(INDEX(April!$AI:$AI,MATCH($A121,April!$A:$A,0)),0)+IFERROR(INDEX(May!$AJ:$AJ,MATCH($A121,May!$A:$A,0)),0)+IFERROR(INDEX(June!$AI:$AI,MATCH($A121,June!$A:$A,0)),0)+IFERROR(INDEX(July!$AJ:$AJ,MATCH($A121,July!$A:$A,0)),0)+IFERROR(INDEX(August!$AJ:$AJ,MATCH($A121,August!$A:$A,0)),0)+IFERROR(INDEX(September!$AI:$AI,MATCH($A121,September!$A:$A,0)),0)+IFERROR(INDEX(October!$AJ:$AJ,MATCH($A121,October!$A:$A,0)),0)+IFERROR(INDEX(November!$AI:$AI,MATCH($A121,November!$A:$A,0)),0)+IFERROR(INDEX(December!$AJ:$AJ,MATCH($A121,December!$A:$A,0)),0)</f>
        <v>212</v>
      </c>
      <c r="R121" s="8">
        <f>IFERROR(INDEX(January!$AK:$AK,MATCH($A121,January!$A:$A,0)),0)+IFERROR(INDEX(February!$AH:$AH,MATCH($A121,February!$A:$A,0)),0)+IFERROR(INDEX(March!$AK:$AK,MATCH($A121,March!$A:$A,0)),0)+IFERROR(INDEX(April!$AJ:$AJ,MATCH($A121,April!$A:$A,0)),0)+IFERROR(INDEX(May!$AK:$AK,MATCH($A121,May!$A:$A,0)),0)+IFERROR(INDEX(June!$AJ:$AJ,MATCH($A121,June!$A:$A,0)),0)+IFERROR(INDEX(July!$AK:$AK,MATCH($A121,July!$A:$A,0)),0)+IFERROR(INDEX(August!$AK:$AK,MATCH($A121,August!$A:$A,0)),0)+IFERROR(INDEX(September!$AJ:$AJ,MATCH($A121,September!$A:$A,0)),0)+IFERROR(INDEX(October!$AK:$AK,MATCH($A121,October!$A:$A,0)),0)+IFERROR(INDEX(November!$AJ:$AJ,MATCH($A121,November!$A:$A,0)),0)+IFERROR(INDEX(December!$AK:$AK,MATCH($A121,December!$A:$A,0)),0)</f>
        <v>8</v>
      </c>
      <c r="S121" s="37">
        <f t="shared" si="25"/>
        <v>0.18773946360153257</v>
      </c>
      <c r="T121" s="38"/>
      <c r="U121" s="51">
        <f>IFERROR(INDEX(January!$AQ:$AQ,MATCH($A121,January!$A:$A,0)),0)+IFERROR(INDEX(February!$AN:$AN,MATCH($A121,February!$A:$A,0)),0)+IFERROR(INDEX(March!$AQ:$AQ,MATCH($A121,March!$A:$A,0)),0)+IFERROR(INDEX(April!$AP:$AP,MATCH($A121,April!$A:$A,0)),0)+IFERROR(INDEX(May!$AQ:$AQ,MATCH($A121,May!$A:$A,0)),0)+IFERROR(INDEX(June!$AP:$AP,MATCH($A121,June!$A:$A,0)),0)+IFERROR(INDEX(July!$AQ:$AQ,MATCH($A121,July!$A:$A,0)),0)+IFERROR(INDEX(August!$AQ:$AQ,MATCH($A121,August!$A:$A,0)),0)+IFERROR(INDEX(September!$AP:$AP,MATCH($A121,September!$A:$A,0)),0)+IFERROR(INDEX(October!$AQ:$AQ,MATCH($A121,October!$A:$A,0)),0)+IFERROR(INDEX(November!$AP:$AP,MATCH($A121,November!$A:$A,0)),0)+IFERROR(INDEX(December!$AQ:$AQ,MATCH($A121,December!$A:$A,0)),0)</f>
        <v>62</v>
      </c>
      <c r="V121" s="52">
        <f>IFERROR(INDEX(January!$AJ:$AJ,MATCH($A121,January!$A:$A,0)),0)+IFERROR(INDEX(February!$AG:$AG,MATCH($A121,February!$A:$A,0)),0)+IFERROR(INDEX(March!$AJ:$AJ,MATCH($A121,March!$A:$A,0)),0)+IFERROR(INDEX(April!$AI:$AI,MATCH($A121,April!$A:$A,0)),0)+IFERROR(INDEX(May!$AJ:$AJ,MATCH($A121,May!$A:$A,0)),0)+IFERROR(INDEX(June!$AI:$AI,MATCH($A121,June!$A:$A,0)),0)+IFERROR(INDEX(July!$AJ:$AJ,MATCH($A121,July!$A:$A,0)),0)+IFERROR(INDEX(August!$AJ:$AJ,MATCH($A121,August!$A:$A,0)),0)+IFERROR(INDEX(September!$AI:$AI,MATCH($A121,September!$A:$A,0)),0)+IFERROR(INDEX(October!$AJ:$AJ,MATCH($A121,October!$A:$A,0)),0)+IFERROR(INDEX(November!$AI:$AI,MATCH($A121,November!$A:$A,0)),0)+IFERROR(INDEX(December!$AJ:$AJ,MATCH($A121,December!$A:$A,0)),0)</f>
        <v>212</v>
      </c>
      <c r="W121" s="53">
        <f>IFERROR(INDEX(January!$AO:$AO,MATCH($A121,January!$A:$A,0)),0)+IFERROR(INDEX(February!$AL:$AL,MATCH($A121,February!$A:$A,0)),0)+IFERROR(INDEX(March!$AO:$AO,MATCH($A121,March!$A:$A,0)),0)+IFERROR(INDEX(April!$AN:$AN,MATCH($A121,April!$A:$A,0)),0)+IFERROR(INDEX(May!$AO:$AO,MATCH($A121,May!$A:$A,0)),0)+IFERROR(INDEX(June!$AN:$AN,MATCH($A121,June!$A:$A,0)),0)+IFERROR(INDEX(July!$AO:$AO,MATCH($A121,July!$A:$A,0)),0)+IFERROR(INDEX(August!$AO:$AO,MATCH($A121,August!$A:$A,0)),0)+IFERROR(INDEX(September!$AN:$AN,MATCH($A121,September!$A:$A,0)),0)+IFERROR(INDEX(October!$AO:$AO,MATCH($A121,October!$A:$A,0)),0)+IFERROR(INDEX(November!$AN:$AN,MATCH($A121,November!$A:$A,0)),0)+IFERROR(INDEX(December!$AO:$AO,MATCH($A121,December!$A:$A,0)),0)</f>
        <v>0</v>
      </c>
      <c r="X121" s="53">
        <f t="shared" si="26"/>
        <v>0</v>
      </c>
      <c r="Y121" s="53">
        <f>(IFERROR(INDEX(January!$AL:$AL,MATCH($A121,January!$A:$A,0)),0)+IFERROR(INDEX(February!$AI:$AI,MATCH($A121,February!$A:$A,0)),0)+IFERROR(INDEX(March!$AL:$AL,MATCH($A121,March!$A:$A,0)),0)+IFERROR(INDEX(April!$AK:$AK,MATCH($A121,April!$A:$A,0)),0)+IFERROR(INDEX(May!$AL:$AL,MATCH($A121,May!$A:$A,0)),0)+IFERROR(INDEX(June!$AK:$AK,MATCH($A121,June!$A:$A,0)),0)+IFERROR(INDEX(July!$AL:$AL,MATCH($A121,July!$A:$A,0)),0)+IFERROR(INDEX(August!$AL:$AL,MATCH($A121,August!$A:$A,0)),0)+IFERROR(INDEX(September!$AK:$AK,MATCH($A121,September!$A:$A,0)),0)+IFERROR(INDEX(October!$AL:$AL,MATCH($A121,October!$A:$A,0)),0)+IFERROR(INDEX(November!$AK:$AK,MATCH($A121,November!$A:$A,0)),0)+IFERROR(INDEX(December!$AL:$AL,MATCH($A121,December!$A:$A,0)),0))*0.5</f>
        <v>5</v>
      </c>
      <c r="Z121" s="54">
        <f>IFERROR(INDEX(January!$AK:$AK,MATCH($A121,January!$A:$A,0)),0)+IFERROR(INDEX(February!$AH:$AH,MATCH($A121,February!$A:$A,0)),0)+IFERROR(INDEX(March!$AK:$AK,MATCH($A121,March!$A:$A,0)),0)+IFERROR(INDEX(April!$AJ:$AJ,MATCH($A121,April!$A:$A,0)),0)+IFERROR(INDEX(May!$AK:$AK,MATCH($A121,May!$A:$A,0)),0)+IFERROR(INDEX(June!$AJ:$AJ,MATCH($A121,June!$A:$A,0)),0)+IFERROR(INDEX(July!$AK:$AK,MATCH($A121,July!$A:$A,0)),0)+IFERROR(INDEX(August!$AK:$AK,MATCH($A121,August!$A:$A,0)),0)+IFERROR(INDEX(September!$AJ:$AJ,MATCH($A121,September!$A:$A,0)),0)+IFERROR(INDEX(October!$AK:$AK,MATCH($A121,October!$A:$A,0)),0)+IFERROR(INDEX(November!$AJ:$AJ,MATCH($A121,November!$A:$A,0)),0)+IFERROR(INDEX(December!$AK:$AK,MATCH($A121,December!$A:$A,0)),0)</f>
        <v>8</v>
      </c>
      <c r="AA121" s="51">
        <f t="shared" si="27"/>
        <v>13</v>
      </c>
      <c r="AB121" s="55"/>
      <c r="AC121" s="56">
        <f t="shared" si="28"/>
        <v>13</v>
      </c>
      <c r="AD121" s="57"/>
      <c r="AE121" s="58">
        <f t="shared" si="29"/>
        <v>13</v>
      </c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</row>
    <row r="122" spans="1:49" ht="22" customHeight="1" x14ac:dyDescent="0.35">
      <c r="A122" s="8" t="s">
        <v>257</v>
      </c>
      <c r="B122" s="8" t="s">
        <v>258</v>
      </c>
      <c r="C122" s="8" t="s">
        <v>254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10">
        <v>27</v>
      </c>
      <c r="M122" s="10">
        <v>31</v>
      </c>
      <c r="N122" s="10">
        <v>30</v>
      </c>
      <c r="O122" s="11">
        <v>7</v>
      </c>
      <c r="P122" s="8">
        <f>IFERROR(INDEX(January!$AI:$AI,MATCH($A122,January!$A:$A,0)),0)+IFERROR(INDEX(February!$AF:$AF,MATCH($A122,February!$A:$A,0)),0)+IFERROR(INDEX(March!$AI:$AI,MATCH($A122,March!$A:$A,0)),0)+IFERROR(INDEX(April!$AH:$AH,MATCH($A122,April!$A:$A,0)),0)+IFERROR(INDEX(May!$AI:$AI,MATCH($A122,May!$A:$A,0)),0)+IFERROR(INDEX(June!$AH:$AH,MATCH($A122,June!$A:$A,0)),0)+IFERROR(INDEX(July!$AI:$AI,MATCH($A122,July!$A:$A,0)),0)+IFERROR(INDEX(August!$AI:$AI,MATCH($A122,August!$A:$A,0)),0)+IFERROR(INDEX(September!$AH:$AH,MATCH($A122,September!$A:$A,0)),0)+IFERROR(INDEX(October!$AI:$AI,MATCH($A122,October!$A:$A,0)),0)+IFERROR(INDEX(November!$AH:$AH,MATCH($A122,November!$A:$A,0)),0)+IFERROR(INDEX(December!$AI:$AI,MATCH($A122,December!$A:$A,0)),0)</f>
        <v>67</v>
      </c>
      <c r="Q122" s="8">
        <f>IFERROR(INDEX(January!$AJ:$AJ,MATCH($A122,January!$A:$A,0)),0)+IFERROR(INDEX(February!$AG:$AG,MATCH($A122,February!$A:$A,0)),0)+IFERROR(INDEX(March!$AJ:$AJ,MATCH($A122,March!$A:$A,0)),0)+IFERROR(INDEX(April!$AI:$AI,MATCH($A122,April!$A:$A,0)),0)+IFERROR(INDEX(May!$AJ:$AJ,MATCH($A122,May!$A:$A,0)),0)+IFERROR(INDEX(June!$AI:$AI,MATCH($A122,June!$A:$A,0)),0)+IFERROR(INDEX(July!$AJ:$AJ,MATCH($A122,July!$A:$A,0)),0)+IFERROR(INDEX(August!$AJ:$AJ,MATCH($A122,August!$A:$A,0)),0)+IFERROR(INDEX(September!$AI:$AI,MATCH($A122,September!$A:$A,0)),0)+IFERROR(INDEX(October!$AJ:$AJ,MATCH($A122,October!$A:$A,0)),0)+IFERROR(INDEX(November!$AI:$AI,MATCH($A122,November!$A:$A,0)),0)+IFERROR(INDEX(December!$AJ:$AJ,MATCH($A122,December!$A:$A,0)),0)</f>
        <v>194</v>
      </c>
      <c r="R122" s="8">
        <f>IFERROR(INDEX(January!$AK:$AK,MATCH($A122,January!$A:$A,0)),0)+IFERROR(INDEX(February!$AH:$AH,MATCH($A122,February!$A:$A,0)),0)+IFERROR(INDEX(March!$AK:$AK,MATCH($A122,March!$A:$A,0)),0)+IFERROR(INDEX(April!$AJ:$AJ,MATCH($A122,April!$A:$A,0)),0)+IFERROR(INDEX(May!$AK:$AK,MATCH($A122,May!$A:$A,0)),0)+IFERROR(INDEX(June!$AJ:$AJ,MATCH($A122,June!$A:$A,0)),0)+IFERROR(INDEX(July!$AK:$AK,MATCH($A122,July!$A:$A,0)),0)+IFERROR(INDEX(August!$AK:$AK,MATCH($A122,August!$A:$A,0)),0)+IFERROR(INDEX(September!$AJ:$AJ,MATCH($A122,September!$A:$A,0)),0)+IFERROR(INDEX(October!$AK:$AK,MATCH($A122,October!$A:$A,0)),0)+IFERROR(INDEX(November!$AJ:$AJ,MATCH($A122,November!$A:$A,0)),0)+IFERROR(INDEX(December!$AK:$AK,MATCH($A122,December!$A:$A,0)),0)</f>
        <v>14</v>
      </c>
      <c r="S122" s="37">
        <f t="shared" si="25"/>
        <v>0.25670498084291188</v>
      </c>
      <c r="T122" s="38"/>
      <c r="U122" s="51">
        <f>IFERROR(INDEX(January!$AQ:$AQ,MATCH($A122,January!$A:$A,0)),0)+IFERROR(INDEX(February!$AN:$AN,MATCH($A122,February!$A:$A,0)),0)+IFERROR(INDEX(March!$AQ:$AQ,MATCH($A122,March!$A:$A,0)),0)+IFERROR(INDEX(April!$AP:$AP,MATCH($A122,April!$A:$A,0)),0)+IFERROR(INDEX(May!$AQ:$AQ,MATCH($A122,May!$A:$A,0)),0)+IFERROR(INDEX(June!$AP:$AP,MATCH($A122,June!$A:$A,0)),0)+IFERROR(INDEX(July!$AQ:$AQ,MATCH($A122,July!$A:$A,0)),0)+IFERROR(INDEX(August!$AQ:$AQ,MATCH($A122,August!$A:$A,0)),0)+IFERROR(INDEX(September!$AP:$AP,MATCH($A122,September!$A:$A,0)),0)+IFERROR(INDEX(October!$AQ:$AQ,MATCH($A122,October!$A:$A,0)),0)+IFERROR(INDEX(November!$AP:$AP,MATCH($A122,November!$A:$A,0)),0)+IFERROR(INDEX(December!$AQ:$AQ,MATCH($A122,December!$A:$A,0)),0)</f>
        <v>87.5</v>
      </c>
      <c r="V122" s="52">
        <f>IFERROR(INDEX(January!$AJ:$AJ,MATCH($A122,January!$A:$A,0)),0)+IFERROR(INDEX(February!$AG:$AG,MATCH($A122,February!$A:$A,0)),0)+IFERROR(INDEX(March!$AJ:$AJ,MATCH($A122,March!$A:$A,0)),0)+IFERROR(INDEX(April!$AI:$AI,MATCH($A122,April!$A:$A,0)),0)+IFERROR(INDEX(May!$AJ:$AJ,MATCH($A122,May!$A:$A,0)),0)+IFERROR(INDEX(June!$AI:$AI,MATCH($A122,June!$A:$A,0)),0)+IFERROR(INDEX(July!$AJ:$AJ,MATCH($A122,July!$A:$A,0)),0)+IFERROR(INDEX(August!$AJ:$AJ,MATCH($A122,August!$A:$A,0)),0)+IFERROR(INDEX(September!$AI:$AI,MATCH($A122,September!$A:$A,0)),0)+IFERROR(INDEX(October!$AJ:$AJ,MATCH($A122,October!$A:$A,0)),0)+IFERROR(INDEX(November!$AI:$AI,MATCH($A122,November!$A:$A,0)),0)+IFERROR(INDEX(December!$AJ:$AJ,MATCH($A122,December!$A:$A,0)),0)</f>
        <v>194</v>
      </c>
      <c r="W122" s="53">
        <f>IFERROR(INDEX(January!$AO:$AO,MATCH($A122,January!$A:$A,0)),0)+IFERROR(INDEX(February!$AL:$AL,MATCH($A122,February!$A:$A,0)),0)+IFERROR(INDEX(March!$AO:$AO,MATCH($A122,March!$A:$A,0)),0)+IFERROR(INDEX(April!$AN:$AN,MATCH($A122,April!$A:$A,0)),0)+IFERROR(INDEX(May!$AO:$AO,MATCH($A122,May!$A:$A,0)),0)+IFERROR(INDEX(June!$AN:$AN,MATCH($A122,June!$A:$A,0)),0)+IFERROR(INDEX(July!$AO:$AO,MATCH($A122,July!$A:$A,0)),0)+IFERROR(INDEX(August!$AO:$AO,MATCH($A122,August!$A:$A,0)),0)+IFERROR(INDEX(September!$AN:$AN,MATCH($A122,September!$A:$A,0)),0)+IFERROR(INDEX(October!$AO:$AO,MATCH($A122,October!$A:$A,0)),0)+IFERROR(INDEX(November!$AN:$AN,MATCH($A122,November!$A:$A,0)),0)+IFERROR(INDEX(December!$AO:$AO,MATCH($A122,December!$A:$A,0)),0)</f>
        <v>1</v>
      </c>
      <c r="X122" s="53">
        <f t="shared" si="26"/>
        <v>0.5</v>
      </c>
      <c r="Y122" s="53">
        <f>(IFERROR(INDEX(January!$AL:$AL,MATCH($A122,January!$A:$A,0)),0)+IFERROR(INDEX(February!$AI:$AI,MATCH($A122,February!$A:$A,0)),0)+IFERROR(INDEX(March!$AL:$AL,MATCH($A122,March!$A:$A,0)),0)+IFERROR(INDEX(April!$AK:$AK,MATCH($A122,April!$A:$A,0)),0)+IFERROR(INDEX(May!$AL:$AL,MATCH($A122,May!$A:$A,0)),0)+IFERROR(INDEX(June!$AK:$AK,MATCH($A122,June!$A:$A,0)),0)+IFERROR(INDEX(July!$AL:$AL,MATCH($A122,July!$A:$A,0)),0)+IFERROR(INDEX(August!$AL:$AL,MATCH($A122,August!$A:$A,0)),0)+IFERROR(INDEX(September!$AK:$AK,MATCH($A122,September!$A:$A,0)),0)+IFERROR(INDEX(October!$AL:$AL,MATCH($A122,October!$A:$A,0)),0)+IFERROR(INDEX(November!$AK:$AK,MATCH($A122,November!$A:$A,0)),0)+IFERROR(INDEX(December!$AL:$AL,MATCH($A122,December!$A:$A,0)),0))*0.5</f>
        <v>7</v>
      </c>
      <c r="Z122" s="54">
        <f>IFERROR(INDEX(January!$AK:$AK,MATCH($A122,January!$A:$A,0)),0)+IFERROR(INDEX(February!$AH:$AH,MATCH($A122,February!$A:$A,0)),0)+IFERROR(INDEX(March!$AK:$AK,MATCH($A122,March!$A:$A,0)),0)+IFERROR(INDEX(April!$AJ:$AJ,MATCH($A122,April!$A:$A,0)),0)+IFERROR(INDEX(May!$AK:$AK,MATCH($A122,May!$A:$A,0)),0)+IFERROR(INDEX(June!$AJ:$AJ,MATCH($A122,June!$A:$A,0)),0)+IFERROR(INDEX(July!$AK:$AK,MATCH($A122,July!$A:$A,0)),0)+IFERROR(INDEX(August!$AK:$AK,MATCH($A122,August!$A:$A,0)),0)+IFERROR(INDEX(September!$AJ:$AJ,MATCH($A122,September!$A:$A,0)),0)+IFERROR(INDEX(October!$AK:$AK,MATCH($A122,October!$A:$A,0)),0)+IFERROR(INDEX(November!$AJ:$AJ,MATCH($A122,November!$A:$A,0)),0)+IFERROR(INDEX(December!$AK:$AK,MATCH($A122,December!$A:$A,0)),0)</f>
        <v>14</v>
      </c>
      <c r="AA122" s="51">
        <f t="shared" si="27"/>
        <v>21</v>
      </c>
      <c r="AB122" s="55"/>
      <c r="AC122" s="56">
        <f t="shared" si="28"/>
        <v>21</v>
      </c>
      <c r="AD122" s="57"/>
      <c r="AE122" s="58">
        <f t="shared" si="29"/>
        <v>21</v>
      </c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</row>
    <row r="123" spans="1:49" ht="22" customHeight="1" x14ac:dyDescent="0.35">
      <c r="A123" s="8" t="s">
        <v>259</v>
      </c>
      <c r="B123" s="8" t="s">
        <v>260</v>
      </c>
      <c r="C123" s="8" t="s">
        <v>254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11">
        <v>6</v>
      </c>
      <c r="M123" s="10">
        <v>27</v>
      </c>
      <c r="N123" s="10">
        <v>29</v>
      </c>
      <c r="O123" s="11">
        <v>19</v>
      </c>
      <c r="P123" s="8">
        <f>IFERROR(INDEX(January!$AI:$AI,MATCH($A123,January!$A:$A,0)),0)+IFERROR(INDEX(February!$AF:$AF,MATCH($A123,February!$A:$A,0)),0)+IFERROR(INDEX(March!$AI:$AI,MATCH($A123,March!$A:$A,0)),0)+IFERROR(INDEX(April!$AH:$AH,MATCH($A123,April!$A:$A,0)),0)+IFERROR(INDEX(May!$AI:$AI,MATCH($A123,May!$A:$A,0)),0)+IFERROR(INDEX(June!$AH:$AH,MATCH($A123,June!$A:$A,0)),0)+IFERROR(INDEX(July!$AI:$AI,MATCH($A123,July!$A:$A,0)),0)+IFERROR(INDEX(August!$AI:$AI,MATCH($A123,August!$A:$A,0)),0)+IFERROR(INDEX(September!$AH:$AH,MATCH($A123,September!$A:$A,0)),0)+IFERROR(INDEX(October!$AI:$AI,MATCH($A123,October!$A:$A,0)),0)+IFERROR(INDEX(November!$AH:$AH,MATCH($A123,November!$A:$A,0)),0)+IFERROR(INDEX(December!$AI:$AI,MATCH($A123,December!$A:$A,0)),0)</f>
        <v>58</v>
      </c>
      <c r="Q123" s="8">
        <f>IFERROR(INDEX(January!$AJ:$AJ,MATCH($A123,January!$A:$A,0)),0)+IFERROR(INDEX(February!$AG:$AG,MATCH($A123,February!$A:$A,0)),0)+IFERROR(INDEX(March!$AJ:$AJ,MATCH($A123,March!$A:$A,0)),0)+IFERROR(INDEX(April!$AI:$AI,MATCH($A123,April!$A:$A,0)),0)+IFERROR(INDEX(May!$AJ:$AJ,MATCH($A123,May!$A:$A,0)),0)+IFERROR(INDEX(June!$AI:$AI,MATCH($A123,June!$A:$A,0)),0)+IFERROR(INDEX(July!$AJ:$AJ,MATCH($A123,July!$A:$A,0)),0)+IFERROR(INDEX(August!$AJ:$AJ,MATCH($A123,August!$A:$A,0)),0)+IFERROR(INDEX(September!$AI:$AI,MATCH($A123,September!$A:$A,0)),0)+IFERROR(INDEX(October!$AJ:$AJ,MATCH($A123,October!$A:$A,0)),0)+IFERROR(INDEX(November!$AI:$AI,MATCH($A123,November!$A:$A,0)),0)+IFERROR(INDEX(December!$AJ:$AJ,MATCH($A123,December!$A:$A,0)),0)</f>
        <v>203</v>
      </c>
      <c r="R123" s="8">
        <f>IFERROR(INDEX(January!$AK:$AK,MATCH($A123,January!$A:$A,0)),0)+IFERROR(INDEX(February!$AH:$AH,MATCH($A123,February!$A:$A,0)),0)+IFERROR(INDEX(March!$AK:$AK,MATCH($A123,March!$A:$A,0)),0)+IFERROR(INDEX(April!$AJ:$AJ,MATCH($A123,April!$A:$A,0)),0)+IFERROR(INDEX(May!$AK:$AK,MATCH($A123,May!$A:$A,0)),0)+IFERROR(INDEX(June!$AJ:$AJ,MATCH($A123,June!$A:$A,0)),0)+IFERROR(INDEX(July!$AK:$AK,MATCH($A123,July!$A:$A,0)),0)+IFERROR(INDEX(August!$AK:$AK,MATCH($A123,August!$A:$A,0)),0)+IFERROR(INDEX(September!$AJ:$AJ,MATCH($A123,September!$A:$A,0)),0)+IFERROR(INDEX(October!$AK:$AK,MATCH($A123,October!$A:$A,0)),0)+IFERROR(INDEX(November!$AJ:$AJ,MATCH($A123,November!$A:$A,0)),0)+IFERROR(INDEX(December!$AK:$AK,MATCH($A123,December!$A:$A,0)),0)</f>
        <v>12</v>
      </c>
      <c r="S123" s="37">
        <f t="shared" si="25"/>
        <v>0.22222222222222221</v>
      </c>
      <c r="T123" s="38"/>
      <c r="U123" s="51">
        <f>IFERROR(INDEX(January!$AQ:$AQ,MATCH($A123,January!$A:$A,0)),0)+IFERROR(INDEX(February!$AN:$AN,MATCH($A123,February!$A:$A,0)),0)+IFERROR(INDEX(March!$AQ:$AQ,MATCH($A123,March!$A:$A,0)),0)+IFERROR(INDEX(April!$AP:$AP,MATCH($A123,April!$A:$A,0)),0)+IFERROR(INDEX(May!$AQ:$AQ,MATCH($A123,May!$A:$A,0)),0)+IFERROR(INDEX(June!$AP:$AP,MATCH($A123,June!$A:$A,0)),0)+IFERROR(INDEX(July!$AQ:$AQ,MATCH($A123,July!$A:$A,0)),0)+IFERROR(INDEX(August!$AQ:$AQ,MATCH($A123,August!$A:$A,0)),0)+IFERROR(INDEX(September!$AP:$AP,MATCH($A123,September!$A:$A,0)),0)+IFERROR(INDEX(October!$AQ:$AQ,MATCH($A123,October!$A:$A,0)),0)+IFERROR(INDEX(November!$AP:$AP,MATCH($A123,November!$A:$A,0)),0)+IFERROR(INDEX(December!$AQ:$AQ,MATCH($A123,December!$A:$A,0)),0)</f>
        <v>75</v>
      </c>
      <c r="V123" s="52">
        <f>IFERROR(INDEX(January!$AJ:$AJ,MATCH($A123,January!$A:$A,0)),0)+IFERROR(INDEX(February!$AG:$AG,MATCH($A123,February!$A:$A,0)),0)+IFERROR(INDEX(March!$AJ:$AJ,MATCH($A123,March!$A:$A,0)),0)+IFERROR(INDEX(April!$AI:$AI,MATCH($A123,April!$A:$A,0)),0)+IFERROR(INDEX(May!$AJ:$AJ,MATCH($A123,May!$A:$A,0)),0)+IFERROR(INDEX(June!$AI:$AI,MATCH($A123,June!$A:$A,0)),0)+IFERROR(INDEX(July!$AJ:$AJ,MATCH($A123,July!$A:$A,0)),0)+IFERROR(INDEX(August!$AJ:$AJ,MATCH($A123,August!$A:$A,0)),0)+IFERROR(INDEX(September!$AI:$AI,MATCH($A123,September!$A:$A,0)),0)+IFERROR(INDEX(October!$AJ:$AJ,MATCH($A123,October!$A:$A,0)),0)+IFERROR(INDEX(November!$AI:$AI,MATCH($A123,November!$A:$A,0)),0)+IFERROR(INDEX(December!$AJ:$AJ,MATCH($A123,December!$A:$A,0)),0)</f>
        <v>203</v>
      </c>
      <c r="W123" s="53">
        <f>IFERROR(INDEX(January!$AO:$AO,MATCH($A123,January!$A:$A,0)),0)+IFERROR(INDEX(February!$AL:$AL,MATCH($A123,February!$A:$A,0)),0)+IFERROR(INDEX(March!$AO:$AO,MATCH($A123,March!$A:$A,0)),0)+IFERROR(INDEX(April!$AN:$AN,MATCH($A123,April!$A:$A,0)),0)+IFERROR(INDEX(May!$AO:$AO,MATCH($A123,May!$A:$A,0)),0)+IFERROR(INDEX(June!$AN:$AN,MATCH($A123,June!$A:$A,0)),0)+IFERROR(INDEX(July!$AO:$AO,MATCH($A123,July!$A:$A,0)),0)+IFERROR(INDEX(August!$AO:$AO,MATCH($A123,August!$A:$A,0)),0)+IFERROR(INDEX(September!$AN:$AN,MATCH($A123,September!$A:$A,0)),0)+IFERROR(INDEX(October!$AO:$AO,MATCH($A123,October!$A:$A,0)),0)+IFERROR(INDEX(November!$AN:$AN,MATCH($A123,November!$A:$A,0)),0)+IFERROR(INDEX(December!$AO:$AO,MATCH($A123,December!$A:$A,0)),0)</f>
        <v>1</v>
      </c>
      <c r="X123" s="53">
        <f t="shared" si="26"/>
        <v>0.5</v>
      </c>
      <c r="Y123" s="53">
        <f>(IFERROR(INDEX(January!$AL:$AL,MATCH($A123,January!$A:$A,0)),0)+IFERROR(INDEX(February!$AI:$AI,MATCH($A123,February!$A:$A,0)),0)+IFERROR(INDEX(March!$AL:$AL,MATCH($A123,March!$A:$A,0)),0)+IFERROR(INDEX(April!$AK:$AK,MATCH($A123,April!$A:$A,0)),0)+IFERROR(INDEX(May!$AL:$AL,MATCH($A123,May!$A:$A,0)),0)+IFERROR(INDEX(June!$AK:$AK,MATCH($A123,June!$A:$A,0)),0)+IFERROR(INDEX(July!$AL:$AL,MATCH($A123,July!$A:$A,0)),0)+IFERROR(INDEX(August!$AL:$AL,MATCH($A123,August!$A:$A,0)),0)+IFERROR(INDEX(September!$AK:$AK,MATCH($A123,September!$A:$A,0)),0)+IFERROR(INDEX(October!$AL:$AL,MATCH($A123,October!$A:$A,0)),0)+IFERROR(INDEX(November!$AK:$AK,MATCH($A123,November!$A:$A,0)),0)+IFERROR(INDEX(December!$AL:$AL,MATCH($A123,December!$A:$A,0)),0))*0.5</f>
        <v>5.5</v>
      </c>
      <c r="Z123" s="54">
        <f>IFERROR(INDEX(January!$AK:$AK,MATCH($A123,January!$A:$A,0)),0)+IFERROR(INDEX(February!$AH:$AH,MATCH($A123,February!$A:$A,0)),0)+IFERROR(INDEX(March!$AK:$AK,MATCH($A123,March!$A:$A,0)),0)+IFERROR(INDEX(April!$AJ:$AJ,MATCH($A123,April!$A:$A,0)),0)+IFERROR(INDEX(May!$AK:$AK,MATCH($A123,May!$A:$A,0)),0)+IFERROR(INDEX(June!$AJ:$AJ,MATCH($A123,June!$A:$A,0)),0)+IFERROR(INDEX(July!$AK:$AK,MATCH($A123,July!$A:$A,0)),0)+IFERROR(INDEX(August!$AK:$AK,MATCH($A123,August!$A:$A,0)),0)+IFERROR(INDEX(September!$AJ:$AJ,MATCH($A123,September!$A:$A,0)),0)+IFERROR(INDEX(October!$AK:$AK,MATCH($A123,October!$A:$A,0)),0)+IFERROR(INDEX(November!$AJ:$AJ,MATCH($A123,November!$A:$A,0)),0)+IFERROR(INDEX(December!$AK:$AK,MATCH($A123,December!$A:$A,0)),0)</f>
        <v>12</v>
      </c>
      <c r="AA123" s="51">
        <f t="shared" si="27"/>
        <v>17.5</v>
      </c>
      <c r="AB123" s="55"/>
      <c r="AC123" s="56">
        <f t="shared" si="28"/>
        <v>17.5</v>
      </c>
      <c r="AD123" s="57"/>
      <c r="AE123" s="58">
        <f t="shared" si="29"/>
        <v>17.5</v>
      </c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</row>
    <row r="124" spans="1:49" ht="22" customHeight="1" x14ac:dyDescent="0.35">
      <c r="A124" s="8" t="s">
        <v>261</v>
      </c>
      <c r="B124" s="8" t="s">
        <v>262</v>
      </c>
      <c r="C124" s="8" t="s">
        <v>254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10">
        <v>25</v>
      </c>
      <c r="M124" s="10">
        <v>31</v>
      </c>
      <c r="N124" s="10">
        <v>30</v>
      </c>
      <c r="O124" s="10">
        <v>29</v>
      </c>
      <c r="P124" s="8">
        <f>IFERROR(INDEX(January!$AI:$AI,MATCH($A124,January!$A:$A,0)),0)+IFERROR(INDEX(February!$AF:$AF,MATCH($A124,February!$A:$A,0)),0)+IFERROR(INDEX(March!$AI:$AI,MATCH($A124,March!$A:$A,0)),0)+IFERROR(INDEX(April!$AH:$AH,MATCH($A124,April!$A:$A,0)),0)+IFERROR(INDEX(May!$AI:$AI,MATCH($A124,May!$A:$A,0)),0)+IFERROR(INDEX(June!$AH:$AH,MATCH($A124,June!$A:$A,0)),0)+IFERROR(INDEX(July!$AI:$AI,MATCH($A124,July!$A:$A,0)),0)+IFERROR(INDEX(August!$AI:$AI,MATCH($A124,August!$A:$A,0)),0)+IFERROR(INDEX(September!$AH:$AH,MATCH($A124,September!$A:$A,0)),0)+IFERROR(INDEX(October!$AI:$AI,MATCH($A124,October!$A:$A,0)),0)+IFERROR(INDEX(November!$AH:$AH,MATCH($A124,November!$A:$A,0)),0)+IFERROR(INDEX(December!$AI:$AI,MATCH($A124,December!$A:$A,0)),0)</f>
        <v>82</v>
      </c>
      <c r="Q124" s="8">
        <f>IFERROR(INDEX(January!$AJ:$AJ,MATCH($A124,January!$A:$A,0)),0)+IFERROR(INDEX(February!$AG:$AG,MATCH($A124,February!$A:$A,0)),0)+IFERROR(INDEX(March!$AJ:$AJ,MATCH($A124,March!$A:$A,0)),0)+IFERROR(INDEX(April!$AI:$AI,MATCH($A124,April!$A:$A,0)),0)+IFERROR(INDEX(May!$AJ:$AJ,MATCH($A124,May!$A:$A,0)),0)+IFERROR(INDEX(June!$AI:$AI,MATCH($A124,June!$A:$A,0)),0)+IFERROR(INDEX(July!$AJ:$AJ,MATCH($A124,July!$A:$A,0)),0)+IFERROR(INDEX(August!$AJ:$AJ,MATCH($A124,August!$A:$A,0)),0)+IFERROR(INDEX(September!$AI:$AI,MATCH($A124,September!$A:$A,0)),0)+IFERROR(INDEX(October!$AJ:$AJ,MATCH($A124,October!$A:$A,0)),0)+IFERROR(INDEX(November!$AI:$AI,MATCH($A124,November!$A:$A,0)),0)+IFERROR(INDEX(December!$AJ:$AJ,MATCH($A124,December!$A:$A,0)),0)</f>
        <v>179</v>
      </c>
      <c r="R124" s="8">
        <f>IFERROR(INDEX(January!$AK:$AK,MATCH($A124,January!$A:$A,0)),0)+IFERROR(INDEX(February!$AH:$AH,MATCH($A124,February!$A:$A,0)),0)+IFERROR(INDEX(March!$AK:$AK,MATCH($A124,March!$A:$A,0)),0)+IFERROR(INDEX(April!$AJ:$AJ,MATCH($A124,April!$A:$A,0)),0)+IFERROR(INDEX(May!$AK:$AK,MATCH($A124,May!$A:$A,0)),0)+IFERROR(INDEX(June!$AJ:$AJ,MATCH($A124,June!$A:$A,0)),0)+IFERROR(INDEX(July!$AK:$AK,MATCH($A124,July!$A:$A,0)),0)+IFERROR(INDEX(August!$AK:$AK,MATCH($A124,August!$A:$A,0)),0)+IFERROR(INDEX(September!$AJ:$AJ,MATCH($A124,September!$A:$A,0)),0)+IFERROR(INDEX(October!$AK:$AK,MATCH($A124,October!$A:$A,0)),0)+IFERROR(INDEX(November!$AJ:$AJ,MATCH($A124,November!$A:$A,0)),0)+IFERROR(INDEX(December!$AK:$AK,MATCH($A124,December!$A:$A,0)),0)</f>
        <v>17</v>
      </c>
      <c r="S124" s="37">
        <f t="shared" si="25"/>
        <v>0.31417624521072796</v>
      </c>
      <c r="T124" s="38"/>
      <c r="U124" s="51">
        <f>IFERROR(INDEX(January!$AQ:$AQ,MATCH($A124,January!$A:$A,0)),0)+IFERROR(INDEX(February!$AN:$AN,MATCH($A124,February!$A:$A,0)),0)+IFERROR(INDEX(March!$AQ:$AQ,MATCH($A124,March!$A:$A,0)),0)+IFERROR(INDEX(April!$AP:$AP,MATCH($A124,April!$A:$A,0)),0)+IFERROR(INDEX(May!$AQ:$AQ,MATCH($A124,May!$A:$A,0)),0)+IFERROR(INDEX(June!$AP:$AP,MATCH($A124,June!$A:$A,0)),0)+IFERROR(INDEX(July!$AQ:$AQ,MATCH($A124,July!$A:$A,0)),0)+IFERROR(INDEX(August!$AQ:$AQ,MATCH($A124,August!$A:$A,0)),0)+IFERROR(INDEX(September!$AP:$AP,MATCH($A124,September!$A:$A,0)),0)+IFERROR(INDEX(October!$AQ:$AQ,MATCH($A124,October!$A:$A,0)),0)+IFERROR(INDEX(November!$AP:$AP,MATCH($A124,November!$A:$A,0)),0)+IFERROR(INDEX(December!$AQ:$AQ,MATCH($A124,December!$A:$A,0)),0)</f>
        <v>106.5</v>
      </c>
      <c r="V124" s="52">
        <f>IFERROR(INDEX(January!$AJ:$AJ,MATCH($A124,January!$A:$A,0)),0)+IFERROR(INDEX(February!$AG:$AG,MATCH($A124,February!$A:$A,0)),0)+IFERROR(INDEX(March!$AJ:$AJ,MATCH($A124,March!$A:$A,0)),0)+IFERROR(INDEX(April!$AI:$AI,MATCH($A124,April!$A:$A,0)),0)+IFERROR(INDEX(May!$AJ:$AJ,MATCH($A124,May!$A:$A,0)),0)+IFERROR(INDEX(June!$AI:$AI,MATCH($A124,June!$A:$A,0)),0)+IFERROR(INDEX(July!$AJ:$AJ,MATCH($A124,July!$A:$A,0)),0)+IFERROR(INDEX(August!$AJ:$AJ,MATCH($A124,August!$A:$A,0)),0)+IFERROR(INDEX(September!$AI:$AI,MATCH($A124,September!$A:$A,0)),0)+IFERROR(INDEX(October!$AJ:$AJ,MATCH($A124,October!$A:$A,0)),0)+IFERROR(INDEX(November!$AI:$AI,MATCH($A124,November!$A:$A,0)),0)+IFERROR(INDEX(December!$AJ:$AJ,MATCH($A124,December!$A:$A,0)),0)</f>
        <v>179</v>
      </c>
      <c r="W124" s="53">
        <f>IFERROR(INDEX(January!$AO:$AO,MATCH($A124,January!$A:$A,0)),0)+IFERROR(INDEX(February!$AL:$AL,MATCH($A124,February!$A:$A,0)),0)+IFERROR(INDEX(March!$AO:$AO,MATCH($A124,March!$A:$A,0)),0)+IFERROR(INDEX(April!$AN:$AN,MATCH($A124,April!$A:$A,0)),0)+IFERROR(INDEX(May!$AO:$AO,MATCH($A124,May!$A:$A,0)),0)+IFERROR(INDEX(June!$AN:$AN,MATCH($A124,June!$A:$A,0)),0)+IFERROR(INDEX(July!$AO:$AO,MATCH($A124,July!$A:$A,0)),0)+IFERROR(INDEX(August!$AO:$AO,MATCH($A124,August!$A:$A,0)),0)+IFERROR(INDEX(September!$AN:$AN,MATCH($A124,September!$A:$A,0)),0)+IFERROR(INDEX(October!$AO:$AO,MATCH($A124,October!$A:$A,0)),0)+IFERROR(INDEX(November!$AN:$AN,MATCH($A124,November!$A:$A,0)),0)+IFERROR(INDEX(December!$AO:$AO,MATCH($A124,December!$A:$A,0)),0)</f>
        <v>1</v>
      </c>
      <c r="X124" s="53">
        <f t="shared" si="26"/>
        <v>0.5</v>
      </c>
      <c r="Y124" s="53">
        <f>(IFERROR(INDEX(January!$AL:$AL,MATCH($A124,January!$A:$A,0)),0)+IFERROR(INDEX(February!$AI:$AI,MATCH($A124,February!$A:$A,0)),0)+IFERROR(INDEX(March!$AL:$AL,MATCH($A124,March!$A:$A,0)),0)+IFERROR(INDEX(April!$AK:$AK,MATCH($A124,April!$A:$A,0)),0)+IFERROR(INDEX(May!$AL:$AL,MATCH($A124,May!$A:$A,0)),0)+IFERROR(INDEX(June!$AK:$AK,MATCH($A124,June!$A:$A,0)),0)+IFERROR(INDEX(July!$AL:$AL,MATCH($A124,July!$A:$A,0)),0)+IFERROR(INDEX(August!$AL:$AL,MATCH($A124,August!$A:$A,0)),0)+IFERROR(INDEX(September!$AK:$AK,MATCH($A124,September!$A:$A,0)),0)+IFERROR(INDEX(October!$AL:$AL,MATCH($A124,October!$A:$A,0)),0)+IFERROR(INDEX(November!$AK:$AK,MATCH($A124,November!$A:$A,0)),0)+IFERROR(INDEX(December!$AL:$AL,MATCH($A124,December!$A:$A,0)),0))*0.5</f>
        <v>8</v>
      </c>
      <c r="Z124" s="54">
        <f>IFERROR(INDEX(January!$AK:$AK,MATCH($A124,January!$A:$A,0)),0)+IFERROR(INDEX(February!$AH:$AH,MATCH($A124,February!$A:$A,0)),0)+IFERROR(INDEX(March!$AK:$AK,MATCH($A124,March!$A:$A,0)),0)+IFERROR(INDEX(April!$AJ:$AJ,MATCH($A124,April!$A:$A,0)),0)+IFERROR(INDEX(May!$AK:$AK,MATCH($A124,May!$A:$A,0)),0)+IFERROR(INDEX(June!$AJ:$AJ,MATCH($A124,June!$A:$A,0)),0)+IFERROR(INDEX(July!$AK:$AK,MATCH($A124,July!$A:$A,0)),0)+IFERROR(INDEX(August!$AK:$AK,MATCH($A124,August!$A:$A,0)),0)+IFERROR(INDEX(September!$AJ:$AJ,MATCH($A124,September!$A:$A,0)),0)+IFERROR(INDEX(October!$AK:$AK,MATCH($A124,October!$A:$A,0)),0)+IFERROR(INDEX(November!$AJ:$AJ,MATCH($A124,November!$A:$A,0)),0)+IFERROR(INDEX(December!$AK:$AK,MATCH($A124,December!$A:$A,0)),0)</f>
        <v>17</v>
      </c>
      <c r="AA124" s="51">
        <f t="shared" si="27"/>
        <v>25</v>
      </c>
      <c r="AB124" s="55"/>
      <c r="AC124" s="56">
        <f t="shared" si="28"/>
        <v>25</v>
      </c>
      <c r="AD124" s="57"/>
      <c r="AE124" s="58">
        <f t="shared" si="29"/>
        <v>25</v>
      </c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</row>
    <row r="125" spans="1:49" ht="22" customHeight="1" x14ac:dyDescent="0.35">
      <c r="A125" s="8" t="s">
        <v>263</v>
      </c>
      <c r="B125" s="8" t="s">
        <v>264</v>
      </c>
      <c r="C125" s="8" t="s">
        <v>254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10">
        <v>26</v>
      </c>
      <c r="M125" s="10">
        <v>31</v>
      </c>
      <c r="N125" s="10">
        <v>30</v>
      </c>
      <c r="O125" s="10">
        <v>29</v>
      </c>
      <c r="P125" s="8">
        <f>IFERROR(INDEX(January!$AI:$AI,MATCH($A125,January!$A:$A,0)),0)+IFERROR(INDEX(February!$AF:$AF,MATCH($A125,February!$A:$A,0)),0)+IFERROR(INDEX(March!$AI:$AI,MATCH($A125,March!$A:$A,0)),0)+IFERROR(INDEX(April!$AH:$AH,MATCH($A125,April!$A:$A,0)),0)+IFERROR(INDEX(May!$AI:$AI,MATCH($A125,May!$A:$A,0)),0)+IFERROR(INDEX(June!$AH:$AH,MATCH($A125,June!$A:$A,0)),0)+IFERROR(INDEX(July!$AI:$AI,MATCH($A125,July!$A:$A,0)),0)+IFERROR(INDEX(August!$AI:$AI,MATCH($A125,August!$A:$A,0)),0)+IFERROR(INDEX(September!$AH:$AH,MATCH($A125,September!$A:$A,0)),0)+IFERROR(INDEX(October!$AI:$AI,MATCH($A125,October!$A:$A,0)),0)+IFERROR(INDEX(November!$AH:$AH,MATCH($A125,November!$A:$A,0)),0)+IFERROR(INDEX(December!$AI:$AI,MATCH($A125,December!$A:$A,0)),0)</f>
        <v>83</v>
      </c>
      <c r="Q125" s="8">
        <f>IFERROR(INDEX(January!$AJ:$AJ,MATCH($A125,January!$A:$A,0)),0)+IFERROR(INDEX(February!$AG:$AG,MATCH($A125,February!$A:$A,0)),0)+IFERROR(INDEX(March!$AJ:$AJ,MATCH($A125,March!$A:$A,0)),0)+IFERROR(INDEX(April!$AI:$AI,MATCH($A125,April!$A:$A,0)),0)+IFERROR(INDEX(May!$AJ:$AJ,MATCH($A125,May!$A:$A,0)),0)+IFERROR(INDEX(June!$AI:$AI,MATCH($A125,June!$A:$A,0)),0)+IFERROR(INDEX(July!$AJ:$AJ,MATCH($A125,July!$A:$A,0)),0)+IFERROR(INDEX(August!$AJ:$AJ,MATCH($A125,August!$A:$A,0)),0)+IFERROR(INDEX(September!$AI:$AI,MATCH($A125,September!$A:$A,0)),0)+IFERROR(INDEX(October!$AJ:$AJ,MATCH($A125,October!$A:$A,0)),0)+IFERROR(INDEX(November!$AI:$AI,MATCH($A125,November!$A:$A,0)),0)+IFERROR(INDEX(December!$AJ:$AJ,MATCH($A125,December!$A:$A,0)),0)</f>
        <v>178</v>
      </c>
      <c r="R125" s="8">
        <f>IFERROR(INDEX(January!$AK:$AK,MATCH($A125,January!$A:$A,0)),0)+IFERROR(INDEX(February!$AH:$AH,MATCH($A125,February!$A:$A,0)),0)+IFERROR(INDEX(March!$AK:$AK,MATCH($A125,March!$A:$A,0)),0)+IFERROR(INDEX(April!$AJ:$AJ,MATCH($A125,April!$A:$A,0)),0)+IFERROR(INDEX(May!$AK:$AK,MATCH($A125,May!$A:$A,0)),0)+IFERROR(INDEX(June!$AJ:$AJ,MATCH($A125,June!$A:$A,0)),0)+IFERROR(INDEX(July!$AK:$AK,MATCH($A125,July!$A:$A,0)),0)+IFERROR(INDEX(August!$AK:$AK,MATCH($A125,August!$A:$A,0)),0)+IFERROR(INDEX(September!$AJ:$AJ,MATCH($A125,September!$A:$A,0)),0)+IFERROR(INDEX(October!$AK:$AK,MATCH($A125,October!$A:$A,0)),0)+IFERROR(INDEX(November!$AJ:$AJ,MATCH($A125,November!$A:$A,0)),0)+IFERROR(INDEX(December!$AK:$AK,MATCH($A125,December!$A:$A,0)),0)</f>
        <v>16</v>
      </c>
      <c r="S125" s="37">
        <f t="shared" si="25"/>
        <v>0.31800766283524906</v>
      </c>
      <c r="T125" s="38"/>
      <c r="U125" s="51">
        <f>IFERROR(INDEX(January!$AQ:$AQ,MATCH($A125,January!$A:$A,0)),0)+IFERROR(INDEX(February!$AN:$AN,MATCH($A125,February!$A:$A,0)),0)+IFERROR(INDEX(March!$AQ:$AQ,MATCH($A125,March!$A:$A,0)),0)+IFERROR(INDEX(April!$AP:$AP,MATCH($A125,April!$A:$A,0)),0)+IFERROR(INDEX(May!$AQ:$AQ,MATCH($A125,May!$A:$A,0)),0)+IFERROR(INDEX(June!$AP:$AP,MATCH($A125,June!$A:$A,0)),0)+IFERROR(INDEX(July!$AQ:$AQ,MATCH($A125,July!$A:$A,0)),0)+IFERROR(INDEX(August!$AQ:$AQ,MATCH($A125,August!$A:$A,0)),0)+IFERROR(INDEX(September!$AP:$AP,MATCH($A125,September!$A:$A,0)),0)+IFERROR(INDEX(October!$AQ:$AQ,MATCH($A125,October!$A:$A,0)),0)+IFERROR(INDEX(November!$AP:$AP,MATCH($A125,November!$A:$A,0)),0)+IFERROR(INDEX(December!$AQ:$AQ,MATCH($A125,December!$A:$A,0)),0)</f>
        <v>107</v>
      </c>
      <c r="V125" s="52">
        <f>IFERROR(INDEX(January!$AJ:$AJ,MATCH($A125,January!$A:$A,0)),0)+IFERROR(INDEX(February!$AG:$AG,MATCH($A125,February!$A:$A,0)),0)+IFERROR(INDEX(March!$AJ:$AJ,MATCH($A125,March!$A:$A,0)),0)+IFERROR(INDEX(April!$AI:$AI,MATCH($A125,April!$A:$A,0)),0)+IFERROR(INDEX(May!$AJ:$AJ,MATCH($A125,May!$A:$A,0)),0)+IFERROR(INDEX(June!$AI:$AI,MATCH($A125,June!$A:$A,0)),0)+IFERROR(INDEX(July!$AJ:$AJ,MATCH($A125,July!$A:$A,0)),0)+IFERROR(INDEX(August!$AJ:$AJ,MATCH($A125,August!$A:$A,0)),0)+IFERROR(INDEX(September!$AI:$AI,MATCH($A125,September!$A:$A,0)),0)+IFERROR(INDEX(October!$AJ:$AJ,MATCH($A125,October!$A:$A,0)),0)+IFERROR(INDEX(November!$AI:$AI,MATCH($A125,November!$A:$A,0)),0)+IFERROR(INDEX(December!$AJ:$AJ,MATCH($A125,December!$A:$A,0)),0)</f>
        <v>178</v>
      </c>
      <c r="W125" s="53">
        <f>IFERROR(INDEX(January!$AO:$AO,MATCH($A125,January!$A:$A,0)),0)+IFERROR(INDEX(February!$AL:$AL,MATCH($A125,February!$A:$A,0)),0)+IFERROR(INDEX(March!$AO:$AO,MATCH($A125,March!$A:$A,0)),0)+IFERROR(INDEX(April!$AN:$AN,MATCH($A125,April!$A:$A,0)),0)+IFERROR(INDEX(May!$AO:$AO,MATCH($A125,May!$A:$A,0)),0)+IFERROR(INDEX(June!$AN:$AN,MATCH($A125,June!$A:$A,0)),0)+IFERROR(INDEX(July!$AO:$AO,MATCH($A125,July!$A:$A,0)),0)+IFERROR(INDEX(August!$AO:$AO,MATCH($A125,August!$A:$A,0)),0)+IFERROR(INDEX(September!$AN:$AN,MATCH($A125,September!$A:$A,0)),0)+IFERROR(INDEX(October!$AO:$AO,MATCH($A125,October!$A:$A,0)),0)+IFERROR(INDEX(November!$AN:$AN,MATCH($A125,November!$A:$A,0)),0)+IFERROR(INDEX(December!$AO:$AO,MATCH($A125,December!$A:$A,0)),0)</f>
        <v>1</v>
      </c>
      <c r="X125" s="53">
        <f t="shared" si="26"/>
        <v>0.5</v>
      </c>
      <c r="Y125" s="53">
        <f>(IFERROR(INDEX(January!$AL:$AL,MATCH($A125,January!$A:$A,0)),0)+IFERROR(INDEX(February!$AI:$AI,MATCH($A125,February!$A:$A,0)),0)+IFERROR(INDEX(March!$AL:$AL,MATCH($A125,March!$A:$A,0)),0)+IFERROR(INDEX(April!$AK:$AK,MATCH($A125,April!$A:$A,0)),0)+IFERROR(INDEX(May!$AL:$AL,MATCH($A125,May!$A:$A,0)),0)+IFERROR(INDEX(June!$AK:$AK,MATCH($A125,June!$A:$A,0)),0)+IFERROR(INDEX(July!$AL:$AL,MATCH($A125,July!$A:$A,0)),0)+IFERROR(INDEX(August!$AL:$AL,MATCH($A125,August!$A:$A,0)),0)+IFERROR(INDEX(September!$AK:$AK,MATCH($A125,September!$A:$A,0)),0)+IFERROR(INDEX(October!$AL:$AL,MATCH($A125,October!$A:$A,0)),0)+IFERROR(INDEX(November!$AK:$AK,MATCH($A125,November!$A:$A,0)),0)+IFERROR(INDEX(December!$AL:$AL,MATCH($A125,December!$A:$A,0)),0))*0.5</f>
        <v>8.5</v>
      </c>
      <c r="Z125" s="54">
        <f>IFERROR(INDEX(January!$AK:$AK,MATCH($A125,January!$A:$A,0)),0)+IFERROR(INDEX(February!$AH:$AH,MATCH($A125,February!$A:$A,0)),0)+IFERROR(INDEX(March!$AK:$AK,MATCH($A125,March!$A:$A,0)),0)+IFERROR(INDEX(April!$AJ:$AJ,MATCH($A125,April!$A:$A,0)),0)+IFERROR(INDEX(May!$AK:$AK,MATCH($A125,May!$A:$A,0)),0)+IFERROR(INDEX(June!$AJ:$AJ,MATCH($A125,June!$A:$A,0)),0)+IFERROR(INDEX(July!$AK:$AK,MATCH($A125,July!$A:$A,0)),0)+IFERROR(INDEX(August!$AK:$AK,MATCH($A125,August!$A:$A,0)),0)+IFERROR(INDEX(September!$AJ:$AJ,MATCH($A125,September!$A:$A,0)),0)+IFERROR(INDEX(October!$AK:$AK,MATCH($A125,October!$A:$A,0)),0)+IFERROR(INDEX(November!$AJ:$AJ,MATCH($A125,November!$A:$A,0)),0)+IFERROR(INDEX(December!$AK:$AK,MATCH($A125,December!$A:$A,0)),0)</f>
        <v>16</v>
      </c>
      <c r="AA125" s="51">
        <f t="shared" si="27"/>
        <v>24.5</v>
      </c>
      <c r="AB125" s="55"/>
      <c r="AC125" s="56">
        <f t="shared" si="28"/>
        <v>24.5</v>
      </c>
      <c r="AD125" s="57"/>
      <c r="AE125" s="58">
        <f t="shared" si="29"/>
        <v>24.5</v>
      </c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</row>
    <row r="126" spans="1:49" ht="22" customHeight="1" x14ac:dyDescent="0.35">
      <c r="A126" s="8" t="s">
        <v>265</v>
      </c>
      <c r="B126" s="8" t="s">
        <v>266</v>
      </c>
      <c r="C126" s="8" t="s">
        <v>254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10">
        <v>26</v>
      </c>
      <c r="M126" s="10">
        <v>30</v>
      </c>
      <c r="N126" s="10">
        <v>27</v>
      </c>
      <c r="O126" s="10">
        <v>29</v>
      </c>
      <c r="P126" s="8">
        <f>IFERROR(INDEX(January!$AI:$AI,MATCH($A126,January!$A:$A,0)),0)+IFERROR(INDEX(February!$AF:$AF,MATCH($A126,February!$A:$A,0)),0)+IFERROR(INDEX(March!$AI:$AI,MATCH($A126,March!$A:$A,0)),0)+IFERROR(INDEX(April!$AH:$AH,MATCH($A126,April!$A:$A,0)),0)+IFERROR(INDEX(May!$AI:$AI,MATCH($A126,May!$A:$A,0)),0)+IFERROR(INDEX(June!$AH:$AH,MATCH($A126,June!$A:$A,0)),0)+IFERROR(INDEX(July!$AI:$AI,MATCH($A126,July!$A:$A,0)),0)+IFERROR(INDEX(August!$AI:$AI,MATCH($A126,August!$A:$A,0)),0)+IFERROR(INDEX(September!$AH:$AH,MATCH($A126,September!$A:$A,0)),0)+IFERROR(INDEX(October!$AI:$AI,MATCH($A126,October!$A:$A,0)),0)+IFERROR(INDEX(November!$AH:$AH,MATCH($A126,November!$A:$A,0)),0)+IFERROR(INDEX(December!$AI:$AI,MATCH($A126,December!$A:$A,0)),0)</f>
        <v>83</v>
      </c>
      <c r="Q126" s="8">
        <f>IFERROR(INDEX(January!$AJ:$AJ,MATCH($A126,January!$A:$A,0)),0)+IFERROR(INDEX(February!$AG:$AG,MATCH($A126,February!$A:$A,0)),0)+IFERROR(INDEX(March!$AJ:$AJ,MATCH($A126,March!$A:$A,0)),0)+IFERROR(INDEX(April!$AI:$AI,MATCH($A126,April!$A:$A,0)),0)+IFERROR(INDEX(May!$AJ:$AJ,MATCH($A126,May!$A:$A,0)),0)+IFERROR(INDEX(June!$AI:$AI,MATCH($A126,June!$A:$A,0)),0)+IFERROR(INDEX(July!$AJ:$AJ,MATCH($A126,July!$A:$A,0)),0)+IFERROR(INDEX(August!$AJ:$AJ,MATCH($A126,August!$A:$A,0)),0)+IFERROR(INDEX(September!$AI:$AI,MATCH($A126,September!$A:$A,0)),0)+IFERROR(INDEX(October!$AJ:$AJ,MATCH($A126,October!$A:$A,0)),0)+IFERROR(INDEX(November!$AI:$AI,MATCH($A126,November!$A:$A,0)),0)+IFERROR(INDEX(December!$AJ:$AJ,MATCH($A126,December!$A:$A,0)),0)</f>
        <v>178</v>
      </c>
      <c r="R126" s="8">
        <f>IFERROR(INDEX(January!$AK:$AK,MATCH($A126,January!$A:$A,0)),0)+IFERROR(INDEX(February!$AH:$AH,MATCH($A126,February!$A:$A,0)),0)+IFERROR(INDEX(March!$AK:$AK,MATCH($A126,March!$A:$A,0)),0)+IFERROR(INDEX(April!$AJ:$AJ,MATCH($A126,April!$A:$A,0)),0)+IFERROR(INDEX(May!$AK:$AK,MATCH($A126,May!$A:$A,0)),0)+IFERROR(INDEX(June!$AJ:$AJ,MATCH($A126,June!$A:$A,0)),0)+IFERROR(INDEX(July!$AK:$AK,MATCH($A126,July!$A:$A,0)),0)+IFERROR(INDEX(August!$AK:$AK,MATCH($A126,August!$A:$A,0)),0)+IFERROR(INDEX(September!$AJ:$AJ,MATCH($A126,September!$A:$A,0)),0)+IFERROR(INDEX(October!$AK:$AK,MATCH($A126,October!$A:$A,0)),0)+IFERROR(INDEX(November!$AJ:$AJ,MATCH($A126,November!$A:$A,0)),0)+IFERROR(INDEX(December!$AK:$AK,MATCH($A126,December!$A:$A,0)),0)</f>
        <v>13</v>
      </c>
      <c r="S126" s="37">
        <f t="shared" si="25"/>
        <v>0.31800766283524906</v>
      </c>
      <c r="T126" s="38"/>
      <c r="U126" s="51">
        <f>IFERROR(INDEX(January!$AQ:$AQ,MATCH($A126,January!$A:$A,0)),0)+IFERROR(INDEX(February!$AN:$AN,MATCH($A126,February!$A:$A,0)),0)+IFERROR(INDEX(March!$AQ:$AQ,MATCH($A126,March!$A:$A,0)),0)+IFERROR(INDEX(April!$AP:$AP,MATCH($A126,April!$A:$A,0)),0)+IFERROR(INDEX(May!$AQ:$AQ,MATCH($A126,May!$A:$A,0)),0)+IFERROR(INDEX(June!$AP:$AP,MATCH($A126,June!$A:$A,0)),0)+IFERROR(INDEX(July!$AQ:$AQ,MATCH($A126,July!$A:$A,0)),0)+IFERROR(INDEX(August!$AQ:$AQ,MATCH($A126,August!$A:$A,0)),0)+IFERROR(INDEX(September!$AP:$AP,MATCH($A126,September!$A:$A,0)),0)+IFERROR(INDEX(October!$AQ:$AQ,MATCH($A126,October!$A:$A,0)),0)+IFERROR(INDEX(November!$AP:$AP,MATCH($A126,November!$A:$A,0)),0)+IFERROR(INDEX(December!$AQ:$AQ,MATCH($A126,December!$A:$A,0)),0)</f>
        <v>103</v>
      </c>
      <c r="V126" s="52">
        <f>IFERROR(INDEX(January!$AJ:$AJ,MATCH($A126,January!$A:$A,0)),0)+IFERROR(INDEX(February!$AG:$AG,MATCH($A126,February!$A:$A,0)),0)+IFERROR(INDEX(March!$AJ:$AJ,MATCH($A126,March!$A:$A,0)),0)+IFERROR(INDEX(April!$AI:$AI,MATCH($A126,April!$A:$A,0)),0)+IFERROR(INDEX(May!$AJ:$AJ,MATCH($A126,May!$A:$A,0)),0)+IFERROR(INDEX(June!$AI:$AI,MATCH($A126,June!$A:$A,0)),0)+IFERROR(INDEX(July!$AJ:$AJ,MATCH($A126,July!$A:$A,0)),0)+IFERROR(INDEX(August!$AJ:$AJ,MATCH($A126,August!$A:$A,0)),0)+IFERROR(INDEX(September!$AI:$AI,MATCH($A126,September!$A:$A,0)),0)+IFERROR(INDEX(October!$AJ:$AJ,MATCH($A126,October!$A:$A,0)),0)+IFERROR(INDEX(November!$AI:$AI,MATCH($A126,November!$A:$A,0)),0)+IFERROR(INDEX(December!$AJ:$AJ,MATCH($A126,December!$A:$A,0)),0)</f>
        <v>178</v>
      </c>
      <c r="W126" s="53">
        <f>IFERROR(INDEX(January!$AO:$AO,MATCH($A126,January!$A:$A,0)),0)+IFERROR(INDEX(February!$AL:$AL,MATCH($A126,February!$A:$A,0)),0)+IFERROR(INDEX(March!$AO:$AO,MATCH($A126,March!$A:$A,0)),0)+IFERROR(INDEX(April!$AN:$AN,MATCH($A126,April!$A:$A,0)),0)+IFERROR(INDEX(May!$AO:$AO,MATCH($A126,May!$A:$A,0)),0)+IFERROR(INDEX(June!$AN:$AN,MATCH($A126,June!$A:$A,0)),0)+IFERROR(INDEX(July!$AO:$AO,MATCH($A126,July!$A:$A,0)),0)+IFERROR(INDEX(August!$AO:$AO,MATCH($A126,August!$A:$A,0)),0)+IFERROR(INDEX(September!$AN:$AN,MATCH($A126,September!$A:$A,0)),0)+IFERROR(INDEX(October!$AO:$AO,MATCH($A126,October!$A:$A,0)),0)+IFERROR(INDEX(November!$AN:$AN,MATCH($A126,November!$A:$A,0)),0)+IFERROR(INDEX(December!$AO:$AO,MATCH($A126,December!$A:$A,0)),0)</f>
        <v>2</v>
      </c>
      <c r="X126" s="53">
        <f t="shared" si="26"/>
        <v>1</v>
      </c>
      <c r="Y126" s="53">
        <f>(IFERROR(INDEX(January!$AL:$AL,MATCH($A126,January!$A:$A,0)),0)+IFERROR(INDEX(February!$AI:$AI,MATCH($A126,February!$A:$A,0)),0)+IFERROR(INDEX(March!$AL:$AL,MATCH($A126,March!$A:$A,0)),0)+IFERROR(INDEX(April!$AK:$AK,MATCH($A126,April!$A:$A,0)),0)+IFERROR(INDEX(May!$AL:$AL,MATCH($A126,May!$A:$A,0)),0)+IFERROR(INDEX(June!$AK:$AK,MATCH($A126,June!$A:$A,0)),0)+IFERROR(INDEX(July!$AL:$AL,MATCH($A126,July!$A:$A,0)),0)+IFERROR(INDEX(August!$AL:$AL,MATCH($A126,August!$A:$A,0)),0)+IFERROR(INDEX(September!$AK:$AK,MATCH($A126,September!$A:$A,0)),0)+IFERROR(INDEX(October!$AL:$AL,MATCH($A126,October!$A:$A,0)),0)+IFERROR(INDEX(November!$AK:$AK,MATCH($A126,November!$A:$A,0)),0)+IFERROR(INDEX(December!$AL:$AL,MATCH($A126,December!$A:$A,0)),0))*0.5</f>
        <v>8</v>
      </c>
      <c r="Z126" s="54">
        <f>IFERROR(INDEX(January!$AK:$AK,MATCH($A126,January!$A:$A,0)),0)+IFERROR(INDEX(February!$AH:$AH,MATCH($A126,February!$A:$A,0)),0)+IFERROR(INDEX(March!$AK:$AK,MATCH($A126,March!$A:$A,0)),0)+IFERROR(INDEX(April!$AJ:$AJ,MATCH($A126,April!$A:$A,0)),0)+IFERROR(INDEX(May!$AK:$AK,MATCH($A126,May!$A:$A,0)),0)+IFERROR(INDEX(June!$AJ:$AJ,MATCH($A126,June!$A:$A,0)),0)+IFERROR(INDEX(July!$AK:$AK,MATCH($A126,July!$A:$A,0)),0)+IFERROR(INDEX(August!$AK:$AK,MATCH($A126,August!$A:$A,0)),0)+IFERROR(INDEX(September!$AJ:$AJ,MATCH($A126,September!$A:$A,0)),0)+IFERROR(INDEX(October!$AK:$AK,MATCH($A126,October!$A:$A,0)),0)+IFERROR(INDEX(November!$AJ:$AJ,MATCH($A126,November!$A:$A,0)),0)+IFERROR(INDEX(December!$AK:$AK,MATCH($A126,December!$A:$A,0)),0)</f>
        <v>13</v>
      </c>
      <c r="AA126" s="51">
        <f t="shared" si="27"/>
        <v>21</v>
      </c>
      <c r="AB126" s="55"/>
      <c r="AC126" s="56">
        <f t="shared" si="28"/>
        <v>21</v>
      </c>
      <c r="AD126" s="57"/>
      <c r="AE126" s="58">
        <f t="shared" si="29"/>
        <v>21</v>
      </c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</row>
    <row r="127" spans="1:49" ht="22" customHeight="1" x14ac:dyDescent="0.35">
      <c r="A127" s="8" t="s">
        <v>267</v>
      </c>
      <c r="B127" s="8" t="s">
        <v>268</v>
      </c>
      <c r="C127" s="8" t="s">
        <v>254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11">
        <v>2</v>
      </c>
      <c r="M127" s="10">
        <v>22</v>
      </c>
      <c r="N127" s="10">
        <v>30</v>
      </c>
      <c r="O127" s="10">
        <v>20</v>
      </c>
      <c r="P127" s="8">
        <f>IFERROR(INDEX(January!$AI:$AI,MATCH($A127,January!$A:$A,0)),0)+IFERROR(INDEX(February!$AF:$AF,MATCH($A127,February!$A:$A,0)),0)+IFERROR(INDEX(March!$AI:$AI,MATCH($A127,March!$A:$A,0)),0)+IFERROR(INDEX(April!$AH:$AH,MATCH($A127,April!$A:$A,0)),0)+IFERROR(INDEX(May!$AI:$AI,MATCH($A127,May!$A:$A,0)),0)+IFERROR(INDEX(June!$AH:$AH,MATCH($A127,June!$A:$A,0)),0)+IFERROR(INDEX(July!$AI:$AI,MATCH($A127,July!$A:$A,0)),0)+IFERROR(INDEX(August!$AI:$AI,MATCH($A127,August!$A:$A,0)),0)+IFERROR(INDEX(September!$AH:$AH,MATCH($A127,September!$A:$A,0)),0)+IFERROR(INDEX(October!$AI:$AI,MATCH($A127,October!$A:$A,0)),0)+IFERROR(INDEX(November!$AH:$AH,MATCH($A127,November!$A:$A,0)),0)+IFERROR(INDEX(December!$AI:$AI,MATCH($A127,December!$A:$A,0)),0)</f>
        <v>53</v>
      </c>
      <c r="Q127" s="8">
        <f>IFERROR(INDEX(January!$AJ:$AJ,MATCH($A127,January!$A:$A,0)),0)+IFERROR(INDEX(February!$AG:$AG,MATCH($A127,February!$A:$A,0)),0)+IFERROR(INDEX(March!$AJ:$AJ,MATCH($A127,March!$A:$A,0)),0)+IFERROR(INDEX(April!$AI:$AI,MATCH($A127,April!$A:$A,0)),0)+IFERROR(INDEX(May!$AJ:$AJ,MATCH($A127,May!$A:$A,0)),0)+IFERROR(INDEX(June!$AI:$AI,MATCH($A127,June!$A:$A,0)),0)+IFERROR(INDEX(July!$AJ:$AJ,MATCH($A127,July!$A:$A,0)),0)+IFERROR(INDEX(August!$AJ:$AJ,MATCH($A127,August!$A:$A,0)),0)+IFERROR(INDEX(September!$AI:$AI,MATCH($A127,September!$A:$A,0)),0)+IFERROR(INDEX(October!$AJ:$AJ,MATCH($A127,October!$A:$A,0)),0)+IFERROR(INDEX(November!$AI:$AI,MATCH($A127,November!$A:$A,0)),0)+IFERROR(INDEX(December!$AJ:$AJ,MATCH($A127,December!$A:$A,0)),0)</f>
        <v>208</v>
      </c>
      <c r="R127" s="8">
        <f>IFERROR(INDEX(January!$AK:$AK,MATCH($A127,January!$A:$A,0)),0)+IFERROR(INDEX(February!$AH:$AH,MATCH($A127,February!$A:$A,0)),0)+IFERROR(INDEX(March!$AK:$AK,MATCH($A127,March!$A:$A,0)),0)+IFERROR(INDEX(April!$AJ:$AJ,MATCH($A127,April!$A:$A,0)),0)+IFERROR(INDEX(May!$AK:$AK,MATCH($A127,May!$A:$A,0)),0)+IFERROR(INDEX(June!$AJ:$AJ,MATCH($A127,June!$A:$A,0)),0)+IFERROR(INDEX(July!$AK:$AK,MATCH($A127,July!$A:$A,0)),0)+IFERROR(INDEX(August!$AK:$AK,MATCH($A127,August!$A:$A,0)),0)+IFERROR(INDEX(September!$AJ:$AJ,MATCH($A127,September!$A:$A,0)),0)+IFERROR(INDEX(October!$AK:$AK,MATCH($A127,October!$A:$A,0)),0)+IFERROR(INDEX(November!$AJ:$AJ,MATCH($A127,November!$A:$A,0)),0)+IFERROR(INDEX(December!$AK:$AK,MATCH($A127,December!$A:$A,0)),0)</f>
        <v>11</v>
      </c>
      <c r="S127" s="37">
        <f t="shared" si="25"/>
        <v>0.20306513409961685</v>
      </c>
      <c r="T127" s="38"/>
      <c r="U127" s="51">
        <f>IFERROR(INDEX(January!$AQ:$AQ,MATCH($A127,January!$A:$A,0)),0)+IFERROR(INDEX(February!$AN:$AN,MATCH($A127,February!$A:$A,0)),0)+IFERROR(INDEX(March!$AQ:$AQ,MATCH($A127,March!$A:$A,0)),0)+IFERROR(INDEX(April!$AP:$AP,MATCH($A127,April!$A:$A,0)),0)+IFERROR(INDEX(May!$AQ:$AQ,MATCH($A127,May!$A:$A,0)),0)+IFERROR(INDEX(June!$AP:$AP,MATCH($A127,June!$A:$A,0)),0)+IFERROR(INDEX(July!$AQ:$AQ,MATCH($A127,July!$A:$A,0)),0)+IFERROR(INDEX(August!$AQ:$AQ,MATCH($A127,August!$A:$A,0)),0)+IFERROR(INDEX(September!$AP:$AP,MATCH($A127,September!$A:$A,0)),0)+IFERROR(INDEX(October!$AQ:$AQ,MATCH($A127,October!$A:$A,0)),0)+IFERROR(INDEX(November!$AP:$AP,MATCH($A127,November!$A:$A,0)),0)+IFERROR(INDEX(December!$AQ:$AQ,MATCH($A127,December!$A:$A,0)),0)</f>
        <v>68</v>
      </c>
      <c r="V127" s="52">
        <f>IFERROR(INDEX(January!$AJ:$AJ,MATCH($A127,January!$A:$A,0)),0)+IFERROR(INDEX(February!$AG:$AG,MATCH($A127,February!$A:$A,0)),0)+IFERROR(INDEX(March!$AJ:$AJ,MATCH($A127,March!$A:$A,0)),0)+IFERROR(INDEX(April!$AI:$AI,MATCH($A127,April!$A:$A,0)),0)+IFERROR(INDEX(May!$AJ:$AJ,MATCH($A127,May!$A:$A,0)),0)+IFERROR(INDEX(June!$AI:$AI,MATCH($A127,June!$A:$A,0)),0)+IFERROR(INDEX(July!$AJ:$AJ,MATCH($A127,July!$A:$A,0)),0)+IFERROR(INDEX(August!$AJ:$AJ,MATCH($A127,August!$A:$A,0)),0)+IFERROR(INDEX(September!$AI:$AI,MATCH($A127,September!$A:$A,0)),0)+IFERROR(INDEX(October!$AJ:$AJ,MATCH($A127,October!$A:$A,0)),0)+IFERROR(INDEX(November!$AI:$AI,MATCH($A127,November!$A:$A,0)),0)+IFERROR(INDEX(December!$AJ:$AJ,MATCH($A127,December!$A:$A,0)),0)</f>
        <v>208</v>
      </c>
      <c r="W127" s="53">
        <f>IFERROR(INDEX(January!$AO:$AO,MATCH($A127,January!$A:$A,0)),0)+IFERROR(INDEX(February!$AL:$AL,MATCH($A127,February!$A:$A,0)),0)+IFERROR(INDEX(March!$AO:$AO,MATCH($A127,March!$A:$A,0)),0)+IFERROR(INDEX(April!$AN:$AN,MATCH($A127,April!$A:$A,0)),0)+IFERROR(INDEX(May!$AO:$AO,MATCH($A127,May!$A:$A,0)),0)+IFERROR(INDEX(June!$AN:$AN,MATCH($A127,June!$A:$A,0)),0)+IFERROR(INDEX(July!$AO:$AO,MATCH($A127,July!$A:$A,0)),0)+IFERROR(INDEX(August!$AO:$AO,MATCH($A127,August!$A:$A,0)),0)+IFERROR(INDEX(September!$AN:$AN,MATCH($A127,September!$A:$A,0)),0)+IFERROR(INDEX(October!$AO:$AO,MATCH($A127,October!$A:$A,0)),0)+IFERROR(INDEX(November!$AN:$AN,MATCH($A127,November!$A:$A,0)),0)+IFERROR(INDEX(December!$AO:$AO,MATCH($A127,December!$A:$A,0)),0)</f>
        <v>2</v>
      </c>
      <c r="X127" s="53">
        <f t="shared" si="26"/>
        <v>1</v>
      </c>
      <c r="Y127" s="53">
        <f>(IFERROR(INDEX(January!$AL:$AL,MATCH($A127,January!$A:$A,0)),0)+IFERROR(INDEX(February!$AI:$AI,MATCH($A127,February!$A:$A,0)),0)+IFERROR(INDEX(March!$AL:$AL,MATCH($A127,March!$A:$A,0)),0)+IFERROR(INDEX(April!$AK:$AK,MATCH($A127,April!$A:$A,0)),0)+IFERROR(INDEX(May!$AL:$AL,MATCH($A127,May!$A:$A,0)),0)+IFERROR(INDEX(June!$AK:$AK,MATCH($A127,June!$A:$A,0)),0)+IFERROR(INDEX(July!$AL:$AL,MATCH($A127,July!$A:$A,0)),0)+IFERROR(INDEX(August!$AL:$AL,MATCH($A127,August!$A:$A,0)),0)+IFERROR(INDEX(September!$AK:$AK,MATCH($A127,September!$A:$A,0)),0)+IFERROR(INDEX(October!$AL:$AL,MATCH($A127,October!$A:$A,0)),0)+IFERROR(INDEX(November!$AK:$AK,MATCH($A127,November!$A:$A,0)),0)+IFERROR(INDEX(December!$AL:$AL,MATCH($A127,December!$A:$A,0)),0))*0.5</f>
        <v>5</v>
      </c>
      <c r="Z127" s="54">
        <f>IFERROR(INDEX(January!$AK:$AK,MATCH($A127,January!$A:$A,0)),0)+IFERROR(INDEX(February!$AH:$AH,MATCH($A127,February!$A:$A,0)),0)+IFERROR(INDEX(March!$AK:$AK,MATCH($A127,March!$A:$A,0)),0)+IFERROR(INDEX(April!$AJ:$AJ,MATCH($A127,April!$A:$A,0)),0)+IFERROR(INDEX(May!$AK:$AK,MATCH($A127,May!$A:$A,0)),0)+IFERROR(INDEX(June!$AJ:$AJ,MATCH($A127,June!$A:$A,0)),0)+IFERROR(INDEX(July!$AK:$AK,MATCH($A127,July!$A:$A,0)),0)+IFERROR(INDEX(August!$AK:$AK,MATCH($A127,August!$A:$A,0)),0)+IFERROR(INDEX(September!$AJ:$AJ,MATCH($A127,September!$A:$A,0)),0)+IFERROR(INDEX(October!$AK:$AK,MATCH($A127,October!$A:$A,0)),0)+IFERROR(INDEX(November!$AJ:$AJ,MATCH($A127,November!$A:$A,0)),0)+IFERROR(INDEX(December!$AK:$AK,MATCH($A127,December!$A:$A,0)),0)</f>
        <v>11</v>
      </c>
      <c r="AA127" s="51">
        <f t="shared" si="27"/>
        <v>16</v>
      </c>
      <c r="AB127" s="55"/>
      <c r="AC127" s="56">
        <f t="shared" si="28"/>
        <v>16</v>
      </c>
      <c r="AD127" s="57"/>
      <c r="AE127" s="58">
        <f t="shared" si="29"/>
        <v>16</v>
      </c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</row>
    <row r="128" spans="1:49" ht="22" customHeight="1" x14ac:dyDescent="0.35">
      <c r="A128" s="8" t="s">
        <v>269</v>
      </c>
      <c r="B128" s="8" t="s">
        <v>270</v>
      </c>
      <c r="C128" s="8" t="s">
        <v>254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10">
        <v>20</v>
      </c>
      <c r="M128" s="11">
        <v>9</v>
      </c>
      <c r="N128" s="10">
        <v>27</v>
      </c>
      <c r="O128" s="11">
        <v>2</v>
      </c>
      <c r="P128" s="8">
        <f>IFERROR(INDEX(January!$AI:$AI,MATCH($A128,January!$A:$A,0)),0)+IFERROR(INDEX(February!$AF:$AF,MATCH($A128,February!$A:$A,0)),0)+IFERROR(INDEX(March!$AI:$AI,MATCH($A128,March!$A:$A,0)),0)+IFERROR(INDEX(April!$AH:$AH,MATCH($A128,April!$A:$A,0)),0)+IFERROR(INDEX(May!$AI:$AI,MATCH($A128,May!$A:$A,0)),0)+IFERROR(INDEX(June!$AH:$AH,MATCH($A128,June!$A:$A,0)),0)+IFERROR(INDEX(July!$AI:$AI,MATCH($A128,July!$A:$A,0)),0)+IFERROR(INDEX(August!$AI:$AI,MATCH($A128,August!$A:$A,0)),0)+IFERROR(INDEX(September!$AH:$AH,MATCH($A128,September!$A:$A,0)),0)+IFERROR(INDEX(October!$AI:$AI,MATCH($A128,October!$A:$A,0)),0)+IFERROR(INDEX(November!$AH:$AH,MATCH($A128,November!$A:$A,0)),0)+IFERROR(INDEX(December!$AI:$AI,MATCH($A128,December!$A:$A,0)),0)</f>
        <v>43</v>
      </c>
      <c r="Q128" s="8">
        <f>IFERROR(INDEX(January!$AJ:$AJ,MATCH($A128,January!$A:$A,0)),0)+IFERROR(INDEX(February!$AG:$AG,MATCH($A128,February!$A:$A,0)),0)+IFERROR(INDEX(March!$AJ:$AJ,MATCH($A128,March!$A:$A,0)),0)+IFERROR(INDEX(April!$AI:$AI,MATCH($A128,April!$A:$A,0)),0)+IFERROR(INDEX(May!$AJ:$AJ,MATCH($A128,May!$A:$A,0)),0)+IFERROR(INDEX(June!$AI:$AI,MATCH($A128,June!$A:$A,0)),0)+IFERROR(INDEX(July!$AJ:$AJ,MATCH($A128,July!$A:$A,0)),0)+IFERROR(INDEX(August!$AJ:$AJ,MATCH($A128,August!$A:$A,0)),0)+IFERROR(INDEX(September!$AI:$AI,MATCH($A128,September!$A:$A,0)),0)+IFERROR(INDEX(October!$AJ:$AJ,MATCH($A128,October!$A:$A,0)),0)+IFERROR(INDEX(November!$AI:$AI,MATCH($A128,November!$A:$A,0)),0)+IFERROR(INDEX(December!$AJ:$AJ,MATCH($A128,December!$A:$A,0)),0)</f>
        <v>218</v>
      </c>
      <c r="R128" s="8">
        <f>IFERROR(INDEX(January!$AK:$AK,MATCH($A128,January!$A:$A,0)),0)+IFERROR(INDEX(February!$AH:$AH,MATCH($A128,February!$A:$A,0)),0)+IFERROR(INDEX(March!$AK:$AK,MATCH($A128,March!$A:$A,0)),0)+IFERROR(INDEX(April!$AJ:$AJ,MATCH($A128,April!$A:$A,0)),0)+IFERROR(INDEX(May!$AK:$AK,MATCH($A128,May!$A:$A,0)),0)+IFERROR(INDEX(June!$AJ:$AJ,MATCH($A128,June!$A:$A,0)),0)+IFERROR(INDEX(July!$AK:$AK,MATCH($A128,July!$A:$A,0)),0)+IFERROR(INDEX(August!$AK:$AK,MATCH($A128,August!$A:$A,0)),0)+IFERROR(INDEX(September!$AJ:$AJ,MATCH($A128,September!$A:$A,0)),0)+IFERROR(INDEX(October!$AK:$AK,MATCH($A128,October!$A:$A,0)),0)+IFERROR(INDEX(November!$AJ:$AJ,MATCH($A128,November!$A:$A,0)),0)+IFERROR(INDEX(December!$AK:$AK,MATCH($A128,December!$A:$A,0)),0)</f>
        <v>8</v>
      </c>
      <c r="S128" s="37">
        <f t="shared" si="25"/>
        <v>0.16475095785440613</v>
      </c>
      <c r="T128" s="38"/>
      <c r="U128" s="51">
        <f>IFERROR(INDEX(January!$AQ:$AQ,MATCH($A128,January!$A:$A,0)),0)+IFERROR(INDEX(February!$AN:$AN,MATCH($A128,February!$A:$A,0)),0)+IFERROR(INDEX(March!$AQ:$AQ,MATCH($A128,March!$A:$A,0)),0)+IFERROR(INDEX(April!$AP:$AP,MATCH($A128,April!$A:$A,0)),0)+IFERROR(INDEX(May!$AQ:$AQ,MATCH($A128,May!$A:$A,0)),0)+IFERROR(INDEX(June!$AP:$AP,MATCH($A128,June!$A:$A,0)),0)+IFERROR(INDEX(July!$AQ:$AQ,MATCH($A128,July!$A:$A,0)),0)+IFERROR(INDEX(August!$AQ:$AQ,MATCH($A128,August!$A:$A,0)),0)+IFERROR(INDEX(September!$AP:$AP,MATCH($A128,September!$A:$A,0)),0)+IFERROR(INDEX(October!$AQ:$AQ,MATCH($A128,October!$A:$A,0)),0)+IFERROR(INDEX(November!$AP:$AP,MATCH($A128,November!$A:$A,0)),0)+IFERROR(INDEX(December!$AQ:$AQ,MATCH($A128,December!$A:$A,0)),0)</f>
        <v>53.5</v>
      </c>
      <c r="V128" s="52">
        <f>IFERROR(INDEX(January!$AJ:$AJ,MATCH($A128,January!$A:$A,0)),0)+IFERROR(INDEX(February!$AG:$AG,MATCH($A128,February!$A:$A,0)),0)+IFERROR(INDEX(March!$AJ:$AJ,MATCH($A128,March!$A:$A,0)),0)+IFERROR(INDEX(April!$AI:$AI,MATCH($A128,April!$A:$A,0)),0)+IFERROR(INDEX(May!$AJ:$AJ,MATCH($A128,May!$A:$A,0)),0)+IFERROR(INDEX(June!$AI:$AI,MATCH($A128,June!$A:$A,0)),0)+IFERROR(INDEX(July!$AJ:$AJ,MATCH($A128,July!$A:$A,0)),0)+IFERROR(INDEX(August!$AJ:$AJ,MATCH($A128,August!$A:$A,0)),0)+IFERROR(INDEX(September!$AI:$AI,MATCH($A128,September!$A:$A,0)),0)+IFERROR(INDEX(October!$AJ:$AJ,MATCH($A128,October!$A:$A,0)),0)+IFERROR(INDEX(November!$AI:$AI,MATCH($A128,November!$A:$A,0)),0)+IFERROR(INDEX(December!$AJ:$AJ,MATCH($A128,December!$A:$A,0)),0)</f>
        <v>218</v>
      </c>
      <c r="W128" s="53">
        <f>IFERROR(INDEX(January!$AO:$AO,MATCH($A128,January!$A:$A,0)),0)+IFERROR(INDEX(February!$AL:$AL,MATCH($A128,February!$A:$A,0)),0)+IFERROR(INDEX(March!$AO:$AO,MATCH($A128,March!$A:$A,0)),0)+IFERROR(INDEX(April!$AN:$AN,MATCH($A128,April!$A:$A,0)),0)+IFERROR(INDEX(May!$AO:$AO,MATCH($A128,May!$A:$A,0)),0)+IFERROR(INDEX(June!$AN:$AN,MATCH($A128,June!$A:$A,0)),0)+IFERROR(INDEX(July!$AO:$AO,MATCH($A128,July!$A:$A,0)),0)+IFERROR(INDEX(August!$AO:$AO,MATCH($A128,August!$A:$A,0)),0)+IFERROR(INDEX(September!$AN:$AN,MATCH($A128,September!$A:$A,0)),0)+IFERROR(INDEX(October!$AO:$AO,MATCH($A128,October!$A:$A,0)),0)+IFERROR(INDEX(November!$AN:$AN,MATCH($A128,November!$A:$A,0)),0)+IFERROR(INDEX(December!$AO:$AO,MATCH($A128,December!$A:$A,0)),0)</f>
        <v>2</v>
      </c>
      <c r="X128" s="53">
        <f t="shared" si="26"/>
        <v>1</v>
      </c>
      <c r="Y128" s="53">
        <f>(IFERROR(INDEX(January!$AL:$AL,MATCH($A128,January!$A:$A,0)),0)+IFERROR(INDEX(February!$AI:$AI,MATCH($A128,February!$A:$A,0)),0)+IFERROR(INDEX(March!$AL:$AL,MATCH($A128,March!$A:$A,0)),0)+IFERROR(INDEX(April!$AK:$AK,MATCH($A128,April!$A:$A,0)),0)+IFERROR(INDEX(May!$AL:$AL,MATCH($A128,May!$A:$A,0)),0)+IFERROR(INDEX(June!$AK:$AK,MATCH($A128,June!$A:$A,0)),0)+IFERROR(INDEX(July!$AL:$AL,MATCH($A128,July!$A:$A,0)),0)+IFERROR(INDEX(August!$AL:$AL,MATCH($A128,August!$A:$A,0)),0)+IFERROR(INDEX(September!$AK:$AK,MATCH($A128,September!$A:$A,0)),0)+IFERROR(INDEX(October!$AL:$AL,MATCH($A128,October!$A:$A,0)),0)+IFERROR(INDEX(November!$AK:$AK,MATCH($A128,November!$A:$A,0)),0)+IFERROR(INDEX(December!$AL:$AL,MATCH($A128,December!$A:$A,0)),0))*0.5</f>
        <v>3.5</v>
      </c>
      <c r="Z128" s="54">
        <f>IFERROR(INDEX(January!$AK:$AK,MATCH($A128,January!$A:$A,0)),0)+IFERROR(INDEX(February!$AH:$AH,MATCH($A128,February!$A:$A,0)),0)+IFERROR(INDEX(March!$AK:$AK,MATCH($A128,March!$A:$A,0)),0)+IFERROR(INDEX(April!$AJ:$AJ,MATCH($A128,April!$A:$A,0)),0)+IFERROR(INDEX(May!$AK:$AK,MATCH($A128,May!$A:$A,0)),0)+IFERROR(INDEX(June!$AJ:$AJ,MATCH($A128,June!$A:$A,0)),0)+IFERROR(INDEX(July!$AK:$AK,MATCH($A128,July!$A:$A,0)),0)+IFERROR(INDEX(August!$AK:$AK,MATCH($A128,August!$A:$A,0)),0)+IFERROR(INDEX(September!$AJ:$AJ,MATCH($A128,September!$A:$A,0)),0)+IFERROR(INDEX(October!$AK:$AK,MATCH($A128,October!$A:$A,0)),0)+IFERROR(INDEX(November!$AJ:$AJ,MATCH($A128,November!$A:$A,0)),0)+IFERROR(INDEX(December!$AK:$AK,MATCH($A128,December!$A:$A,0)),0)</f>
        <v>8</v>
      </c>
      <c r="AA128" s="51">
        <f t="shared" si="27"/>
        <v>11.5</v>
      </c>
      <c r="AB128" s="55"/>
      <c r="AC128" s="56">
        <f t="shared" si="28"/>
        <v>11.5</v>
      </c>
      <c r="AD128" s="57"/>
      <c r="AE128" s="58">
        <f t="shared" si="29"/>
        <v>11.5</v>
      </c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</row>
    <row r="129" spans="1:49" ht="22" customHeight="1" x14ac:dyDescent="0.35">
      <c r="A129" s="8" t="s">
        <v>271</v>
      </c>
      <c r="B129" s="8" t="s">
        <v>272</v>
      </c>
      <c r="C129" s="8" t="s">
        <v>254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10">
        <v>25</v>
      </c>
      <c r="M129" s="10">
        <v>25</v>
      </c>
      <c r="N129" s="9">
        <v>0</v>
      </c>
      <c r="O129" s="11">
        <v>2</v>
      </c>
      <c r="P129" s="8">
        <f>IFERROR(INDEX(January!$AI:$AI,MATCH($A129,January!$A:$A,0)),0)+IFERROR(INDEX(February!$AF:$AF,MATCH($A129,February!$A:$A,0)),0)+IFERROR(INDEX(March!$AI:$AI,MATCH($A129,March!$A:$A,0)),0)+IFERROR(INDEX(April!$AH:$AH,MATCH($A129,April!$A:$A,0)),0)+IFERROR(INDEX(May!$AI:$AI,MATCH($A129,May!$A:$A,0)),0)+IFERROR(INDEX(June!$AH:$AH,MATCH($A129,June!$A:$A,0)),0)+IFERROR(INDEX(July!$AI:$AI,MATCH($A129,July!$A:$A,0)),0)+IFERROR(INDEX(August!$AI:$AI,MATCH($A129,August!$A:$A,0)),0)+IFERROR(INDEX(September!$AH:$AH,MATCH($A129,September!$A:$A,0)),0)+IFERROR(INDEX(October!$AI:$AI,MATCH($A129,October!$A:$A,0)),0)+IFERROR(INDEX(November!$AH:$AH,MATCH($A129,November!$A:$A,0)),0)+IFERROR(INDEX(December!$AI:$AI,MATCH($A129,December!$A:$A,0)),0)</f>
        <v>38</v>
      </c>
      <c r="Q129" s="8">
        <f>IFERROR(INDEX(January!$AJ:$AJ,MATCH($A129,January!$A:$A,0)),0)+IFERROR(INDEX(February!$AG:$AG,MATCH($A129,February!$A:$A,0)),0)+IFERROR(INDEX(March!$AJ:$AJ,MATCH($A129,March!$A:$A,0)),0)+IFERROR(INDEX(April!$AI:$AI,MATCH($A129,April!$A:$A,0)),0)+IFERROR(INDEX(May!$AJ:$AJ,MATCH($A129,May!$A:$A,0)),0)+IFERROR(INDEX(June!$AI:$AI,MATCH($A129,June!$A:$A,0)),0)+IFERROR(INDEX(July!$AJ:$AJ,MATCH($A129,July!$A:$A,0)),0)+IFERROR(INDEX(August!$AJ:$AJ,MATCH($A129,August!$A:$A,0)),0)+IFERROR(INDEX(September!$AI:$AI,MATCH($A129,September!$A:$A,0)),0)+IFERROR(INDEX(October!$AJ:$AJ,MATCH($A129,October!$A:$A,0)),0)+IFERROR(INDEX(November!$AI:$AI,MATCH($A129,November!$A:$A,0)),0)+IFERROR(INDEX(December!$AJ:$AJ,MATCH($A129,December!$A:$A,0)),0)</f>
        <v>223</v>
      </c>
      <c r="R129" s="8">
        <f>IFERROR(INDEX(January!$AK:$AK,MATCH($A129,January!$A:$A,0)),0)+IFERROR(INDEX(February!$AH:$AH,MATCH($A129,February!$A:$A,0)),0)+IFERROR(INDEX(March!$AK:$AK,MATCH($A129,March!$A:$A,0)),0)+IFERROR(INDEX(April!$AJ:$AJ,MATCH($A129,April!$A:$A,0)),0)+IFERROR(INDEX(May!$AK:$AK,MATCH($A129,May!$A:$A,0)),0)+IFERROR(INDEX(June!$AJ:$AJ,MATCH($A129,June!$A:$A,0)),0)+IFERROR(INDEX(July!$AK:$AK,MATCH($A129,July!$A:$A,0)),0)+IFERROR(INDEX(August!$AK:$AK,MATCH($A129,August!$A:$A,0)),0)+IFERROR(INDEX(September!$AJ:$AJ,MATCH($A129,September!$A:$A,0)),0)+IFERROR(INDEX(October!$AK:$AK,MATCH($A129,October!$A:$A,0)),0)+IFERROR(INDEX(November!$AJ:$AJ,MATCH($A129,November!$A:$A,0)),0)+IFERROR(INDEX(December!$AK:$AK,MATCH($A129,December!$A:$A,0)),0)</f>
        <v>7</v>
      </c>
      <c r="S129" s="37">
        <f t="shared" si="25"/>
        <v>0.14559386973180077</v>
      </c>
      <c r="T129" s="38"/>
      <c r="U129" s="51">
        <f>IFERROR(INDEX(January!$AQ:$AQ,MATCH($A129,January!$A:$A,0)),0)+IFERROR(INDEX(February!$AN:$AN,MATCH($A129,February!$A:$A,0)),0)+IFERROR(INDEX(March!$AQ:$AQ,MATCH($A129,March!$A:$A,0)),0)+IFERROR(INDEX(April!$AP:$AP,MATCH($A129,April!$A:$A,0)),0)+IFERROR(INDEX(May!$AQ:$AQ,MATCH($A129,May!$A:$A,0)),0)+IFERROR(INDEX(June!$AP:$AP,MATCH($A129,June!$A:$A,0)),0)+IFERROR(INDEX(July!$AQ:$AQ,MATCH($A129,July!$A:$A,0)),0)+IFERROR(INDEX(August!$AQ:$AQ,MATCH($A129,August!$A:$A,0)),0)+IFERROR(INDEX(September!$AP:$AP,MATCH($A129,September!$A:$A,0)),0)+IFERROR(INDEX(October!$AQ:$AQ,MATCH($A129,October!$A:$A,0)),0)+IFERROR(INDEX(November!$AP:$AP,MATCH($A129,November!$A:$A,0)),0)+IFERROR(INDEX(December!$AQ:$AQ,MATCH($A129,December!$A:$A,0)),0)</f>
        <v>48</v>
      </c>
      <c r="V129" s="52">
        <f>IFERROR(INDEX(January!$AJ:$AJ,MATCH($A129,January!$A:$A,0)),0)+IFERROR(INDEX(February!$AG:$AG,MATCH($A129,February!$A:$A,0)),0)+IFERROR(INDEX(March!$AJ:$AJ,MATCH($A129,March!$A:$A,0)),0)+IFERROR(INDEX(April!$AI:$AI,MATCH($A129,April!$A:$A,0)),0)+IFERROR(INDEX(May!$AJ:$AJ,MATCH($A129,May!$A:$A,0)),0)+IFERROR(INDEX(June!$AI:$AI,MATCH($A129,June!$A:$A,0)),0)+IFERROR(INDEX(July!$AJ:$AJ,MATCH($A129,July!$A:$A,0)),0)+IFERROR(INDEX(August!$AJ:$AJ,MATCH($A129,August!$A:$A,0)),0)+IFERROR(INDEX(September!$AI:$AI,MATCH($A129,September!$A:$A,0)),0)+IFERROR(INDEX(October!$AJ:$AJ,MATCH($A129,October!$A:$A,0)),0)+IFERROR(INDEX(November!$AI:$AI,MATCH($A129,November!$A:$A,0)),0)+IFERROR(INDEX(December!$AJ:$AJ,MATCH($A129,December!$A:$A,0)),0)</f>
        <v>223</v>
      </c>
      <c r="W129" s="53">
        <f>IFERROR(INDEX(January!$AO:$AO,MATCH($A129,January!$A:$A,0)),0)+IFERROR(INDEX(February!$AL:$AL,MATCH($A129,February!$A:$A,0)),0)+IFERROR(INDEX(March!$AO:$AO,MATCH($A129,March!$A:$A,0)),0)+IFERROR(INDEX(April!$AN:$AN,MATCH($A129,April!$A:$A,0)),0)+IFERROR(INDEX(May!$AO:$AO,MATCH($A129,May!$A:$A,0)),0)+IFERROR(INDEX(June!$AN:$AN,MATCH($A129,June!$A:$A,0)),0)+IFERROR(INDEX(July!$AO:$AO,MATCH($A129,July!$A:$A,0)),0)+IFERROR(INDEX(August!$AO:$AO,MATCH($A129,August!$A:$A,0)),0)+IFERROR(INDEX(September!$AN:$AN,MATCH($A129,September!$A:$A,0)),0)+IFERROR(INDEX(October!$AO:$AO,MATCH($A129,October!$A:$A,0)),0)+IFERROR(INDEX(November!$AN:$AN,MATCH($A129,November!$A:$A,0)),0)+IFERROR(INDEX(December!$AO:$AO,MATCH($A129,December!$A:$A,0)),0)</f>
        <v>1</v>
      </c>
      <c r="X129" s="53">
        <f t="shared" si="26"/>
        <v>0.5</v>
      </c>
      <c r="Y129" s="53">
        <f>(IFERROR(INDEX(January!$AL:$AL,MATCH($A129,January!$A:$A,0)),0)+IFERROR(INDEX(February!$AI:$AI,MATCH($A129,February!$A:$A,0)),0)+IFERROR(INDEX(March!$AL:$AL,MATCH($A129,March!$A:$A,0)),0)+IFERROR(INDEX(April!$AK:$AK,MATCH($A129,April!$A:$A,0)),0)+IFERROR(INDEX(May!$AL:$AL,MATCH($A129,May!$A:$A,0)),0)+IFERROR(INDEX(June!$AK:$AK,MATCH($A129,June!$A:$A,0)),0)+IFERROR(INDEX(July!$AL:$AL,MATCH($A129,July!$A:$A,0)),0)+IFERROR(INDEX(August!$AL:$AL,MATCH($A129,August!$A:$A,0)),0)+IFERROR(INDEX(September!$AK:$AK,MATCH($A129,September!$A:$A,0)),0)+IFERROR(INDEX(October!$AL:$AL,MATCH($A129,October!$A:$A,0)),0)+IFERROR(INDEX(November!$AK:$AK,MATCH($A129,November!$A:$A,0)),0)+IFERROR(INDEX(December!$AL:$AL,MATCH($A129,December!$A:$A,0)),0))*0.5</f>
        <v>3.5</v>
      </c>
      <c r="Z129" s="54">
        <f>IFERROR(INDEX(January!$AK:$AK,MATCH($A129,January!$A:$A,0)),0)+IFERROR(INDEX(February!$AH:$AH,MATCH($A129,February!$A:$A,0)),0)+IFERROR(INDEX(March!$AK:$AK,MATCH($A129,March!$A:$A,0)),0)+IFERROR(INDEX(April!$AJ:$AJ,MATCH($A129,April!$A:$A,0)),0)+IFERROR(INDEX(May!$AK:$AK,MATCH($A129,May!$A:$A,0)),0)+IFERROR(INDEX(June!$AJ:$AJ,MATCH($A129,June!$A:$A,0)),0)+IFERROR(INDEX(July!$AK:$AK,MATCH($A129,July!$A:$A,0)),0)+IFERROR(INDEX(August!$AK:$AK,MATCH($A129,August!$A:$A,0)),0)+IFERROR(INDEX(September!$AJ:$AJ,MATCH($A129,September!$A:$A,0)),0)+IFERROR(INDEX(October!$AK:$AK,MATCH($A129,October!$A:$A,0)),0)+IFERROR(INDEX(November!$AJ:$AJ,MATCH($A129,November!$A:$A,0)),0)+IFERROR(INDEX(December!$AK:$AK,MATCH($A129,December!$A:$A,0)),0)</f>
        <v>7</v>
      </c>
      <c r="AA129" s="51">
        <f t="shared" si="27"/>
        <v>10.5</v>
      </c>
      <c r="AB129" s="55"/>
      <c r="AC129" s="56">
        <f t="shared" si="28"/>
        <v>10.5</v>
      </c>
      <c r="AD129" s="57"/>
      <c r="AE129" s="58">
        <f t="shared" si="29"/>
        <v>10.5</v>
      </c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</row>
    <row r="130" spans="1:49" ht="22" customHeight="1" x14ac:dyDescent="0.35">
      <c r="A130" s="8" t="s">
        <v>273</v>
      </c>
      <c r="B130" s="8" t="s">
        <v>274</v>
      </c>
      <c r="C130" s="8" t="s">
        <v>254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10">
        <v>25</v>
      </c>
      <c r="M130" s="11">
        <v>7</v>
      </c>
      <c r="N130" s="10">
        <v>25</v>
      </c>
      <c r="O130" s="10">
        <v>21</v>
      </c>
      <c r="P130" s="8">
        <f>IFERROR(INDEX(January!$AI:$AI,MATCH($A130,January!$A:$A,0)),0)+IFERROR(INDEX(February!$AF:$AF,MATCH($A130,February!$A:$A,0)),0)+IFERROR(INDEX(March!$AI:$AI,MATCH($A130,March!$A:$A,0)),0)+IFERROR(INDEX(April!$AH:$AH,MATCH($A130,April!$A:$A,0)),0)+IFERROR(INDEX(May!$AI:$AI,MATCH($A130,May!$A:$A,0)),0)+IFERROR(INDEX(June!$AH:$AH,MATCH($A130,June!$A:$A,0)),0)+IFERROR(INDEX(July!$AI:$AI,MATCH($A130,July!$A:$A,0)),0)+IFERROR(INDEX(August!$AI:$AI,MATCH($A130,August!$A:$A,0)),0)+IFERROR(INDEX(September!$AH:$AH,MATCH($A130,September!$A:$A,0)),0)+IFERROR(INDEX(October!$AI:$AI,MATCH($A130,October!$A:$A,0)),0)+IFERROR(INDEX(November!$AH:$AH,MATCH($A130,November!$A:$A,0)),0)+IFERROR(INDEX(December!$AI:$AI,MATCH($A130,December!$A:$A,0)),0)</f>
        <v>57</v>
      </c>
      <c r="Q130" s="8">
        <f>IFERROR(INDEX(January!$AJ:$AJ,MATCH($A130,January!$A:$A,0)),0)+IFERROR(INDEX(February!$AG:$AG,MATCH($A130,February!$A:$A,0)),0)+IFERROR(INDEX(March!$AJ:$AJ,MATCH($A130,March!$A:$A,0)),0)+IFERROR(INDEX(April!$AI:$AI,MATCH($A130,April!$A:$A,0)),0)+IFERROR(INDEX(May!$AJ:$AJ,MATCH($A130,May!$A:$A,0)),0)+IFERROR(INDEX(June!$AI:$AI,MATCH($A130,June!$A:$A,0)),0)+IFERROR(INDEX(July!$AJ:$AJ,MATCH($A130,July!$A:$A,0)),0)+IFERROR(INDEX(August!$AJ:$AJ,MATCH($A130,August!$A:$A,0)),0)+IFERROR(INDEX(September!$AI:$AI,MATCH($A130,September!$A:$A,0)),0)+IFERROR(INDEX(October!$AJ:$AJ,MATCH($A130,October!$A:$A,0)),0)+IFERROR(INDEX(November!$AI:$AI,MATCH($A130,November!$A:$A,0)),0)+IFERROR(INDEX(December!$AJ:$AJ,MATCH($A130,December!$A:$A,0)),0)</f>
        <v>204</v>
      </c>
      <c r="R130" s="8">
        <f>IFERROR(INDEX(January!$AK:$AK,MATCH($A130,January!$A:$A,0)),0)+IFERROR(INDEX(February!$AH:$AH,MATCH($A130,February!$A:$A,0)),0)+IFERROR(INDEX(March!$AK:$AK,MATCH($A130,March!$A:$A,0)),0)+IFERROR(INDEX(April!$AJ:$AJ,MATCH($A130,April!$A:$A,0)),0)+IFERROR(INDEX(May!$AK:$AK,MATCH($A130,May!$A:$A,0)),0)+IFERROR(INDEX(June!$AJ:$AJ,MATCH($A130,June!$A:$A,0)),0)+IFERROR(INDEX(July!$AK:$AK,MATCH($A130,July!$A:$A,0)),0)+IFERROR(INDEX(August!$AK:$AK,MATCH($A130,August!$A:$A,0)),0)+IFERROR(INDEX(September!$AJ:$AJ,MATCH($A130,September!$A:$A,0)),0)+IFERROR(INDEX(October!$AK:$AK,MATCH($A130,October!$A:$A,0)),0)+IFERROR(INDEX(November!$AJ:$AJ,MATCH($A130,November!$A:$A,0)),0)+IFERROR(INDEX(December!$AK:$AK,MATCH($A130,December!$A:$A,0)),0)</f>
        <v>12</v>
      </c>
      <c r="S130" s="37">
        <f t="shared" si="25"/>
        <v>0.21839080459770116</v>
      </c>
      <c r="T130" s="38"/>
      <c r="U130" s="51">
        <f>IFERROR(INDEX(January!$AQ:$AQ,MATCH($A130,January!$A:$A,0)),0)+IFERROR(INDEX(February!$AN:$AN,MATCH($A130,February!$A:$A,0)),0)+IFERROR(INDEX(March!$AQ:$AQ,MATCH($A130,March!$A:$A,0)),0)+IFERROR(INDEX(April!$AP:$AP,MATCH($A130,April!$A:$A,0)),0)+IFERROR(INDEX(May!$AQ:$AQ,MATCH($A130,May!$A:$A,0)),0)+IFERROR(INDEX(June!$AP:$AP,MATCH($A130,June!$A:$A,0)),0)+IFERROR(INDEX(July!$AQ:$AQ,MATCH($A130,July!$A:$A,0)),0)+IFERROR(INDEX(August!$AQ:$AQ,MATCH($A130,August!$A:$A,0)),0)+IFERROR(INDEX(September!$AP:$AP,MATCH($A130,September!$A:$A,0)),0)+IFERROR(INDEX(October!$AQ:$AQ,MATCH($A130,October!$A:$A,0)),0)+IFERROR(INDEX(November!$AP:$AP,MATCH($A130,November!$A:$A,0)),0)+IFERROR(INDEX(December!$AQ:$AQ,MATCH($A130,December!$A:$A,0)),0)</f>
        <v>72.5</v>
      </c>
      <c r="V130" s="52">
        <f>IFERROR(INDEX(January!$AJ:$AJ,MATCH($A130,January!$A:$A,0)),0)+IFERROR(INDEX(February!$AG:$AG,MATCH($A130,February!$A:$A,0)),0)+IFERROR(INDEX(March!$AJ:$AJ,MATCH($A130,March!$A:$A,0)),0)+IFERROR(INDEX(April!$AI:$AI,MATCH($A130,April!$A:$A,0)),0)+IFERROR(INDEX(May!$AJ:$AJ,MATCH($A130,May!$A:$A,0)),0)+IFERROR(INDEX(June!$AI:$AI,MATCH($A130,June!$A:$A,0)),0)+IFERROR(INDEX(July!$AJ:$AJ,MATCH($A130,July!$A:$A,0)),0)+IFERROR(INDEX(August!$AJ:$AJ,MATCH($A130,August!$A:$A,0)),0)+IFERROR(INDEX(September!$AI:$AI,MATCH($A130,September!$A:$A,0)),0)+IFERROR(INDEX(October!$AJ:$AJ,MATCH($A130,October!$A:$A,0)),0)+IFERROR(INDEX(November!$AI:$AI,MATCH($A130,November!$A:$A,0)),0)+IFERROR(INDEX(December!$AJ:$AJ,MATCH($A130,December!$A:$A,0)),0)</f>
        <v>204</v>
      </c>
      <c r="W130" s="53">
        <f>IFERROR(INDEX(January!$AO:$AO,MATCH($A130,January!$A:$A,0)),0)+IFERROR(INDEX(February!$AL:$AL,MATCH($A130,February!$A:$A,0)),0)+IFERROR(INDEX(March!$AO:$AO,MATCH($A130,March!$A:$A,0)),0)+IFERROR(INDEX(April!$AN:$AN,MATCH($A130,April!$A:$A,0)),0)+IFERROR(INDEX(May!$AO:$AO,MATCH($A130,May!$A:$A,0)),0)+IFERROR(INDEX(June!$AN:$AN,MATCH($A130,June!$A:$A,0)),0)+IFERROR(INDEX(July!$AO:$AO,MATCH($A130,July!$A:$A,0)),0)+IFERROR(INDEX(August!$AO:$AO,MATCH($A130,August!$A:$A,0)),0)+IFERROR(INDEX(September!$AN:$AN,MATCH($A130,September!$A:$A,0)),0)+IFERROR(INDEX(October!$AO:$AO,MATCH($A130,October!$A:$A,0)),0)+IFERROR(INDEX(November!$AN:$AN,MATCH($A130,November!$A:$A,0)),0)+IFERROR(INDEX(December!$AO:$AO,MATCH($A130,December!$A:$A,0)),0)</f>
        <v>2</v>
      </c>
      <c r="X130" s="53">
        <f t="shared" si="26"/>
        <v>1</v>
      </c>
      <c r="Y130" s="53">
        <f>(IFERROR(INDEX(January!$AL:$AL,MATCH($A130,January!$A:$A,0)),0)+IFERROR(INDEX(February!$AI:$AI,MATCH($A130,February!$A:$A,0)),0)+IFERROR(INDEX(March!$AL:$AL,MATCH($A130,March!$A:$A,0)),0)+IFERROR(INDEX(April!$AK:$AK,MATCH($A130,April!$A:$A,0)),0)+IFERROR(INDEX(May!$AL:$AL,MATCH($A130,May!$A:$A,0)),0)+IFERROR(INDEX(June!$AK:$AK,MATCH($A130,June!$A:$A,0)),0)+IFERROR(INDEX(July!$AL:$AL,MATCH($A130,July!$A:$A,0)),0)+IFERROR(INDEX(August!$AL:$AL,MATCH($A130,August!$A:$A,0)),0)+IFERROR(INDEX(September!$AK:$AK,MATCH($A130,September!$A:$A,0)),0)+IFERROR(INDEX(October!$AL:$AL,MATCH($A130,October!$A:$A,0)),0)+IFERROR(INDEX(November!$AK:$AK,MATCH($A130,November!$A:$A,0)),0)+IFERROR(INDEX(December!$AL:$AL,MATCH($A130,December!$A:$A,0)),0))*0.5</f>
        <v>4.5</v>
      </c>
      <c r="Z130" s="54">
        <f>IFERROR(INDEX(January!$AK:$AK,MATCH($A130,January!$A:$A,0)),0)+IFERROR(INDEX(February!$AH:$AH,MATCH($A130,February!$A:$A,0)),0)+IFERROR(INDEX(March!$AK:$AK,MATCH($A130,March!$A:$A,0)),0)+IFERROR(INDEX(April!$AJ:$AJ,MATCH($A130,April!$A:$A,0)),0)+IFERROR(INDEX(May!$AK:$AK,MATCH($A130,May!$A:$A,0)),0)+IFERROR(INDEX(June!$AJ:$AJ,MATCH($A130,June!$A:$A,0)),0)+IFERROR(INDEX(July!$AK:$AK,MATCH($A130,July!$A:$A,0)),0)+IFERROR(INDEX(August!$AK:$AK,MATCH($A130,August!$A:$A,0)),0)+IFERROR(INDEX(September!$AJ:$AJ,MATCH($A130,September!$A:$A,0)),0)+IFERROR(INDEX(October!$AK:$AK,MATCH($A130,October!$A:$A,0)),0)+IFERROR(INDEX(November!$AJ:$AJ,MATCH($A130,November!$A:$A,0)),0)+IFERROR(INDEX(December!$AK:$AK,MATCH($A130,December!$A:$A,0)),0)</f>
        <v>12</v>
      </c>
      <c r="AA130" s="51">
        <f t="shared" si="27"/>
        <v>16.5</v>
      </c>
      <c r="AB130" s="55"/>
      <c r="AC130" s="56">
        <f t="shared" si="28"/>
        <v>16.5</v>
      </c>
      <c r="AD130" s="57"/>
      <c r="AE130" s="58">
        <f t="shared" si="29"/>
        <v>16.5</v>
      </c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</row>
  </sheetData>
  <mergeCells count="11">
    <mergeCell ref="A98:S98"/>
    <mergeCell ref="A85:S85"/>
    <mergeCell ref="A119:S119"/>
    <mergeCell ref="A22:S22"/>
    <mergeCell ref="A1:S1"/>
    <mergeCell ref="A6:S6"/>
    <mergeCell ref="A77:S77"/>
    <mergeCell ref="A114:S114"/>
    <mergeCell ref="A2:J2"/>
    <mergeCell ref="A92:S92"/>
    <mergeCell ref="A38:S38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8"/>
  <sheetViews>
    <sheetView workbookViewId="0">
      <selection activeCell="B36" sqref="B36"/>
    </sheetView>
  </sheetViews>
  <sheetFormatPr defaultRowHeight="14.5" x14ac:dyDescent="0.35"/>
  <cols>
    <col min="2" max="2" width="28" customWidth="1"/>
    <col min="3" max="3" width="20" customWidth="1"/>
    <col min="4" max="4" width="16" customWidth="1"/>
    <col min="5" max="5" width="55" customWidth="1"/>
    <col min="7" max="7" width="12.08984375" customWidth="1"/>
    <col min="8" max="8" width="22" customWidth="1"/>
  </cols>
  <sheetData>
    <row r="2" spans="2:8" ht="23.5" customHeight="1" x14ac:dyDescent="0.35">
      <c r="B2" s="71" t="s">
        <v>275</v>
      </c>
      <c r="C2" s="65"/>
      <c r="D2" s="65"/>
      <c r="G2" s="30" t="s">
        <v>276</v>
      </c>
    </row>
    <row r="4" spans="2:8" x14ac:dyDescent="0.35">
      <c r="B4" s="12" t="s">
        <v>277</v>
      </c>
      <c r="G4" s="31" t="s">
        <v>278</v>
      </c>
      <c r="H4" s="31" t="s">
        <v>279</v>
      </c>
    </row>
    <row r="5" spans="2:8" x14ac:dyDescent="0.35">
      <c r="G5" s="32">
        <v>45658</v>
      </c>
      <c r="H5" t="s">
        <v>280</v>
      </c>
    </row>
    <row r="6" spans="2:8" x14ac:dyDescent="0.35">
      <c r="B6" s="1" t="s">
        <v>281</v>
      </c>
      <c r="C6" s="13"/>
      <c r="G6" s="32">
        <v>45689</v>
      </c>
      <c r="H6" t="s">
        <v>282</v>
      </c>
    </row>
    <row r="7" spans="2:8" x14ac:dyDescent="0.35">
      <c r="B7" s="1" t="s">
        <v>283</v>
      </c>
      <c r="C7" s="13"/>
      <c r="G7" s="32">
        <v>45754</v>
      </c>
      <c r="H7" t="s">
        <v>284</v>
      </c>
    </row>
    <row r="8" spans="2:8" x14ac:dyDescent="0.35">
      <c r="G8" s="32">
        <v>45765</v>
      </c>
      <c r="H8" t="s">
        <v>285</v>
      </c>
    </row>
    <row r="9" spans="2:8" ht="15.5" customHeight="1" x14ac:dyDescent="0.35">
      <c r="B9" s="14" t="s">
        <v>286</v>
      </c>
      <c r="E9" s="31" t="s">
        <v>287</v>
      </c>
      <c r="G9" s="32">
        <v>45768</v>
      </c>
      <c r="H9" t="s">
        <v>288</v>
      </c>
    </row>
    <row r="10" spans="2:8" x14ac:dyDescent="0.35">
      <c r="B10" t="s">
        <v>289</v>
      </c>
      <c r="D10" s="11" t="str">
        <f>IF(AND(C6&lt;&gt;"",C7&lt;&gt;""),C7-C6-1,"")</f>
        <v/>
      </c>
      <c r="E10" t="str">
        <f>IF(AND(C6&lt;&gt;"",C7&lt;&gt;""),_xludf.TEXTJOIN(", ",TRUE,IF((G5:G28&gt;C6)*(G5:G28&lt;C7),H5:H28,"")),"")</f>
        <v/>
      </c>
      <c r="G10" s="32">
        <v>45778</v>
      </c>
      <c r="H10" t="s">
        <v>290</v>
      </c>
    </row>
    <row r="11" spans="2:8" x14ac:dyDescent="0.35">
      <c r="B11" t="s">
        <v>291</v>
      </c>
      <c r="D11" s="11" t="str">
        <f>IF(AND(C6&lt;&gt;"",C7&lt;&gt;""),NETWORKDAYS(C6+1,C7-1),"")</f>
        <v/>
      </c>
      <c r="G11" s="32">
        <v>45839</v>
      </c>
      <c r="H11" t="s">
        <v>292</v>
      </c>
    </row>
    <row r="12" spans="2:8" x14ac:dyDescent="0.35">
      <c r="B12" t="s">
        <v>293</v>
      </c>
      <c r="D12" s="11" t="str">
        <f>IF(AND(C6&lt;&gt;"",C7&lt;&gt;""),INT((C7-1-DATE(2000,1,1))/7)-INT((C6-DATE(2000,1,1))/7),"")</f>
        <v/>
      </c>
      <c r="G12" s="32">
        <v>45842</v>
      </c>
      <c r="H12" t="s">
        <v>294</v>
      </c>
    </row>
    <row r="13" spans="2:8" x14ac:dyDescent="0.35">
      <c r="B13" t="s">
        <v>295</v>
      </c>
      <c r="D13" s="11" t="str">
        <f>IF(AND(C6&lt;&gt;"",C7&lt;&gt;""),INT((C7-1-DATE(2000,1,2))/7)-INT((C6-DATE(2000,1,2))/7),"")</f>
        <v/>
      </c>
      <c r="G13" s="32">
        <v>45884</v>
      </c>
      <c r="H13" t="s">
        <v>296</v>
      </c>
    </row>
    <row r="14" spans="2:8" x14ac:dyDescent="0.35">
      <c r="B14" t="s">
        <v>297</v>
      </c>
      <c r="D14" t="str">
        <f t="array" ref="D14">IF(AND(C6&lt;&gt;"",C7&lt;&gt;""),SUMPRODUCT((G5:G28&gt;C6)*(G5:G28&lt;C7)),"")</f>
        <v/>
      </c>
      <c r="G14" s="32">
        <v>45962</v>
      </c>
      <c r="H14" t="s">
        <v>298</v>
      </c>
    </row>
    <row r="15" spans="2:8" ht="18.5" customHeight="1" x14ac:dyDescent="0.45">
      <c r="B15" s="72" t="s">
        <v>299</v>
      </c>
      <c r="C15" s="65"/>
      <c r="D15" s="15" t="str">
        <f>IF(AND(C6&lt;&gt;"",C7&lt;&gt;""),D11+(D12*0.5),"")</f>
        <v/>
      </c>
      <c r="G15" s="32">
        <v>46016</v>
      </c>
      <c r="H15" t="s">
        <v>300</v>
      </c>
    </row>
    <row r="16" spans="2:8" x14ac:dyDescent="0.35">
      <c r="G16" s="32">
        <v>46017</v>
      </c>
      <c r="H16" t="s">
        <v>301</v>
      </c>
    </row>
    <row r="17" spans="2:8" x14ac:dyDescent="0.35">
      <c r="B17" s="16" t="s">
        <v>302</v>
      </c>
      <c r="G17" s="32">
        <v>46023</v>
      </c>
      <c r="H17" t="s">
        <v>280</v>
      </c>
    </row>
    <row r="18" spans="2:8" x14ac:dyDescent="0.35">
      <c r="B18" s="16" t="s">
        <v>303</v>
      </c>
      <c r="G18" s="32">
        <v>46054</v>
      </c>
      <c r="H18" t="s">
        <v>282</v>
      </c>
    </row>
    <row r="19" spans="2:8" x14ac:dyDescent="0.35">
      <c r="B19" t="s">
        <v>304</v>
      </c>
      <c r="G19" s="32">
        <v>46115</v>
      </c>
      <c r="H19" t="s">
        <v>285</v>
      </c>
    </row>
    <row r="20" spans="2:8" x14ac:dyDescent="0.35">
      <c r="G20" s="32">
        <v>46118</v>
      </c>
      <c r="H20" t="s">
        <v>288</v>
      </c>
    </row>
    <row r="21" spans="2:8" ht="15.5" customHeight="1" x14ac:dyDescent="0.35">
      <c r="B21" s="14" t="s">
        <v>305</v>
      </c>
      <c r="G21" s="32">
        <v>46119</v>
      </c>
      <c r="H21" t="s">
        <v>284</v>
      </c>
    </row>
    <row r="22" spans="2:8" x14ac:dyDescent="0.35">
      <c r="B22" s="7" t="s">
        <v>306</v>
      </c>
      <c r="C22" s="7" t="s">
        <v>307</v>
      </c>
      <c r="D22" s="7" t="s">
        <v>308</v>
      </c>
      <c r="G22" s="32">
        <v>46143</v>
      </c>
      <c r="H22" t="s">
        <v>290</v>
      </c>
    </row>
    <row r="23" spans="2:8" x14ac:dyDescent="0.35">
      <c r="B23" s="17">
        <v>45963</v>
      </c>
      <c r="C23" s="17">
        <v>45972</v>
      </c>
      <c r="D23" s="10">
        <v>6.5</v>
      </c>
      <c r="G23" s="32">
        <v>46204</v>
      </c>
      <c r="H23" t="s">
        <v>292</v>
      </c>
    </row>
    <row r="24" spans="2:8" x14ac:dyDescent="0.35">
      <c r="B24" s="17">
        <v>45667</v>
      </c>
      <c r="C24" s="17">
        <v>45677</v>
      </c>
      <c r="D24" s="10">
        <v>6</v>
      </c>
      <c r="G24" s="32">
        <v>46207</v>
      </c>
      <c r="H24" t="s">
        <v>294</v>
      </c>
    </row>
    <row r="25" spans="2:8" x14ac:dyDescent="0.35">
      <c r="B25" s="17">
        <v>45839</v>
      </c>
      <c r="C25" s="17">
        <v>45852</v>
      </c>
      <c r="D25" s="10">
        <v>9</v>
      </c>
      <c r="G25" s="32">
        <v>46249</v>
      </c>
      <c r="H25" t="s">
        <v>296</v>
      </c>
    </row>
    <row r="26" spans="2:8" x14ac:dyDescent="0.35">
      <c r="B26" s="17">
        <v>45912</v>
      </c>
      <c r="C26" s="17">
        <v>45936</v>
      </c>
      <c r="D26" s="10">
        <v>17</v>
      </c>
      <c r="G26" s="32">
        <v>46327</v>
      </c>
      <c r="H26" t="s">
        <v>298</v>
      </c>
    </row>
    <row r="27" spans="2:8" x14ac:dyDescent="0.35">
      <c r="G27" s="32">
        <v>46381</v>
      </c>
      <c r="H27" t="s">
        <v>300</v>
      </c>
    </row>
    <row r="28" spans="2:8" x14ac:dyDescent="0.35">
      <c r="G28" s="32">
        <v>46382</v>
      </c>
      <c r="H28" t="s">
        <v>301</v>
      </c>
    </row>
  </sheetData>
  <mergeCells count="2">
    <mergeCell ref="B2:D2"/>
    <mergeCell ref="B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29"/>
  <sheetViews>
    <sheetView workbookViewId="0">
      <pane xSplit="3" ySplit="3" topLeftCell="Z9" activePane="bottomRight" state="frozen"/>
      <selection pane="topRight"/>
      <selection pane="bottomLeft"/>
      <selection pane="bottomRight" activeCell="AL15" sqref="AL15"/>
    </sheetView>
  </sheetViews>
  <sheetFormatPr defaultRowHeight="14.5" x14ac:dyDescent="0.35"/>
  <cols>
    <col min="1" max="1" width="7" customWidth="1"/>
    <col min="2" max="2" width="25.6328125" bestFit="1" customWidth="1"/>
    <col min="3" max="3" width="12" customWidth="1"/>
    <col min="4" max="36" width="5" customWidth="1"/>
    <col min="37" max="37" width="7.7265625" bestFit="1" customWidth="1"/>
    <col min="38" max="38" width="7" customWidth="1"/>
    <col min="39" max="39" width="8" customWidth="1"/>
    <col min="40" max="40" width="9" customWidth="1"/>
    <col min="41" max="41" width="8" bestFit="1" customWidth="1"/>
    <col min="42" max="43" width="9" customWidth="1"/>
  </cols>
  <sheetData>
    <row r="1" spans="1:56" ht="30" customHeight="1" x14ac:dyDescent="0.35">
      <c r="A1" s="78" t="s">
        <v>309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</row>
    <row r="2" spans="1:56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N2" s="38"/>
      <c r="AO2" s="59" t="s">
        <v>311</v>
      </c>
      <c r="AP2" s="60">
        <v>4</v>
      </c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</row>
    <row r="3" spans="1:56" ht="35.15" customHeight="1" x14ac:dyDescent="0.35">
      <c r="A3" s="18" t="s">
        <v>14</v>
      </c>
      <c r="B3" s="18" t="s">
        <v>15</v>
      </c>
      <c r="C3" s="18" t="s">
        <v>312</v>
      </c>
      <c r="D3" s="19" t="s">
        <v>313</v>
      </c>
      <c r="E3" s="19" t="s">
        <v>314</v>
      </c>
      <c r="F3" s="19" t="s">
        <v>315</v>
      </c>
      <c r="G3" s="20" t="s">
        <v>316</v>
      </c>
      <c r="H3" s="21" t="s">
        <v>317</v>
      </c>
      <c r="I3" s="19" t="s">
        <v>318</v>
      </c>
      <c r="J3" s="19" t="s">
        <v>319</v>
      </c>
      <c r="K3" s="19" t="s">
        <v>320</v>
      </c>
      <c r="L3" s="19" t="s">
        <v>321</v>
      </c>
      <c r="M3" s="19" t="s">
        <v>322</v>
      </c>
      <c r="N3" s="20" t="s">
        <v>323</v>
      </c>
      <c r="O3" s="21" t="s">
        <v>324</v>
      </c>
      <c r="P3" s="19" t="s">
        <v>325</v>
      </c>
      <c r="Q3" s="19" t="s">
        <v>326</v>
      </c>
      <c r="R3" s="19" t="s">
        <v>327</v>
      </c>
      <c r="S3" s="19" t="s">
        <v>328</v>
      </c>
      <c r="T3" s="19" t="s">
        <v>329</v>
      </c>
      <c r="U3" s="20" t="s">
        <v>330</v>
      </c>
      <c r="V3" s="21" t="s">
        <v>331</v>
      </c>
      <c r="W3" s="19" t="s">
        <v>332</v>
      </c>
      <c r="X3" s="19" t="s">
        <v>333</v>
      </c>
      <c r="Y3" s="19" t="s">
        <v>334</v>
      </c>
      <c r="Z3" s="19" t="s">
        <v>335</v>
      </c>
      <c r="AA3" s="19" t="s">
        <v>336</v>
      </c>
      <c r="AB3" s="20" t="s">
        <v>337</v>
      </c>
      <c r="AC3" s="21" t="s">
        <v>338</v>
      </c>
      <c r="AD3" s="19" t="s">
        <v>339</v>
      </c>
      <c r="AE3" s="19" t="s">
        <v>340</v>
      </c>
      <c r="AF3" s="19" t="s">
        <v>341</v>
      </c>
      <c r="AG3" s="19" t="s">
        <v>342</v>
      </c>
      <c r="AH3" s="19" t="s">
        <v>343</v>
      </c>
      <c r="AI3" s="7" t="s">
        <v>344</v>
      </c>
      <c r="AJ3" s="7" t="s">
        <v>345</v>
      </c>
      <c r="AK3" s="7" t="s">
        <v>29</v>
      </c>
      <c r="AL3" s="34" t="s">
        <v>346</v>
      </c>
      <c r="AM3" s="34" t="s">
        <v>347</v>
      </c>
      <c r="AN3" s="61" t="s">
        <v>348</v>
      </c>
      <c r="AO3" s="42" t="s">
        <v>349</v>
      </c>
      <c r="AP3" s="43" t="s">
        <v>350</v>
      </c>
      <c r="AQ3" s="40" t="s">
        <v>351</v>
      </c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</row>
    <row r="4" spans="1:56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</row>
    <row r="5" spans="1:56" ht="22" customHeight="1" x14ac:dyDescent="0.35">
      <c r="A5" s="8" t="s">
        <v>43</v>
      </c>
      <c r="B5" s="8" t="s">
        <v>44</v>
      </c>
      <c r="C5" s="8" t="s">
        <v>45</v>
      </c>
      <c r="D5" s="22" t="s">
        <v>5</v>
      </c>
      <c r="E5" s="22" t="s">
        <v>5</v>
      </c>
      <c r="F5" s="22" t="s">
        <v>5</v>
      </c>
      <c r="G5" s="23" t="s">
        <v>7</v>
      </c>
      <c r="H5" s="24" t="s">
        <v>9</v>
      </c>
      <c r="I5" s="22" t="s">
        <v>5</v>
      </c>
      <c r="J5" s="22" t="s">
        <v>5</v>
      </c>
      <c r="K5" s="22" t="s">
        <v>5</v>
      </c>
      <c r="L5" s="22" t="s">
        <v>5</v>
      </c>
      <c r="M5" s="22" t="s">
        <v>5</v>
      </c>
      <c r="N5" s="23" t="s">
        <v>7</v>
      </c>
      <c r="O5" s="24" t="s">
        <v>9</v>
      </c>
      <c r="P5" s="22" t="s">
        <v>5</v>
      </c>
      <c r="Q5" s="22" t="s">
        <v>5</v>
      </c>
      <c r="R5" s="22" t="s">
        <v>5</v>
      </c>
      <c r="S5" s="22" t="s">
        <v>5</v>
      </c>
      <c r="T5" s="22" t="s">
        <v>5</v>
      </c>
      <c r="U5" s="23" t="s">
        <v>7</v>
      </c>
      <c r="V5" s="24" t="s">
        <v>9</v>
      </c>
      <c r="W5" s="22" t="s">
        <v>5</v>
      </c>
      <c r="X5" s="22" t="s">
        <v>5</v>
      </c>
      <c r="Y5" s="22" t="s">
        <v>5</v>
      </c>
      <c r="Z5" s="22" t="s">
        <v>5</v>
      </c>
      <c r="AA5" s="22" t="s">
        <v>5</v>
      </c>
      <c r="AB5" s="23" t="s">
        <v>7</v>
      </c>
      <c r="AC5" s="24" t="s">
        <v>9</v>
      </c>
      <c r="AD5" s="22" t="s">
        <v>5</v>
      </c>
      <c r="AE5" s="22" t="s">
        <v>5</v>
      </c>
      <c r="AF5" s="22" t="s">
        <v>5</v>
      </c>
      <c r="AG5" s="22" t="s">
        <v>5</v>
      </c>
      <c r="AH5" s="22" t="s">
        <v>5</v>
      </c>
      <c r="AI5" s="8">
        <f t="shared" ref="AI5:AI19" si="0">COUNTIF(D5:AH5,"ON")</f>
        <v>0</v>
      </c>
      <c r="AJ5" s="25">
        <f t="shared" ref="AJ5:AJ19" si="1">COUNTIF(D5:AH5,"OFF")</f>
        <v>23</v>
      </c>
      <c r="AK5" s="8">
        <f t="shared" ref="AK5:AK19" si="2">COUNTIF(D5:AH5,"OT")</f>
        <v>0</v>
      </c>
      <c r="AL5" s="62">
        <v>0</v>
      </c>
      <c r="AM5" s="33">
        <f t="shared" ref="AM5:AM19" si="3">AI5+AK5+AL5*0.5</f>
        <v>0</v>
      </c>
      <c r="AN5" s="63">
        <f t="shared" ref="AN5:AN19" si="4">NETWORKDAYS(DATE(2025,1,1),EOMONTH(DATE(2025,1,1),0))*8</f>
        <v>184</v>
      </c>
      <c r="AO5" s="63">
        <f t="shared" ref="AO5:AO19" si="5">MAX(0,COUNTIF(F5,"ON")+COUNTIF(M5,"ON")+COUNTIF(T5,"ON")+COUNTIF(AA5,"ON")+COUNTIF(AH5,"ON")-AL5)</f>
        <v>0</v>
      </c>
      <c r="AP5" s="63">
        <f t="shared" ref="AP5:AP19" si="6">AO5*$AP$2</f>
        <v>0</v>
      </c>
      <c r="AQ5" s="53">
        <f t="shared" ref="AQ5:AQ19" si="7">AM5-AP5/8</f>
        <v>0</v>
      </c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</row>
    <row r="6" spans="1:56" ht="22" customHeight="1" x14ac:dyDescent="0.35">
      <c r="A6" s="8" t="s">
        <v>46</v>
      </c>
      <c r="B6" s="8" t="s">
        <v>47</v>
      </c>
      <c r="C6" s="8" t="s">
        <v>45</v>
      </c>
      <c r="D6" s="22" t="s">
        <v>5</v>
      </c>
      <c r="E6" s="22" t="s">
        <v>5</v>
      </c>
      <c r="F6" s="22" t="s">
        <v>5</v>
      </c>
      <c r="G6" s="23" t="s">
        <v>7</v>
      </c>
      <c r="H6" s="24" t="s">
        <v>9</v>
      </c>
      <c r="I6" s="22" t="s">
        <v>5</v>
      </c>
      <c r="J6" s="26" t="s">
        <v>3</v>
      </c>
      <c r="K6" s="26" t="s">
        <v>3</v>
      </c>
      <c r="L6" s="26" t="s">
        <v>3</v>
      </c>
      <c r="M6" s="26" t="s">
        <v>3</v>
      </c>
      <c r="N6" s="27" t="s">
        <v>7</v>
      </c>
      <c r="O6" s="28" t="s">
        <v>11</v>
      </c>
      <c r="P6" s="26" t="s">
        <v>3</v>
      </c>
      <c r="Q6" s="26" t="s">
        <v>3</v>
      </c>
      <c r="R6" s="26" t="s">
        <v>3</v>
      </c>
      <c r="S6" s="26" t="s">
        <v>3</v>
      </c>
      <c r="T6" s="26" t="s">
        <v>3</v>
      </c>
      <c r="U6" s="23" t="s">
        <v>7</v>
      </c>
      <c r="V6" s="24" t="s">
        <v>9</v>
      </c>
      <c r="W6" s="26" t="s">
        <v>3</v>
      </c>
      <c r="X6" s="26" t="s">
        <v>3</v>
      </c>
      <c r="Y6" s="26" t="s">
        <v>3</v>
      </c>
      <c r="Z6" s="26" t="s">
        <v>3</v>
      </c>
      <c r="AA6" s="26" t="s">
        <v>3</v>
      </c>
      <c r="AB6" s="27" t="s">
        <v>7</v>
      </c>
      <c r="AC6" s="28" t="s">
        <v>11</v>
      </c>
      <c r="AD6" s="26" t="s">
        <v>3</v>
      </c>
      <c r="AE6" s="26" t="s">
        <v>3</v>
      </c>
      <c r="AF6" s="26" t="s">
        <v>3</v>
      </c>
      <c r="AG6" s="26" t="s">
        <v>3</v>
      </c>
      <c r="AH6" s="26" t="s">
        <v>3</v>
      </c>
      <c r="AI6" s="8">
        <f t="shared" si="0"/>
        <v>19</v>
      </c>
      <c r="AJ6" s="8">
        <f t="shared" si="1"/>
        <v>4</v>
      </c>
      <c r="AK6" s="29">
        <f t="shared" si="2"/>
        <v>2</v>
      </c>
      <c r="AL6" s="62">
        <v>2</v>
      </c>
      <c r="AM6" s="33">
        <f t="shared" si="3"/>
        <v>22</v>
      </c>
      <c r="AN6" s="63">
        <f t="shared" si="4"/>
        <v>184</v>
      </c>
      <c r="AO6" s="63">
        <f t="shared" si="5"/>
        <v>2</v>
      </c>
      <c r="AP6" s="63">
        <f t="shared" si="6"/>
        <v>8</v>
      </c>
      <c r="AQ6" s="53">
        <f t="shared" si="7"/>
        <v>21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</row>
    <row r="7" spans="1:56" ht="22" customHeight="1" x14ac:dyDescent="0.35">
      <c r="A7" s="8" t="s">
        <v>48</v>
      </c>
      <c r="B7" s="8" t="s">
        <v>49</v>
      </c>
      <c r="C7" s="8" t="s">
        <v>45</v>
      </c>
      <c r="D7" s="22" t="s">
        <v>5</v>
      </c>
      <c r="E7" s="22" t="s">
        <v>5</v>
      </c>
      <c r="F7" s="22" t="s">
        <v>5</v>
      </c>
      <c r="G7" s="23" t="s">
        <v>7</v>
      </c>
      <c r="H7" s="24" t="s">
        <v>9</v>
      </c>
      <c r="I7" s="22" t="s">
        <v>5</v>
      </c>
      <c r="J7" s="22" t="s">
        <v>5</v>
      </c>
      <c r="K7" s="22" t="s">
        <v>5</v>
      </c>
      <c r="L7" s="22" t="s">
        <v>5</v>
      </c>
      <c r="M7" s="22" t="s">
        <v>5</v>
      </c>
      <c r="N7" s="23" t="s">
        <v>7</v>
      </c>
      <c r="O7" s="24" t="s">
        <v>9</v>
      </c>
      <c r="P7" s="22" t="s">
        <v>5</v>
      </c>
      <c r="Q7" s="22" t="s">
        <v>5</v>
      </c>
      <c r="R7" s="22" t="s">
        <v>5</v>
      </c>
      <c r="S7" s="22" t="s">
        <v>5</v>
      </c>
      <c r="T7" s="22" t="s">
        <v>5</v>
      </c>
      <c r="U7" s="23" t="s">
        <v>7</v>
      </c>
      <c r="V7" s="24" t="s">
        <v>9</v>
      </c>
      <c r="W7" s="26" t="s">
        <v>3</v>
      </c>
      <c r="X7" s="26" t="s">
        <v>3</v>
      </c>
      <c r="Y7" s="26" t="s">
        <v>3</v>
      </c>
      <c r="Z7" s="26" t="s">
        <v>3</v>
      </c>
      <c r="AA7" s="26" t="s">
        <v>3</v>
      </c>
      <c r="AB7" s="27" t="s">
        <v>7</v>
      </c>
      <c r="AC7" s="28" t="s">
        <v>11</v>
      </c>
      <c r="AD7" s="26" t="s">
        <v>3</v>
      </c>
      <c r="AE7" s="26" t="s">
        <v>3</v>
      </c>
      <c r="AF7" s="26" t="s">
        <v>3</v>
      </c>
      <c r="AG7" s="22" t="s">
        <v>5</v>
      </c>
      <c r="AH7" s="22" t="s">
        <v>5</v>
      </c>
      <c r="AI7" s="8">
        <f t="shared" si="0"/>
        <v>8</v>
      </c>
      <c r="AJ7" s="25">
        <f t="shared" si="1"/>
        <v>15</v>
      </c>
      <c r="AK7" s="29">
        <f t="shared" si="2"/>
        <v>1</v>
      </c>
      <c r="AL7" s="62">
        <v>1</v>
      </c>
      <c r="AM7" s="33">
        <f t="shared" si="3"/>
        <v>9.5</v>
      </c>
      <c r="AN7" s="63">
        <f t="shared" si="4"/>
        <v>184</v>
      </c>
      <c r="AO7" s="63">
        <f t="shared" si="5"/>
        <v>0</v>
      </c>
      <c r="AP7" s="63">
        <f t="shared" si="6"/>
        <v>0</v>
      </c>
      <c r="AQ7" s="53">
        <f t="shared" si="7"/>
        <v>9.5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</row>
    <row r="8" spans="1:56" ht="22" customHeight="1" x14ac:dyDescent="0.35">
      <c r="A8" s="8" t="s">
        <v>50</v>
      </c>
      <c r="B8" s="8" t="s">
        <v>51</v>
      </c>
      <c r="C8" s="8" t="s">
        <v>45</v>
      </c>
      <c r="D8" s="22" t="s">
        <v>5</v>
      </c>
      <c r="E8" s="22" t="s">
        <v>5</v>
      </c>
      <c r="F8" s="22" t="s">
        <v>5</v>
      </c>
      <c r="G8" s="23" t="s">
        <v>7</v>
      </c>
      <c r="H8" s="24" t="s">
        <v>9</v>
      </c>
      <c r="I8" s="22" t="s">
        <v>5</v>
      </c>
      <c r="J8" s="26" t="s">
        <v>3</v>
      </c>
      <c r="K8" s="26" t="s">
        <v>3</v>
      </c>
      <c r="L8" s="26" t="s">
        <v>3</v>
      </c>
      <c r="M8" s="26" t="s">
        <v>3</v>
      </c>
      <c r="N8" s="27" t="s">
        <v>7</v>
      </c>
      <c r="O8" s="28" t="s">
        <v>11</v>
      </c>
      <c r="P8" s="26" t="s">
        <v>3</v>
      </c>
      <c r="Q8" s="26" t="s">
        <v>3</v>
      </c>
      <c r="R8" s="26" t="s">
        <v>3</v>
      </c>
      <c r="S8" s="26" t="s">
        <v>3</v>
      </c>
      <c r="T8" s="26" t="s">
        <v>3</v>
      </c>
      <c r="U8" s="23" t="s">
        <v>7</v>
      </c>
      <c r="V8" s="24" t="s">
        <v>9</v>
      </c>
      <c r="W8" s="26" t="s">
        <v>3</v>
      </c>
      <c r="X8" s="26" t="s">
        <v>3</v>
      </c>
      <c r="Y8" s="26" t="s">
        <v>3</v>
      </c>
      <c r="Z8" s="26" t="s">
        <v>3</v>
      </c>
      <c r="AA8" s="26" t="s">
        <v>3</v>
      </c>
      <c r="AB8" s="27" t="s">
        <v>7</v>
      </c>
      <c r="AC8" s="28" t="s">
        <v>11</v>
      </c>
      <c r="AD8" s="22" t="s">
        <v>5</v>
      </c>
      <c r="AE8" s="26" t="s">
        <v>3</v>
      </c>
      <c r="AF8" s="26" t="s">
        <v>3</v>
      </c>
      <c r="AG8" s="26" t="s">
        <v>3</v>
      </c>
      <c r="AH8" s="26" t="s">
        <v>3</v>
      </c>
      <c r="AI8" s="8">
        <f t="shared" si="0"/>
        <v>18</v>
      </c>
      <c r="AJ8" s="8">
        <f t="shared" si="1"/>
        <v>5</v>
      </c>
      <c r="AK8" s="29">
        <f t="shared" si="2"/>
        <v>2</v>
      </c>
      <c r="AL8" s="62">
        <v>2</v>
      </c>
      <c r="AM8" s="33">
        <f t="shared" si="3"/>
        <v>21</v>
      </c>
      <c r="AN8" s="63">
        <f t="shared" si="4"/>
        <v>184</v>
      </c>
      <c r="AO8" s="63">
        <f t="shared" si="5"/>
        <v>2</v>
      </c>
      <c r="AP8" s="63">
        <f t="shared" si="6"/>
        <v>8</v>
      </c>
      <c r="AQ8" s="53">
        <f t="shared" si="7"/>
        <v>20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</row>
    <row r="9" spans="1:56" ht="22" customHeight="1" x14ac:dyDescent="0.35">
      <c r="A9" s="8" t="s">
        <v>52</v>
      </c>
      <c r="B9" s="8" t="s">
        <v>53</v>
      </c>
      <c r="C9" s="8" t="s">
        <v>45</v>
      </c>
      <c r="D9" s="26" t="s">
        <v>3</v>
      </c>
      <c r="E9" s="26" t="s">
        <v>3</v>
      </c>
      <c r="F9" s="26" t="s">
        <v>3</v>
      </c>
      <c r="G9" s="27" t="s">
        <v>7</v>
      </c>
      <c r="H9" s="28" t="s">
        <v>11</v>
      </c>
      <c r="I9" s="26" t="s">
        <v>3</v>
      </c>
      <c r="J9" s="26" t="s">
        <v>3</v>
      </c>
      <c r="K9" s="22" t="s">
        <v>5</v>
      </c>
      <c r="L9" s="22" t="s">
        <v>5</v>
      </c>
      <c r="M9" s="22" t="s">
        <v>5</v>
      </c>
      <c r="N9" s="23" t="s">
        <v>7</v>
      </c>
      <c r="O9" s="24" t="s">
        <v>9</v>
      </c>
      <c r="P9" s="26" t="s">
        <v>3</v>
      </c>
      <c r="Q9" s="26" t="s">
        <v>3</v>
      </c>
      <c r="R9" s="26" t="s">
        <v>3</v>
      </c>
      <c r="S9" s="26" t="s">
        <v>3</v>
      </c>
      <c r="T9" s="26" t="s">
        <v>3</v>
      </c>
      <c r="U9" s="27" t="s">
        <v>7</v>
      </c>
      <c r="V9" s="28" t="s">
        <v>11</v>
      </c>
      <c r="W9" s="26" t="s">
        <v>3</v>
      </c>
      <c r="X9" s="26" t="s">
        <v>3</v>
      </c>
      <c r="Y9" s="26" t="s">
        <v>3</v>
      </c>
      <c r="Z9" s="26" t="s">
        <v>3</v>
      </c>
      <c r="AA9" s="26" t="s">
        <v>3</v>
      </c>
      <c r="AB9" s="23" t="s">
        <v>7</v>
      </c>
      <c r="AC9" s="24" t="s">
        <v>9</v>
      </c>
      <c r="AD9" s="26" t="s">
        <v>3</v>
      </c>
      <c r="AE9" s="26" t="s">
        <v>3</v>
      </c>
      <c r="AF9" s="26" t="s">
        <v>3</v>
      </c>
      <c r="AG9" s="26" t="s">
        <v>3</v>
      </c>
      <c r="AH9" s="26" t="s">
        <v>3</v>
      </c>
      <c r="AI9" s="8">
        <f t="shared" si="0"/>
        <v>20</v>
      </c>
      <c r="AJ9" s="8">
        <f t="shared" si="1"/>
        <v>3</v>
      </c>
      <c r="AK9" s="29">
        <f t="shared" si="2"/>
        <v>2</v>
      </c>
      <c r="AL9" s="62">
        <v>2</v>
      </c>
      <c r="AM9" s="33">
        <f t="shared" si="3"/>
        <v>23</v>
      </c>
      <c r="AN9" s="63">
        <f t="shared" si="4"/>
        <v>184</v>
      </c>
      <c r="AO9" s="63">
        <f t="shared" si="5"/>
        <v>2</v>
      </c>
      <c r="AP9" s="63">
        <f t="shared" si="6"/>
        <v>8</v>
      </c>
      <c r="AQ9" s="53">
        <f t="shared" si="7"/>
        <v>22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</row>
    <row r="10" spans="1:56" ht="22" customHeight="1" x14ac:dyDescent="0.35">
      <c r="A10" s="8" t="s">
        <v>54</v>
      </c>
      <c r="B10" s="8" t="s">
        <v>55</v>
      </c>
      <c r="C10" s="8" t="s">
        <v>45</v>
      </c>
      <c r="D10" s="22" t="s">
        <v>5</v>
      </c>
      <c r="E10" s="22" t="s">
        <v>5</v>
      </c>
      <c r="F10" s="22" t="s">
        <v>5</v>
      </c>
      <c r="G10" s="23" t="s">
        <v>7</v>
      </c>
      <c r="H10" s="24" t="s">
        <v>9</v>
      </c>
      <c r="I10" s="22" t="s">
        <v>5</v>
      </c>
      <c r="J10" s="26" t="s">
        <v>3</v>
      </c>
      <c r="K10" s="26" t="s">
        <v>3</v>
      </c>
      <c r="L10" s="26" t="s">
        <v>3</v>
      </c>
      <c r="M10" s="26" t="s">
        <v>3</v>
      </c>
      <c r="N10" s="27" t="s">
        <v>7</v>
      </c>
      <c r="O10" s="24" t="s">
        <v>9</v>
      </c>
      <c r="P10" s="26" t="s">
        <v>3</v>
      </c>
      <c r="Q10" s="26" t="s">
        <v>3</v>
      </c>
      <c r="R10" s="26" t="s">
        <v>3</v>
      </c>
      <c r="S10" s="26" t="s">
        <v>3</v>
      </c>
      <c r="T10" s="26" t="s">
        <v>3</v>
      </c>
      <c r="U10" s="23" t="s">
        <v>7</v>
      </c>
      <c r="V10" s="24" t="s">
        <v>9</v>
      </c>
      <c r="W10" s="26" t="s">
        <v>3</v>
      </c>
      <c r="X10" s="26" t="s">
        <v>3</v>
      </c>
      <c r="Y10" s="26" t="s">
        <v>3</v>
      </c>
      <c r="Z10" s="26" t="s">
        <v>3</v>
      </c>
      <c r="AA10" s="26" t="s">
        <v>3</v>
      </c>
      <c r="AB10" s="27" t="s">
        <v>7</v>
      </c>
      <c r="AC10" s="24" t="s">
        <v>9</v>
      </c>
      <c r="AD10" s="26" t="s">
        <v>3</v>
      </c>
      <c r="AE10" s="26" t="s">
        <v>3</v>
      </c>
      <c r="AF10" s="26" t="s">
        <v>3</v>
      </c>
      <c r="AG10" s="26" t="s">
        <v>3</v>
      </c>
      <c r="AH10" s="26" t="s">
        <v>3</v>
      </c>
      <c r="AI10" s="8">
        <f t="shared" si="0"/>
        <v>19</v>
      </c>
      <c r="AJ10" s="8">
        <f t="shared" si="1"/>
        <v>4</v>
      </c>
      <c r="AK10" s="8">
        <f t="shared" si="2"/>
        <v>0</v>
      </c>
      <c r="AL10" s="62">
        <v>2</v>
      </c>
      <c r="AM10" s="33">
        <f t="shared" si="3"/>
        <v>20</v>
      </c>
      <c r="AN10" s="63">
        <f t="shared" si="4"/>
        <v>184</v>
      </c>
      <c r="AO10" s="63">
        <f t="shared" si="5"/>
        <v>2</v>
      </c>
      <c r="AP10" s="63">
        <f t="shared" si="6"/>
        <v>8</v>
      </c>
      <c r="AQ10" s="53">
        <f t="shared" si="7"/>
        <v>19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</row>
    <row r="11" spans="1:56" ht="22" customHeight="1" x14ac:dyDescent="0.35">
      <c r="A11" s="8" t="s">
        <v>56</v>
      </c>
      <c r="B11" s="8" t="s">
        <v>57</v>
      </c>
      <c r="C11" s="8" t="s">
        <v>45</v>
      </c>
      <c r="D11" s="26" t="s">
        <v>3</v>
      </c>
      <c r="E11" s="26" t="s">
        <v>3</v>
      </c>
      <c r="F11" s="26" t="s">
        <v>3</v>
      </c>
      <c r="G11" s="27" t="s">
        <v>7</v>
      </c>
      <c r="H11" s="28" t="s">
        <v>11</v>
      </c>
      <c r="I11" s="26" t="s">
        <v>3</v>
      </c>
      <c r="J11" s="26" t="s">
        <v>3</v>
      </c>
      <c r="K11" s="26" t="s">
        <v>3</v>
      </c>
      <c r="L11" s="26" t="s">
        <v>3</v>
      </c>
      <c r="M11" s="26" t="s">
        <v>3</v>
      </c>
      <c r="N11" s="23" t="s">
        <v>7</v>
      </c>
      <c r="O11" s="24" t="s">
        <v>9</v>
      </c>
      <c r="P11" s="26" t="s">
        <v>3</v>
      </c>
      <c r="Q11" s="26" t="s">
        <v>3</v>
      </c>
      <c r="R11" s="26" t="s">
        <v>3</v>
      </c>
      <c r="S11" s="26" t="s">
        <v>3</v>
      </c>
      <c r="T11" s="26" t="s">
        <v>3</v>
      </c>
      <c r="U11" s="27" t="s">
        <v>7</v>
      </c>
      <c r="V11" s="28" t="s">
        <v>11</v>
      </c>
      <c r="W11" s="26" t="s">
        <v>3</v>
      </c>
      <c r="X11" s="26" t="s">
        <v>3</v>
      </c>
      <c r="Y11" s="26" t="s">
        <v>3</v>
      </c>
      <c r="Z11" s="26" t="s">
        <v>3</v>
      </c>
      <c r="AA11" s="26" t="s">
        <v>3</v>
      </c>
      <c r="AB11" s="23" t="s">
        <v>7</v>
      </c>
      <c r="AC11" s="24" t="s">
        <v>9</v>
      </c>
      <c r="AD11" s="26" t="s">
        <v>3</v>
      </c>
      <c r="AE11" s="26" t="s">
        <v>3</v>
      </c>
      <c r="AF11" s="26" t="s">
        <v>3</v>
      </c>
      <c r="AG11" s="26" t="s">
        <v>3</v>
      </c>
      <c r="AH11" s="26" t="s">
        <v>3</v>
      </c>
      <c r="AI11" s="8">
        <f t="shared" si="0"/>
        <v>23</v>
      </c>
      <c r="AJ11" s="8">
        <f t="shared" si="1"/>
        <v>0</v>
      </c>
      <c r="AK11" s="29">
        <f t="shared" si="2"/>
        <v>2</v>
      </c>
      <c r="AL11" s="62">
        <v>2</v>
      </c>
      <c r="AM11" s="33">
        <f t="shared" si="3"/>
        <v>26</v>
      </c>
      <c r="AN11" s="63">
        <f t="shared" si="4"/>
        <v>184</v>
      </c>
      <c r="AO11" s="63">
        <f t="shared" si="5"/>
        <v>3</v>
      </c>
      <c r="AP11" s="63">
        <f t="shared" si="6"/>
        <v>12</v>
      </c>
      <c r="AQ11" s="53">
        <f t="shared" si="7"/>
        <v>24.5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</row>
    <row r="12" spans="1:56" ht="22" customHeight="1" x14ac:dyDescent="0.35">
      <c r="A12" s="8" t="s">
        <v>58</v>
      </c>
      <c r="B12" s="8" t="s">
        <v>59</v>
      </c>
      <c r="C12" s="8" t="s">
        <v>45</v>
      </c>
      <c r="D12" s="26" t="s">
        <v>3</v>
      </c>
      <c r="E12" s="26" t="s">
        <v>3</v>
      </c>
      <c r="F12" s="26" t="s">
        <v>3</v>
      </c>
      <c r="G12" s="27" t="s">
        <v>7</v>
      </c>
      <c r="H12" s="28" t="s">
        <v>11</v>
      </c>
      <c r="I12" s="26" t="s">
        <v>3</v>
      </c>
      <c r="J12" s="26" t="s">
        <v>3</v>
      </c>
      <c r="K12" s="26" t="s">
        <v>3</v>
      </c>
      <c r="L12" s="26" t="s">
        <v>3</v>
      </c>
      <c r="M12" s="26" t="s">
        <v>3</v>
      </c>
      <c r="N12" s="27" t="s">
        <v>7</v>
      </c>
      <c r="O12" s="28" t="s">
        <v>11</v>
      </c>
      <c r="P12" s="26" t="s">
        <v>3</v>
      </c>
      <c r="Q12" s="26" t="s">
        <v>3</v>
      </c>
      <c r="R12" s="26" t="s">
        <v>3</v>
      </c>
      <c r="S12" s="26" t="s">
        <v>3</v>
      </c>
      <c r="T12" s="26" t="s">
        <v>3</v>
      </c>
      <c r="U12" s="27" t="s">
        <v>7</v>
      </c>
      <c r="V12" s="28" t="s">
        <v>11</v>
      </c>
      <c r="W12" s="26" t="s">
        <v>3</v>
      </c>
      <c r="X12" s="26" t="s">
        <v>3</v>
      </c>
      <c r="Y12" s="26" t="s">
        <v>3</v>
      </c>
      <c r="Z12" s="26" t="s">
        <v>3</v>
      </c>
      <c r="AA12" s="26" t="s">
        <v>3</v>
      </c>
      <c r="AB12" s="23" t="s">
        <v>7</v>
      </c>
      <c r="AC12" s="24" t="s">
        <v>9</v>
      </c>
      <c r="AD12" s="26" t="s">
        <v>3</v>
      </c>
      <c r="AE12" s="26" t="s">
        <v>3</v>
      </c>
      <c r="AF12" s="26" t="s">
        <v>3</v>
      </c>
      <c r="AG12" s="26" t="s">
        <v>3</v>
      </c>
      <c r="AH12" s="26" t="s">
        <v>3</v>
      </c>
      <c r="AI12" s="8">
        <f t="shared" si="0"/>
        <v>23</v>
      </c>
      <c r="AJ12" s="8">
        <f t="shared" si="1"/>
        <v>0</v>
      </c>
      <c r="AK12" s="29">
        <f t="shared" si="2"/>
        <v>3</v>
      </c>
      <c r="AL12" s="62">
        <v>3</v>
      </c>
      <c r="AM12" s="33">
        <f t="shared" si="3"/>
        <v>27.5</v>
      </c>
      <c r="AN12" s="63">
        <f t="shared" si="4"/>
        <v>184</v>
      </c>
      <c r="AO12" s="63">
        <f t="shared" si="5"/>
        <v>2</v>
      </c>
      <c r="AP12" s="63">
        <f t="shared" si="6"/>
        <v>8</v>
      </c>
      <c r="AQ12" s="53">
        <f t="shared" si="7"/>
        <v>26.5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</row>
    <row r="13" spans="1:56" ht="22" customHeight="1" x14ac:dyDescent="0.35">
      <c r="A13" s="8" t="s">
        <v>60</v>
      </c>
      <c r="B13" s="8" t="s">
        <v>61</v>
      </c>
      <c r="C13" s="8" t="s">
        <v>45</v>
      </c>
      <c r="D13" s="22" t="s">
        <v>5</v>
      </c>
      <c r="E13" s="22" t="s">
        <v>5</v>
      </c>
      <c r="F13" s="22" t="s">
        <v>5</v>
      </c>
      <c r="G13" s="23" t="s">
        <v>7</v>
      </c>
      <c r="H13" s="24" t="s">
        <v>9</v>
      </c>
      <c r="I13" s="22" t="s">
        <v>5</v>
      </c>
      <c r="J13" s="22" t="s">
        <v>5</v>
      </c>
      <c r="K13" s="22" t="s">
        <v>5</v>
      </c>
      <c r="L13" s="22" t="s">
        <v>5</v>
      </c>
      <c r="M13" s="22" t="s">
        <v>5</v>
      </c>
      <c r="N13" s="23" t="s">
        <v>7</v>
      </c>
      <c r="O13" s="24" t="s">
        <v>9</v>
      </c>
      <c r="P13" s="26" t="s">
        <v>3</v>
      </c>
      <c r="Q13" s="26" t="s">
        <v>3</v>
      </c>
      <c r="R13" s="26" t="s">
        <v>3</v>
      </c>
      <c r="S13" s="26" t="s">
        <v>3</v>
      </c>
      <c r="T13" s="26" t="s">
        <v>3</v>
      </c>
      <c r="U13" s="27" t="s">
        <v>7</v>
      </c>
      <c r="V13" s="28" t="s">
        <v>11</v>
      </c>
      <c r="W13" s="26" t="s">
        <v>3</v>
      </c>
      <c r="X13" s="26" t="s">
        <v>3</v>
      </c>
      <c r="Y13" s="26" t="s">
        <v>3</v>
      </c>
      <c r="Z13" s="26" t="s">
        <v>3</v>
      </c>
      <c r="AA13" s="26" t="s">
        <v>3</v>
      </c>
      <c r="AB13" s="27" t="s">
        <v>7</v>
      </c>
      <c r="AC13" s="28" t="s">
        <v>11</v>
      </c>
      <c r="AD13" s="26" t="s">
        <v>3</v>
      </c>
      <c r="AE13" s="26" t="s">
        <v>3</v>
      </c>
      <c r="AF13" s="26" t="s">
        <v>3</v>
      </c>
      <c r="AG13" s="26" t="s">
        <v>3</v>
      </c>
      <c r="AH13" s="26" t="s">
        <v>3</v>
      </c>
      <c r="AI13" s="8">
        <f t="shared" si="0"/>
        <v>15</v>
      </c>
      <c r="AJ13" s="8">
        <f t="shared" si="1"/>
        <v>8</v>
      </c>
      <c r="AK13" s="29">
        <f t="shared" si="2"/>
        <v>2</v>
      </c>
      <c r="AL13" s="62">
        <v>2</v>
      </c>
      <c r="AM13" s="33">
        <f t="shared" si="3"/>
        <v>18</v>
      </c>
      <c r="AN13" s="63">
        <f t="shared" si="4"/>
        <v>184</v>
      </c>
      <c r="AO13" s="63">
        <f t="shared" si="5"/>
        <v>1</v>
      </c>
      <c r="AP13" s="63">
        <f t="shared" si="6"/>
        <v>4</v>
      </c>
      <c r="AQ13" s="53">
        <f t="shared" si="7"/>
        <v>17.5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</row>
    <row r="14" spans="1:56" ht="22" customHeight="1" x14ac:dyDescent="0.35">
      <c r="A14" s="8" t="s">
        <v>352</v>
      </c>
      <c r="B14" s="8" t="s">
        <v>353</v>
      </c>
      <c r="C14" s="8" t="s">
        <v>45</v>
      </c>
      <c r="D14" s="22" t="s">
        <v>5</v>
      </c>
      <c r="E14" s="22" t="s">
        <v>5</v>
      </c>
      <c r="F14" s="26" t="s">
        <v>3</v>
      </c>
      <c r="G14" s="27" t="s">
        <v>7</v>
      </c>
      <c r="H14" s="28" t="s">
        <v>11</v>
      </c>
      <c r="I14" s="26" t="s">
        <v>3</v>
      </c>
      <c r="J14" s="26" t="s">
        <v>3</v>
      </c>
      <c r="K14" s="26" t="s">
        <v>3</v>
      </c>
      <c r="L14" s="26" t="s">
        <v>3</v>
      </c>
      <c r="M14" s="26" t="s">
        <v>3</v>
      </c>
      <c r="N14" s="23" t="s">
        <v>7</v>
      </c>
      <c r="O14" s="24" t="s">
        <v>9</v>
      </c>
      <c r="P14" s="26" t="s">
        <v>3</v>
      </c>
      <c r="Q14" s="26" t="s">
        <v>3</v>
      </c>
      <c r="R14" s="26" t="s">
        <v>3</v>
      </c>
      <c r="S14" s="26" t="s">
        <v>3</v>
      </c>
      <c r="T14" s="26" t="s">
        <v>3</v>
      </c>
      <c r="U14" s="27" t="s">
        <v>7</v>
      </c>
      <c r="V14" s="28" t="s">
        <v>11</v>
      </c>
      <c r="W14" s="26" t="s">
        <v>3</v>
      </c>
      <c r="X14" s="26" t="s">
        <v>3</v>
      </c>
      <c r="Y14" s="26" t="s">
        <v>3</v>
      </c>
      <c r="Z14" s="26" t="s">
        <v>3</v>
      </c>
      <c r="AA14" s="22" t="s">
        <v>5</v>
      </c>
      <c r="AB14" s="23" t="s">
        <v>7</v>
      </c>
      <c r="AC14" s="24" t="s">
        <v>9</v>
      </c>
      <c r="AD14" s="26" t="s">
        <v>3</v>
      </c>
      <c r="AE14" s="26" t="s">
        <v>3</v>
      </c>
      <c r="AF14" s="26" t="s">
        <v>3</v>
      </c>
      <c r="AG14" s="26" t="s">
        <v>3</v>
      </c>
      <c r="AH14" s="26" t="s">
        <v>3</v>
      </c>
      <c r="AI14" s="8">
        <f t="shared" si="0"/>
        <v>20</v>
      </c>
      <c r="AJ14" s="8">
        <f t="shared" si="1"/>
        <v>3</v>
      </c>
      <c r="AK14" s="29">
        <f t="shared" si="2"/>
        <v>2</v>
      </c>
      <c r="AL14" s="62">
        <v>2</v>
      </c>
      <c r="AM14" s="33">
        <f t="shared" si="3"/>
        <v>23</v>
      </c>
      <c r="AN14" s="63">
        <f t="shared" si="4"/>
        <v>184</v>
      </c>
      <c r="AO14" s="63">
        <f t="shared" si="5"/>
        <v>2</v>
      </c>
      <c r="AP14" s="63">
        <f t="shared" si="6"/>
        <v>8</v>
      </c>
      <c r="AQ14" s="53">
        <f t="shared" si="7"/>
        <v>22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</row>
    <row r="15" spans="1:56" ht="22" customHeight="1" x14ac:dyDescent="0.35">
      <c r="A15" s="8" t="s">
        <v>62</v>
      </c>
      <c r="B15" s="8" t="s">
        <v>63</v>
      </c>
      <c r="C15" s="8" t="s">
        <v>45</v>
      </c>
      <c r="D15" s="26" t="s">
        <v>3</v>
      </c>
      <c r="E15" s="22" t="s">
        <v>5</v>
      </c>
      <c r="F15" s="22" t="s">
        <v>5</v>
      </c>
      <c r="G15" s="23" t="s">
        <v>7</v>
      </c>
      <c r="H15" s="24" t="s">
        <v>9</v>
      </c>
      <c r="I15" s="22" t="s">
        <v>5</v>
      </c>
      <c r="J15" s="22" t="s">
        <v>5</v>
      </c>
      <c r="K15" s="22" t="s">
        <v>5</v>
      </c>
      <c r="L15" s="22" t="s">
        <v>5</v>
      </c>
      <c r="M15" s="22" t="s">
        <v>5</v>
      </c>
      <c r="N15" s="23" t="s">
        <v>7</v>
      </c>
      <c r="O15" s="24" t="s">
        <v>9</v>
      </c>
      <c r="P15" s="22" t="s">
        <v>5</v>
      </c>
      <c r="Q15" s="22" t="s">
        <v>5</v>
      </c>
      <c r="R15" s="22" t="s">
        <v>5</v>
      </c>
      <c r="S15" s="22" t="s">
        <v>5</v>
      </c>
      <c r="T15" s="26" t="s">
        <v>3</v>
      </c>
      <c r="U15" s="23" t="s">
        <v>7</v>
      </c>
      <c r="V15" s="24" t="s">
        <v>9</v>
      </c>
      <c r="W15" s="22" t="s">
        <v>5</v>
      </c>
      <c r="X15" s="26" t="s">
        <v>3</v>
      </c>
      <c r="Y15" s="22" t="s">
        <v>5</v>
      </c>
      <c r="Z15" s="22" t="s">
        <v>5</v>
      </c>
      <c r="AA15" s="22" t="s">
        <v>5</v>
      </c>
      <c r="AB15" s="23" t="s">
        <v>7</v>
      </c>
      <c r="AC15" s="24" t="s">
        <v>9</v>
      </c>
      <c r="AD15" s="22" t="s">
        <v>5</v>
      </c>
      <c r="AE15" s="22" t="s">
        <v>5</v>
      </c>
      <c r="AF15" s="22" t="s">
        <v>5</v>
      </c>
      <c r="AG15" s="22" t="s">
        <v>5</v>
      </c>
      <c r="AH15" s="22" t="s">
        <v>5</v>
      </c>
      <c r="AI15" s="8">
        <f t="shared" si="0"/>
        <v>3</v>
      </c>
      <c r="AJ15" s="25">
        <f t="shared" si="1"/>
        <v>20</v>
      </c>
      <c r="AK15" s="8">
        <f t="shared" si="2"/>
        <v>0</v>
      </c>
      <c r="AL15" s="62">
        <v>0</v>
      </c>
      <c r="AM15" s="33">
        <f t="shared" si="3"/>
        <v>3</v>
      </c>
      <c r="AN15" s="63">
        <f t="shared" si="4"/>
        <v>184</v>
      </c>
      <c r="AO15" s="63">
        <f t="shared" si="5"/>
        <v>1</v>
      </c>
      <c r="AP15" s="63">
        <f t="shared" si="6"/>
        <v>4</v>
      </c>
      <c r="AQ15" s="53">
        <f t="shared" si="7"/>
        <v>2.5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</row>
    <row r="16" spans="1:56" ht="22" customHeight="1" x14ac:dyDescent="0.35">
      <c r="A16" s="8" t="s">
        <v>64</v>
      </c>
      <c r="B16" s="8" t="s">
        <v>63</v>
      </c>
      <c r="C16" s="8" t="s">
        <v>45</v>
      </c>
      <c r="D16" s="22" t="s">
        <v>5</v>
      </c>
      <c r="E16" s="26" t="s">
        <v>3</v>
      </c>
      <c r="F16" s="26" t="s">
        <v>3</v>
      </c>
      <c r="G16" s="27" t="s">
        <v>7</v>
      </c>
      <c r="H16" s="28" t="s">
        <v>11</v>
      </c>
      <c r="I16" s="26" t="s">
        <v>3</v>
      </c>
      <c r="J16" s="26" t="s">
        <v>3</v>
      </c>
      <c r="K16" s="26" t="s">
        <v>3</v>
      </c>
      <c r="L16" s="26" t="s">
        <v>3</v>
      </c>
      <c r="M16" s="26" t="s">
        <v>3</v>
      </c>
      <c r="N16" s="23" t="s">
        <v>7</v>
      </c>
      <c r="O16" s="24" t="s">
        <v>9</v>
      </c>
      <c r="P16" s="26" t="s">
        <v>3</v>
      </c>
      <c r="Q16" s="26" t="s">
        <v>3</v>
      </c>
      <c r="R16" s="26" t="s">
        <v>3</v>
      </c>
      <c r="S16" s="26" t="s">
        <v>3</v>
      </c>
      <c r="T16" s="26" t="s">
        <v>3</v>
      </c>
      <c r="U16" s="27" t="s">
        <v>7</v>
      </c>
      <c r="V16" s="28" t="s">
        <v>11</v>
      </c>
      <c r="W16" s="26" t="s">
        <v>3</v>
      </c>
      <c r="X16" s="26" t="s">
        <v>3</v>
      </c>
      <c r="Y16" s="26" t="s">
        <v>3</v>
      </c>
      <c r="Z16" s="26" t="s">
        <v>3</v>
      </c>
      <c r="AA16" s="26" t="s">
        <v>3</v>
      </c>
      <c r="AB16" s="27" t="s">
        <v>7</v>
      </c>
      <c r="AC16" s="28" t="s">
        <v>11</v>
      </c>
      <c r="AD16" s="26" t="s">
        <v>3</v>
      </c>
      <c r="AE16" s="26" t="s">
        <v>3</v>
      </c>
      <c r="AF16" s="26" t="s">
        <v>3</v>
      </c>
      <c r="AG16" s="26" t="s">
        <v>3</v>
      </c>
      <c r="AH16" s="26" t="s">
        <v>3</v>
      </c>
      <c r="AI16" s="8">
        <f t="shared" si="0"/>
        <v>22</v>
      </c>
      <c r="AJ16" s="8">
        <f t="shared" si="1"/>
        <v>1</v>
      </c>
      <c r="AK16" s="29">
        <f t="shared" si="2"/>
        <v>3</v>
      </c>
      <c r="AL16" s="62">
        <v>3</v>
      </c>
      <c r="AM16" s="33">
        <f t="shared" si="3"/>
        <v>26.5</v>
      </c>
      <c r="AN16" s="63">
        <f t="shared" si="4"/>
        <v>184</v>
      </c>
      <c r="AO16" s="63">
        <f t="shared" si="5"/>
        <v>2</v>
      </c>
      <c r="AP16" s="63">
        <f t="shared" si="6"/>
        <v>8</v>
      </c>
      <c r="AQ16" s="53">
        <f t="shared" si="7"/>
        <v>25.5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</row>
    <row r="17" spans="1:56" ht="22" customHeight="1" x14ac:dyDescent="0.35">
      <c r="A17" s="8" t="s">
        <v>65</v>
      </c>
      <c r="B17" s="8" t="s">
        <v>66</v>
      </c>
      <c r="C17" s="8" t="s">
        <v>45</v>
      </c>
      <c r="D17" s="22" t="s">
        <v>5</v>
      </c>
      <c r="E17" s="22" t="s">
        <v>5</v>
      </c>
      <c r="F17" s="22" t="s">
        <v>5</v>
      </c>
      <c r="G17" s="23" t="s">
        <v>7</v>
      </c>
      <c r="H17" s="24" t="s">
        <v>9</v>
      </c>
      <c r="I17" s="22" t="s">
        <v>5</v>
      </c>
      <c r="J17" s="22" t="s">
        <v>5</v>
      </c>
      <c r="K17" s="22" t="s">
        <v>5</v>
      </c>
      <c r="L17" s="22" t="s">
        <v>5</v>
      </c>
      <c r="M17" s="22" t="s">
        <v>5</v>
      </c>
      <c r="N17" s="23" t="s">
        <v>7</v>
      </c>
      <c r="O17" s="24" t="s">
        <v>9</v>
      </c>
      <c r="P17" s="22" t="s">
        <v>5</v>
      </c>
      <c r="Q17" s="22" t="s">
        <v>5</v>
      </c>
      <c r="R17" s="22" t="s">
        <v>5</v>
      </c>
      <c r="S17" s="22" t="s">
        <v>5</v>
      </c>
      <c r="T17" s="22" t="s">
        <v>5</v>
      </c>
      <c r="U17" s="23" t="s">
        <v>7</v>
      </c>
      <c r="V17" s="24" t="s">
        <v>9</v>
      </c>
      <c r="W17" s="22" t="s">
        <v>5</v>
      </c>
      <c r="X17" s="22" t="s">
        <v>5</v>
      </c>
      <c r="Y17" s="22" t="s">
        <v>5</v>
      </c>
      <c r="Z17" s="22" t="s">
        <v>5</v>
      </c>
      <c r="AA17" s="22" t="s">
        <v>5</v>
      </c>
      <c r="AB17" s="23" t="s">
        <v>7</v>
      </c>
      <c r="AC17" s="24" t="s">
        <v>9</v>
      </c>
      <c r="AD17" s="26" t="s">
        <v>3</v>
      </c>
      <c r="AE17" s="26" t="s">
        <v>3</v>
      </c>
      <c r="AF17" s="26" t="s">
        <v>3</v>
      </c>
      <c r="AG17" s="26" t="s">
        <v>3</v>
      </c>
      <c r="AH17" s="26" t="s">
        <v>3</v>
      </c>
      <c r="AI17" s="8">
        <f t="shared" si="0"/>
        <v>5</v>
      </c>
      <c r="AJ17" s="25">
        <f t="shared" si="1"/>
        <v>18</v>
      </c>
      <c r="AK17" s="8">
        <f t="shared" si="2"/>
        <v>0</v>
      </c>
      <c r="AL17" s="62">
        <v>0</v>
      </c>
      <c r="AM17" s="33">
        <f t="shared" si="3"/>
        <v>5</v>
      </c>
      <c r="AN17" s="63">
        <f t="shared" si="4"/>
        <v>184</v>
      </c>
      <c r="AO17" s="63">
        <f t="shared" si="5"/>
        <v>1</v>
      </c>
      <c r="AP17" s="63">
        <f t="shared" si="6"/>
        <v>4</v>
      </c>
      <c r="AQ17" s="53">
        <f t="shared" si="7"/>
        <v>4.5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</row>
    <row r="18" spans="1:56" ht="22" customHeight="1" x14ac:dyDescent="0.35">
      <c r="A18" s="8" t="s">
        <v>67</v>
      </c>
      <c r="B18" s="8" t="s">
        <v>68</v>
      </c>
      <c r="C18" s="8" t="s">
        <v>45</v>
      </c>
      <c r="D18" s="26" t="s">
        <v>3</v>
      </c>
      <c r="E18" s="26" t="s">
        <v>3</v>
      </c>
      <c r="F18" s="26" t="s">
        <v>3</v>
      </c>
      <c r="G18" s="27" t="s">
        <v>7</v>
      </c>
      <c r="H18" s="28" t="s">
        <v>11</v>
      </c>
      <c r="I18" s="26" t="s">
        <v>3</v>
      </c>
      <c r="J18" s="26" t="s">
        <v>3</v>
      </c>
      <c r="K18" s="26" t="s">
        <v>3</v>
      </c>
      <c r="L18" s="26" t="s">
        <v>3</v>
      </c>
      <c r="M18" s="26" t="s">
        <v>3</v>
      </c>
      <c r="N18" s="27" t="s">
        <v>7</v>
      </c>
      <c r="O18" s="28" t="s">
        <v>11</v>
      </c>
      <c r="P18" s="26" t="s">
        <v>3</v>
      </c>
      <c r="Q18" s="26" t="s">
        <v>3</v>
      </c>
      <c r="R18" s="26" t="s">
        <v>3</v>
      </c>
      <c r="S18" s="26" t="s">
        <v>3</v>
      </c>
      <c r="T18" s="26" t="s">
        <v>3</v>
      </c>
      <c r="U18" s="23" t="s">
        <v>7</v>
      </c>
      <c r="V18" s="24" t="s">
        <v>9</v>
      </c>
      <c r="W18" s="26" t="s">
        <v>3</v>
      </c>
      <c r="X18" s="26" t="s">
        <v>3</v>
      </c>
      <c r="Y18" s="26" t="s">
        <v>3</v>
      </c>
      <c r="Z18" s="26" t="s">
        <v>3</v>
      </c>
      <c r="AA18" s="26" t="s">
        <v>3</v>
      </c>
      <c r="AB18" s="23" t="s">
        <v>7</v>
      </c>
      <c r="AC18" s="24" t="s">
        <v>9</v>
      </c>
      <c r="AD18" s="26" t="s">
        <v>3</v>
      </c>
      <c r="AE18" s="26" t="s">
        <v>3</v>
      </c>
      <c r="AF18" s="26" t="s">
        <v>3</v>
      </c>
      <c r="AG18" s="26" t="s">
        <v>3</v>
      </c>
      <c r="AH18" s="26" t="s">
        <v>3</v>
      </c>
      <c r="AI18" s="8">
        <f t="shared" si="0"/>
        <v>23</v>
      </c>
      <c r="AJ18" s="8">
        <f t="shared" si="1"/>
        <v>0</v>
      </c>
      <c r="AK18" s="29">
        <f t="shared" si="2"/>
        <v>2</v>
      </c>
      <c r="AL18" s="62">
        <v>2</v>
      </c>
      <c r="AM18" s="33">
        <f t="shared" si="3"/>
        <v>26</v>
      </c>
      <c r="AN18" s="63">
        <f t="shared" si="4"/>
        <v>184</v>
      </c>
      <c r="AO18" s="63">
        <f t="shared" si="5"/>
        <v>3</v>
      </c>
      <c r="AP18" s="63">
        <f t="shared" si="6"/>
        <v>12</v>
      </c>
      <c r="AQ18" s="53">
        <f t="shared" si="7"/>
        <v>24.5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</row>
    <row r="19" spans="1:56" ht="22" customHeight="1" x14ac:dyDescent="0.35">
      <c r="A19" s="8" t="s">
        <v>69</v>
      </c>
      <c r="B19" s="8" t="s">
        <v>70</v>
      </c>
      <c r="C19" s="8" t="s">
        <v>45</v>
      </c>
      <c r="D19" s="26" t="s">
        <v>3</v>
      </c>
      <c r="E19" s="26" t="s">
        <v>3</v>
      </c>
      <c r="F19" s="26" t="s">
        <v>3</v>
      </c>
      <c r="G19" s="27" t="s">
        <v>7</v>
      </c>
      <c r="H19" s="24" t="s">
        <v>9</v>
      </c>
      <c r="I19" s="26" t="s">
        <v>3</v>
      </c>
      <c r="J19" s="26" t="s">
        <v>3</v>
      </c>
      <c r="K19" s="26" t="s">
        <v>3</v>
      </c>
      <c r="L19" s="26" t="s">
        <v>3</v>
      </c>
      <c r="M19" s="26" t="s">
        <v>3</v>
      </c>
      <c r="N19" s="27" t="s">
        <v>7</v>
      </c>
      <c r="O19" s="24" t="s">
        <v>9</v>
      </c>
      <c r="P19" s="26" t="s">
        <v>3</v>
      </c>
      <c r="Q19" s="26" t="s">
        <v>3</v>
      </c>
      <c r="R19" s="26" t="s">
        <v>3</v>
      </c>
      <c r="S19" s="26" t="s">
        <v>3</v>
      </c>
      <c r="T19" s="26" t="s">
        <v>3</v>
      </c>
      <c r="U19" s="27" t="s">
        <v>7</v>
      </c>
      <c r="V19" s="24" t="s">
        <v>9</v>
      </c>
      <c r="W19" s="26" t="s">
        <v>3</v>
      </c>
      <c r="X19" s="26" t="s">
        <v>3</v>
      </c>
      <c r="Y19" s="26" t="s">
        <v>3</v>
      </c>
      <c r="Z19" s="26" t="s">
        <v>3</v>
      </c>
      <c r="AA19" s="26" t="s">
        <v>3</v>
      </c>
      <c r="AB19" s="27" t="s">
        <v>7</v>
      </c>
      <c r="AC19" s="24" t="s">
        <v>9</v>
      </c>
      <c r="AD19" s="26" t="s">
        <v>3</v>
      </c>
      <c r="AE19" s="26" t="s">
        <v>3</v>
      </c>
      <c r="AF19" s="26" t="s">
        <v>3</v>
      </c>
      <c r="AG19" s="26" t="s">
        <v>3</v>
      </c>
      <c r="AH19" s="26" t="s">
        <v>3</v>
      </c>
      <c r="AI19" s="8">
        <f t="shared" si="0"/>
        <v>23</v>
      </c>
      <c r="AJ19" s="8">
        <f t="shared" si="1"/>
        <v>0</v>
      </c>
      <c r="AK19" s="8">
        <f t="shared" si="2"/>
        <v>0</v>
      </c>
      <c r="AL19" s="62">
        <v>4</v>
      </c>
      <c r="AM19" s="33">
        <f t="shared" si="3"/>
        <v>25</v>
      </c>
      <c r="AN19" s="63">
        <f t="shared" si="4"/>
        <v>184</v>
      </c>
      <c r="AO19" s="63">
        <f t="shared" si="5"/>
        <v>1</v>
      </c>
      <c r="AP19" s="63">
        <f t="shared" si="6"/>
        <v>4</v>
      </c>
      <c r="AQ19" s="53">
        <f t="shared" si="7"/>
        <v>24.5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</row>
    <row r="20" spans="1:56" x14ac:dyDescent="0.35"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</row>
    <row r="21" spans="1:56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</row>
    <row r="22" spans="1:56" ht="22" customHeight="1" x14ac:dyDescent="0.35">
      <c r="A22" s="8" t="s">
        <v>72</v>
      </c>
      <c r="B22" s="8" t="s">
        <v>73</v>
      </c>
      <c r="C22" s="8" t="s">
        <v>74</v>
      </c>
      <c r="D22" s="22" t="s">
        <v>5</v>
      </c>
      <c r="E22" s="22" t="s">
        <v>5</v>
      </c>
      <c r="F22" s="22" t="s">
        <v>5</v>
      </c>
      <c r="G22" s="23" t="s">
        <v>7</v>
      </c>
      <c r="H22" s="24" t="s">
        <v>9</v>
      </c>
      <c r="I22" s="22" t="s">
        <v>5</v>
      </c>
      <c r="J22" s="22" t="s">
        <v>5</v>
      </c>
      <c r="K22" s="22" t="s">
        <v>5</v>
      </c>
      <c r="L22" s="22" t="s">
        <v>5</v>
      </c>
      <c r="M22" s="22" t="s">
        <v>5</v>
      </c>
      <c r="N22" s="23" t="s">
        <v>7</v>
      </c>
      <c r="O22" s="24" t="s">
        <v>9</v>
      </c>
      <c r="P22" s="22" t="s">
        <v>5</v>
      </c>
      <c r="Q22" s="26" t="s">
        <v>3</v>
      </c>
      <c r="R22" s="26" t="s">
        <v>3</v>
      </c>
      <c r="S22" s="26" t="s">
        <v>3</v>
      </c>
      <c r="T22" s="26" t="s">
        <v>3</v>
      </c>
      <c r="U22" s="27" t="s">
        <v>7</v>
      </c>
      <c r="V22" s="28" t="s">
        <v>11</v>
      </c>
      <c r="W22" s="26" t="s">
        <v>3</v>
      </c>
      <c r="X22" s="26" t="s">
        <v>3</v>
      </c>
      <c r="Y22" s="26" t="s">
        <v>3</v>
      </c>
      <c r="Z22" s="26" t="s">
        <v>3</v>
      </c>
      <c r="AA22" s="26" t="s">
        <v>3</v>
      </c>
      <c r="AB22" s="23" t="s">
        <v>7</v>
      </c>
      <c r="AC22" s="24" t="s">
        <v>9</v>
      </c>
      <c r="AD22" s="26" t="s">
        <v>3</v>
      </c>
      <c r="AE22" s="26" t="s">
        <v>3</v>
      </c>
      <c r="AF22" s="26" t="s">
        <v>3</v>
      </c>
      <c r="AG22" s="26" t="s">
        <v>3</v>
      </c>
      <c r="AH22" s="26" t="s">
        <v>3</v>
      </c>
      <c r="AI22" s="8">
        <f t="shared" ref="AI22:AI35" si="8">COUNTIF(D22:AH22,"ON")</f>
        <v>14</v>
      </c>
      <c r="AJ22" s="8">
        <f t="shared" ref="AJ22:AJ35" si="9">COUNTIF(D22:AH22,"OFF")</f>
        <v>9</v>
      </c>
      <c r="AK22" s="29">
        <f t="shared" ref="AK22:AK35" si="10">COUNTIF(D22:AH22,"OT")</f>
        <v>1</v>
      </c>
      <c r="AL22" s="62">
        <v>1</v>
      </c>
      <c r="AM22" s="33">
        <f t="shared" ref="AM22:AM35" si="11">AI22+AK22+AL22*0.5</f>
        <v>15.5</v>
      </c>
      <c r="AN22" s="63">
        <f t="shared" ref="AN22:AN35" si="12">NETWORKDAYS(DATE(2025,1,1),EOMONTH(DATE(2025,1,1),0))*8</f>
        <v>184</v>
      </c>
      <c r="AO22" s="63">
        <f t="shared" ref="AO22:AO35" si="13">MAX(0,COUNTIF(F22,"ON")+COUNTIF(M22,"ON")+COUNTIF(T22,"ON")+COUNTIF(AA22,"ON")+COUNTIF(AH22,"ON")-AL22)</f>
        <v>2</v>
      </c>
      <c r="AP22" s="63">
        <f t="shared" ref="AP22:AP35" si="14">AO22*$AP$2</f>
        <v>8</v>
      </c>
      <c r="AQ22" s="53">
        <f t="shared" ref="AQ22:AQ35" si="15">AM22-AP22/8</f>
        <v>14.5</v>
      </c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</row>
    <row r="23" spans="1:56" ht="22" customHeight="1" x14ac:dyDescent="0.35">
      <c r="A23" s="8" t="s">
        <v>75</v>
      </c>
      <c r="B23" s="8" t="s">
        <v>76</v>
      </c>
      <c r="C23" s="8" t="s">
        <v>74</v>
      </c>
      <c r="D23" s="22" t="s">
        <v>5</v>
      </c>
      <c r="E23" s="26" t="s">
        <v>3</v>
      </c>
      <c r="F23" s="26" t="s">
        <v>3</v>
      </c>
      <c r="G23" s="27" t="s">
        <v>7</v>
      </c>
      <c r="H23" s="28" t="s">
        <v>11</v>
      </c>
      <c r="I23" s="26" t="s">
        <v>3</v>
      </c>
      <c r="J23" s="26" t="s">
        <v>3</v>
      </c>
      <c r="K23" s="26" t="s">
        <v>3</v>
      </c>
      <c r="L23" s="26" t="s">
        <v>3</v>
      </c>
      <c r="M23" s="26" t="s">
        <v>3</v>
      </c>
      <c r="N23" s="27" t="s">
        <v>7</v>
      </c>
      <c r="O23" s="28" t="s">
        <v>11</v>
      </c>
      <c r="P23" s="26" t="s">
        <v>3</v>
      </c>
      <c r="Q23" s="26" t="s">
        <v>3</v>
      </c>
      <c r="R23" s="26" t="s">
        <v>3</v>
      </c>
      <c r="S23" s="26" t="s">
        <v>3</v>
      </c>
      <c r="T23" s="26" t="s">
        <v>3</v>
      </c>
      <c r="U23" s="27" t="s">
        <v>7</v>
      </c>
      <c r="V23" s="24" t="s">
        <v>9</v>
      </c>
      <c r="W23" s="26" t="s">
        <v>3</v>
      </c>
      <c r="X23" s="26" t="s">
        <v>3</v>
      </c>
      <c r="Y23" s="26" t="s">
        <v>3</v>
      </c>
      <c r="Z23" s="26" t="s">
        <v>3</v>
      </c>
      <c r="AA23" s="26" t="s">
        <v>3</v>
      </c>
      <c r="AB23" s="23" t="s">
        <v>7</v>
      </c>
      <c r="AC23" s="24" t="s">
        <v>9</v>
      </c>
      <c r="AD23" s="26" t="s">
        <v>3</v>
      </c>
      <c r="AE23" s="26" t="s">
        <v>3</v>
      </c>
      <c r="AF23" s="26" t="s">
        <v>3</v>
      </c>
      <c r="AG23" s="26" t="s">
        <v>3</v>
      </c>
      <c r="AH23" s="26" t="s">
        <v>3</v>
      </c>
      <c r="AI23" s="8">
        <f t="shared" si="8"/>
        <v>22</v>
      </c>
      <c r="AJ23" s="8">
        <f t="shared" si="9"/>
        <v>1</v>
      </c>
      <c r="AK23" s="29">
        <f t="shared" si="10"/>
        <v>2</v>
      </c>
      <c r="AL23" s="62">
        <v>3</v>
      </c>
      <c r="AM23" s="33">
        <f t="shared" si="11"/>
        <v>25.5</v>
      </c>
      <c r="AN23" s="63">
        <f t="shared" si="12"/>
        <v>184</v>
      </c>
      <c r="AO23" s="63">
        <f t="shared" si="13"/>
        <v>2</v>
      </c>
      <c r="AP23" s="63">
        <f t="shared" si="14"/>
        <v>8</v>
      </c>
      <c r="AQ23" s="53">
        <f t="shared" si="15"/>
        <v>24.5</v>
      </c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</row>
    <row r="24" spans="1:56" ht="22" customHeight="1" x14ac:dyDescent="0.35">
      <c r="A24" s="8" t="s">
        <v>77</v>
      </c>
      <c r="B24" s="8" t="s">
        <v>78</v>
      </c>
      <c r="C24" s="8" t="s">
        <v>74</v>
      </c>
      <c r="D24" s="22" t="s">
        <v>5</v>
      </c>
      <c r="E24" s="26" t="s">
        <v>3</v>
      </c>
      <c r="F24" s="26" t="s">
        <v>3</v>
      </c>
      <c r="G24" s="27" t="s">
        <v>7</v>
      </c>
      <c r="H24" s="24" t="s">
        <v>9</v>
      </c>
      <c r="I24" s="26" t="s">
        <v>3</v>
      </c>
      <c r="J24" s="26" t="s">
        <v>3</v>
      </c>
      <c r="K24" s="26" t="s">
        <v>3</v>
      </c>
      <c r="L24" s="26" t="s">
        <v>3</v>
      </c>
      <c r="M24" s="26" t="s">
        <v>3</v>
      </c>
      <c r="N24" s="23" t="s">
        <v>7</v>
      </c>
      <c r="O24" s="24" t="s">
        <v>9</v>
      </c>
      <c r="P24" s="22" t="s">
        <v>5</v>
      </c>
      <c r="Q24" s="26" t="s">
        <v>3</v>
      </c>
      <c r="R24" s="26" t="s">
        <v>3</v>
      </c>
      <c r="S24" s="26" t="s">
        <v>3</v>
      </c>
      <c r="T24" s="26" t="s">
        <v>3</v>
      </c>
      <c r="U24" s="27" t="s">
        <v>7</v>
      </c>
      <c r="V24" s="28" t="s">
        <v>11</v>
      </c>
      <c r="W24" s="26" t="s">
        <v>3</v>
      </c>
      <c r="X24" s="26" t="s">
        <v>3</v>
      </c>
      <c r="Y24" s="26" t="s">
        <v>3</v>
      </c>
      <c r="Z24" s="26" t="s">
        <v>3</v>
      </c>
      <c r="AA24" s="26" t="s">
        <v>3</v>
      </c>
      <c r="AB24" s="27" t="s">
        <v>7</v>
      </c>
      <c r="AC24" s="28" t="s">
        <v>11</v>
      </c>
      <c r="AD24" s="26" t="s">
        <v>3</v>
      </c>
      <c r="AE24" s="26" t="s">
        <v>3</v>
      </c>
      <c r="AF24" s="26" t="s">
        <v>3</v>
      </c>
      <c r="AG24" s="26" t="s">
        <v>3</v>
      </c>
      <c r="AH24" s="26" t="s">
        <v>3</v>
      </c>
      <c r="AI24" s="8">
        <f t="shared" si="8"/>
        <v>21</v>
      </c>
      <c r="AJ24" s="8">
        <f t="shared" si="9"/>
        <v>2</v>
      </c>
      <c r="AK24" s="29">
        <f t="shared" si="10"/>
        <v>2</v>
      </c>
      <c r="AL24" s="62">
        <v>3</v>
      </c>
      <c r="AM24" s="33">
        <f t="shared" si="11"/>
        <v>24.5</v>
      </c>
      <c r="AN24" s="63">
        <f t="shared" si="12"/>
        <v>184</v>
      </c>
      <c r="AO24" s="63">
        <f t="shared" si="13"/>
        <v>2</v>
      </c>
      <c r="AP24" s="63">
        <f t="shared" si="14"/>
        <v>8</v>
      </c>
      <c r="AQ24" s="53">
        <f t="shared" si="15"/>
        <v>23.5</v>
      </c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</row>
    <row r="25" spans="1:56" ht="22" customHeight="1" x14ac:dyDescent="0.35">
      <c r="A25" s="8" t="s">
        <v>79</v>
      </c>
      <c r="B25" s="8" t="s">
        <v>80</v>
      </c>
      <c r="C25" s="8" t="s">
        <v>74</v>
      </c>
      <c r="D25" s="26" t="s">
        <v>3</v>
      </c>
      <c r="E25" s="26" t="s">
        <v>3</v>
      </c>
      <c r="F25" s="26" t="s">
        <v>3</v>
      </c>
      <c r="G25" s="27" t="s">
        <v>7</v>
      </c>
      <c r="H25" s="28" t="s">
        <v>11</v>
      </c>
      <c r="I25" s="26" t="s">
        <v>3</v>
      </c>
      <c r="J25" s="26" t="s">
        <v>3</v>
      </c>
      <c r="K25" s="26" t="s">
        <v>3</v>
      </c>
      <c r="L25" s="26" t="s">
        <v>3</v>
      </c>
      <c r="M25" s="26" t="s">
        <v>3</v>
      </c>
      <c r="N25" s="27" t="s">
        <v>7</v>
      </c>
      <c r="O25" s="28" t="s">
        <v>11</v>
      </c>
      <c r="P25" s="26" t="s">
        <v>3</v>
      </c>
      <c r="Q25" s="26" t="s">
        <v>3</v>
      </c>
      <c r="R25" s="26" t="s">
        <v>3</v>
      </c>
      <c r="S25" s="26" t="s">
        <v>3</v>
      </c>
      <c r="T25" s="26" t="s">
        <v>3</v>
      </c>
      <c r="U25" s="23" t="s">
        <v>7</v>
      </c>
      <c r="V25" s="24" t="s">
        <v>9</v>
      </c>
      <c r="W25" s="26" t="s">
        <v>3</v>
      </c>
      <c r="X25" s="26" t="s">
        <v>3</v>
      </c>
      <c r="Y25" s="26" t="s">
        <v>3</v>
      </c>
      <c r="Z25" s="26" t="s">
        <v>3</v>
      </c>
      <c r="AA25" s="26" t="s">
        <v>3</v>
      </c>
      <c r="AB25" s="23" t="s">
        <v>7</v>
      </c>
      <c r="AC25" s="24" t="s">
        <v>9</v>
      </c>
      <c r="AD25" s="26" t="s">
        <v>3</v>
      </c>
      <c r="AE25" s="26" t="s">
        <v>3</v>
      </c>
      <c r="AF25" s="26" t="s">
        <v>3</v>
      </c>
      <c r="AG25" s="26" t="s">
        <v>3</v>
      </c>
      <c r="AH25" s="26" t="s">
        <v>3</v>
      </c>
      <c r="AI25" s="8">
        <f t="shared" si="8"/>
        <v>23</v>
      </c>
      <c r="AJ25" s="8">
        <f t="shared" si="9"/>
        <v>0</v>
      </c>
      <c r="AK25" s="29">
        <f t="shared" si="10"/>
        <v>2</v>
      </c>
      <c r="AL25" s="62">
        <v>2</v>
      </c>
      <c r="AM25" s="33">
        <f t="shared" si="11"/>
        <v>26</v>
      </c>
      <c r="AN25" s="63">
        <f t="shared" si="12"/>
        <v>184</v>
      </c>
      <c r="AO25" s="63">
        <f t="shared" si="13"/>
        <v>3</v>
      </c>
      <c r="AP25" s="63">
        <f t="shared" si="14"/>
        <v>12</v>
      </c>
      <c r="AQ25" s="53">
        <f t="shared" si="15"/>
        <v>24.5</v>
      </c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</row>
    <row r="26" spans="1:56" ht="22" customHeight="1" x14ac:dyDescent="0.35">
      <c r="A26" s="8" t="s">
        <v>81</v>
      </c>
      <c r="B26" s="8" t="s">
        <v>82</v>
      </c>
      <c r="C26" s="8" t="s">
        <v>74</v>
      </c>
      <c r="D26" s="22" t="s">
        <v>5</v>
      </c>
      <c r="E26" s="22" t="s">
        <v>5</v>
      </c>
      <c r="F26" s="22" t="s">
        <v>5</v>
      </c>
      <c r="G26" s="23" t="s">
        <v>7</v>
      </c>
      <c r="H26" s="24" t="s">
        <v>9</v>
      </c>
      <c r="I26" s="22" t="s">
        <v>5</v>
      </c>
      <c r="J26" s="22" t="s">
        <v>5</v>
      </c>
      <c r="K26" s="22" t="s">
        <v>5</v>
      </c>
      <c r="L26" s="22" t="s">
        <v>5</v>
      </c>
      <c r="M26" s="22" t="s">
        <v>5</v>
      </c>
      <c r="N26" s="23" t="s">
        <v>7</v>
      </c>
      <c r="O26" s="24" t="s">
        <v>9</v>
      </c>
      <c r="P26" s="26" t="s">
        <v>3</v>
      </c>
      <c r="Q26" s="26" t="s">
        <v>3</v>
      </c>
      <c r="R26" s="26" t="s">
        <v>3</v>
      </c>
      <c r="S26" s="26" t="s">
        <v>3</v>
      </c>
      <c r="T26" s="26" t="s">
        <v>3</v>
      </c>
      <c r="U26" s="23" t="s">
        <v>7</v>
      </c>
      <c r="V26" s="24" t="s">
        <v>9</v>
      </c>
      <c r="W26" s="26" t="s">
        <v>3</v>
      </c>
      <c r="X26" s="26" t="s">
        <v>3</v>
      </c>
      <c r="Y26" s="26" t="s">
        <v>3</v>
      </c>
      <c r="Z26" s="26" t="s">
        <v>3</v>
      </c>
      <c r="AA26" s="26" t="s">
        <v>3</v>
      </c>
      <c r="AB26" s="23" t="s">
        <v>7</v>
      </c>
      <c r="AC26" s="24" t="s">
        <v>9</v>
      </c>
      <c r="AD26" s="26" t="s">
        <v>3</v>
      </c>
      <c r="AE26" s="26" t="s">
        <v>3</v>
      </c>
      <c r="AF26" s="26" t="s">
        <v>3</v>
      </c>
      <c r="AG26" s="26" t="s">
        <v>3</v>
      </c>
      <c r="AH26" s="26" t="s">
        <v>3</v>
      </c>
      <c r="AI26" s="8">
        <f t="shared" si="8"/>
        <v>15</v>
      </c>
      <c r="AJ26" s="8">
        <f t="shared" si="9"/>
        <v>8</v>
      </c>
      <c r="AK26" s="8">
        <f t="shared" si="10"/>
        <v>0</v>
      </c>
      <c r="AL26" s="62">
        <v>0</v>
      </c>
      <c r="AM26" s="33">
        <f t="shared" si="11"/>
        <v>15</v>
      </c>
      <c r="AN26" s="63">
        <f t="shared" si="12"/>
        <v>184</v>
      </c>
      <c r="AO26" s="63">
        <f t="shared" si="13"/>
        <v>3</v>
      </c>
      <c r="AP26" s="63">
        <f t="shared" si="14"/>
        <v>12</v>
      </c>
      <c r="AQ26" s="53">
        <f t="shared" si="15"/>
        <v>13.5</v>
      </c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</row>
    <row r="27" spans="1:56" ht="22" customHeight="1" x14ac:dyDescent="0.35">
      <c r="A27" s="8" t="s">
        <v>83</v>
      </c>
      <c r="B27" s="8" t="s">
        <v>84</v>
      </c>
      <c r="C27" s="8" t="s">
        <v>74</v>
      </c>
      <c r="D27" s="22" t="s">
        <v>5</v>
      </c>
      <c r="E27" s="22" t="s">
        <v>5</v>
      </c>
      <c r="F27" s="22" t="s">
        <v>5</v>
      </c>
      <c r="G27" s="23" t="s">
        <v>7</v>
      </c>
      <c r="H27" s="24" t="s">
        <v>9</v>
      </c>
      <c r="I27" s="22" t="s">
        <v>5</v>
      </c>
      <c r="J27" s="22" t="s">
        <v>5</v>
      </c>
      <c r="K27" s="22" t="s">
        <v>5</v>
      </c>
      <c r="L27" s="22" t="s">
        <v>5</v>
      </c>
      <c r="M27" s="22" t="s">
        <v>5</v>
      </c>
      <c r="N27" s="23" t="s">
        <v>7</v>
      </c>
      <c r="O27" s="24" t="s">
        <v>9</v>
      </c>
      <c r="P27" s="22" t="s">
        <v>5</v>
      </c>
      <c r="Q27" s="22" t="s">
        <v>5</v>
      </c>
      <c r="R27" s="22" t="s">
        <v>5</v>
      </c>
      <c r="S27" s="22" t="s">
        <v>5</v>
      </c>
      <c r="T27" s="22" t="s">
        <v>5</v>
      </c>
      <c r="U27" s="23" t="s">
        <v>7</v>
      </c>
      <c r="V27" s="24" t="s">
        <v>9</v>
      </c>
      <c r="W27" s="26" t="s">
        <v>3</v>
      </c>
      <c r="X27" s="26" t="s">
        <v>3</v>
      </c>
      <c r="Y27" s="26" t="s">
        <v>3</v>
      </c>
      <c r="Z27" s="26" t="s">
        <v>3</v>
      </c>
      <c r="AA27" s="26" t="s">
        <v>3</v>
      </c>
      <c r="AB27" s="27" t="s">
        <v>7</v>
      </c>
      <c r="AC27" s="28" t="s">
        <v>11</v>
      </c>
      <c r="AD27" s="26" t="s">
        <v>3</v>
      </c>
      <c r="AE27" s="26" t="s">
        <v>3</v>
      </c>
      <c r="AF27" s="26" t="s">
        <v>3</v>
      </c>
      <c r="AG27" s="26" t="s">
        <v>3</v>
      </c>
      <c r="AH27" s="26" t="s">
        <v>3</v>
      </c>
      <c r="AI27" s="8">
        <f t="shared" si="8"/>
        <v>10</v>
      </c>
      <c r="AJ27" s="25">
        <f t="shared" si="9"/>
        <v>13</v>
      </c>
      <c r="AK27" s="29">
        <f t="shared" si="10"/>
        <v>1</v>
      </c>
      <c r="AL27" s="62">
        <v>1</v>
      </c>
      <c r="AM27" s="33">
        <f t="shared" si="11"/>
        <v>11.5</v>
      </c>
      <c r="AN27" s="63">
        <f t="shared" si="12"/>
        <v>184</v>
      </c>
      <c r="AO27" s="63">
        <f t="shared" si="13"/>
        <v>1</v>
      </c>
      <c r="AP27" s="63">
        <f t="shared" si="14"/>
        <v>4</v>
      </c>
      <c r="AQ27" s="53">
        <f t="shared" si="15"/>
        <v>11</v>
      </c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</row>
    <row r="28" spans="1:56" ht="22" customHeight="1" x14ac:dyDescent="0.35">
      <c r="A28" s="8" t="s">
        <v>85</v>
      </c>
      <c r="B28" s="8" t="s">
        <v>86</v>
      </c>
      <c r="C28" s="8" t="s">
        <v>74</v>
      </c>
      <c r="D28" s="26" t="s">
        <v>3</v>
      </c>
      <c r="E28" s="26" t="s">
        <v>3</v>
      </c>
      <c r="F28" s="26" t="s">
        <v>3</v>
      </c>
      <c r="G28" s="27" t="s">
        <v>7</v>
      </c>
      <c r="H28" s="28" t="s">
        <v>11</v>
      </c>
      <c r="I28" s="26" t="s">
        <v>3</v>
      </c>
      <c r="J28" s="26" t="s">
        <v>3</v>
      </c>
      <c r="K28" s="26" t="s">
        <v>3</v>
      </c>
      <c r="L28" s="26" t="s">
        <v>3</v>
      </c>
      <c r="M28" s="26" t="s">
        <v>3</v>
      </c>
      <c r="N28" s="27" t="s">
        <v>7</v>
      </c>
      <c r="O28" s="28" t="s">
        <v>11</v>
      </c>
      <c r="P28" s="26" t="s">
        <v>3</v>
      </c>
      <c r="Q28" s="26" t="s">
        <v>3</v>
      </c>
      <c r="R28" s="26" t="s">
        <v>3</v>
      </c>
      <c r="S28" s="26" t="s">
        <v>3</v>
      </c>
      <c r="T28" s="26" t="s">
        <v>3</v>
      </c>
      <c r="U28" s="27" t="s">
        <v>7</v>
      </c>
      <c r="V28" s="28" t="s">
        <v>11</v>
      </c>
      <c r="W28" s="26" t="s">
        <v>3</v>
      </c>
      <c r="X28" s="26" t="s">
        <v>3</v>
      </c>
      <c r="Y28" s="26" t="s">
        <v>3</v>
      </c>
      <c r="Z28" s="26" t="s">
        <v>3</v>
      </c>
      <c r="AA28" s="26" t="s">
        <v>3</v>
      </c>
      <c r="AB28" s="27" t="s">
        <v>7</v>
      </c>
      <c r="AC28" s="28" t="s">
        <v>11</v>
      </c>
      <c r="AD28" s="26" t="s">
        <v>3</v>
      </c>
      <c r="AE28" s="26" t="s">
        <v>3</v>
      </c>
      <c r="AF28" s="26" t="s">
        <v>3</v>
      </c>
      <c r="AG28" s="26" t="s">
        <v>3</v>
      </c>
      <c r="AH28" s="26" t="s">
        <v>3</v>
      </c>
      <c r="AI28" s="8">
        <f t="shared" si="8"/>
        <v>23</v>
      </c>
      <c r="AJ28" s="8">
        <f t="shared" si="9"/>
        <v>0</v>
      </c>
      <c r="AK28" s="29">
        <f t="shared" si="10"/>
        <v>4</v>
      </c>
      <c r="AL28" s="62">
        <v>4</v>
      </c>
      <c r="AM28" s="33">
        <f t="shared" si="11"/>
        <v>29</v>
      </c>
      <c r="AN28" s="63">
        <f t="shared" si="12"/>
        <v>184</v>
      </c>
      <c r="AO28" s="63">
        <f t="shared" si="13"/>
        <v>1</v>
      </c>
      <c r="AP28" s="63">
        <f t="shared" si="14"/>
        <v>4</v>
      </c>
      <c r="AQ28" s="53">
        <f t="shared" si="15"/>
        <v>28.5</v>
      </c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</row>
    <row r="29" spans="1:56" ht="22" customHeight="1" x14ac:dyDescent="0.35">
      <c r="A29" s="8" t="s">
        <v>87</v>
      </c>
      <c r="B29" s="8" t="s">
        <v>88</v>
      </c>
      <c r="C29" s="8" t="s">
        <v>74</v>
      </c>
      <c r="D29" s="22" t="s">
        <v>5</v>
      </c>
      <c r="E29" s="26" t="s">
        <v>3</v>
      </c>
      <c r="F29" s="26" t="s">
        <v>3</v>
      </c>
      <c r="G29" s="27" t="s">
        <v>7</v>
      </c>
      <c r="H29" s="28" t="s">
        <v>11</v>
      </c>
      <c r="I29" s="26" t="s">
        <v>3</v>
      </c>
      <c r="J29" s="26" t="s">
        <v>3</v>
      </c>
      <c r="K29" s="26" t="s">
        <v>3</v>
      </c>
      <c r="L29" s="26" t="s">
        <v>3</v>
      </c>
      <c r="M29" s="26" t="s">
        <v>3</v>
      </c>
      <c r="N29" s="27" t="s">
        <v>7</v>
      </c>
      <c r="O29" s="28" t="s">
        <v>11</v>
      </c>
      <c r="P29" s="26" t="s">
        <v>3</v>
      </c>
      <c r="Q29" s="26" t="s">
        <v>3</v>
      </c>
      <c r="R29" s="26" t="s">
        <v>3</v>
      </c>
      <c r="S29" s="26" t="s">
        <v>3</v>
      </c>
      <c r="T29" s="26" t="s">
        <v>3</v>
      </c>
      <c r="U29" s="23" t="s">
        <v>7</v>
      </c>
      <c r="V29" s="24" t="s">
        <v>9</v>
      </c>
      <c r="W29" s="26" t="s">
        <v>3</v>
      </c>
      <c r="X29" s="26" t="s">
        <v>3</v>
      </c>
      <c r="Y29" s="26" t="s">
        <v>3</v>
      </c>
      <c r="Z29" s="26" t="s">
        <v>3</v>
      </c>
      <c r="AA29" s="26" t="s">
        <v>3</v>
      </c>
      <c r="AB29" s="27" t="s">
        <v>7</v>
      </c>
      <c r="AC29" s="28" t="s">
        <v>11</v>
      </c>
      <c r="AD29" s="26" t="s">
        <v>3</v>
      </c>
      <c r="AE29" s="26" t="s">
        <v>3</v>
      </c>
      <c r="AF29" s="26" t="s">
        <v>3</v>
      </c>
      <c r="AG29" s="26" t="s">
        <v>3</v>
      </c>
      <c r="AH29" s="26" t="s">
        <v>3</v>
      </c>
      <c r="AI29" s="8">
        <f t="shared" si="8"/>
        <v>22</v>
      </c>
      <c r="AJ29" s="8">
        <f t="shared" si="9"/>
        <v>1</v>
      </c>
      <c r="AK29" s="29">
        <f t="shared" si="10"/>
        <v>3</v>
      </c>
      <c r="AL29" s="62">
        <v>3</v>
      </c>
      <c r="AM29" s="33">
        <f t="shared" si="11"/>
        <v>26.5</v>
      </c>
      <c r="AN29" s="63">
        <f t="shared" si="12"/>
        <v>184</v>
      </c>
      <c r="AO29" s="63">
        <f t="shared" si="13"/>
        <v>2</v>
      </c>
      <c r="AP29" s="63">
        <f t="shared" si="14"/>
        <v>8</v>
      </c>
      <c r="AQ29" s="53">
        <f t="shared" si="15"/>
        <v>25.5</v>
      </c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</row>
    <row r="30" spans="1:56" ht="22" customHeight="1" x14ac:dyDescent="0.35">
      <c r="A30" s="8" t="s">
        <v>89</v>
      </c>
      <c r="B30" s="8" t="s">
        <v>90</v>
      </c>
      <c r="C30" s="8" t="s">
        <v>74</v>
      </c>
      <c r="D30" s="22" t="s">
        <v>5</v>
      </c>
      <c r="E30" s="22" t="s">
        <v>5</v>
      </c>
      <c r="F30" s="22" t="s">
        <v>5</v>
      </c>
      <c r="G30" s="23" t="s">
        <v>7</v>
      </c>
      <c r="H30" s="24" t="s">
        <v>9</v>
      </c>
      <c r="I30" s="22" t="s">
        <v>5</v>
      </c>
      <c r="J30" s="22" t="s">
        <v>5</v>
      </c>
      <c r="K30" s="22" t="s">
        <v>5</v>
      </c>
      <c r="L30" s="22" t="s">
        <v>5</v>
      </c>
      <c r="M30" s="22" t="s">
        <v>5</v>
      </c>
      <c r="N30" s="23" t="s">
        <v>7</v>
      </c>
      <c r="O30" s="24" t="s">
        <v>9</v>
      </c>
      <c r="P30" s="22" t="s">
        <v>5</v>
      </c>
      <c r="Q30" s="22" t="s">
        <v>5</v>
      </c>
      <c r="R30" s="22" t="s">
        <v>5</v>
      </c>
      <c r="S30" s="22" t="s">
        <v>5</v>
      </c>
      <c r="T30" s="22" t="s">
        <v>5</v>
      </c>
      <c r="U30" s="23" t="s">
        <v>7</v>
      </c>
      <c r="V30" s="24" t="s">
        <v>9</v>
      </c>
      <c r="W30" s="22" t="s">
        <v>5</v>
      </c>
      <c r="X30" s="26" t="s">
        <v>3</v>
      </c>
      <c r="Y30" s="26" t="s">
        <v>3</v>
      </c>
      <c r="Z30" s="26" t="s">
        <v>3</v>
      </c>
      <c r="AA30" s="26" t="s">
        <v>3</v>
      </c>
      <c r="AB30" s="27" t="s">
        <v>7</v>
      </c>
      <c r="AC30" s="28" t="s">
        <v>11</v>
      </c>
      <c r="AD30" s="26" t="s">
        <v>3</v>
      </c>
      <c r="AE30" s="26" t="s">
        <v>3</v>
      </c>
      <c r="AF30" s="26" t="s">
        <v>3</v>
      </c>
      <c r="AG30" s="26" t="s">
        <v>3</v>
      </c>
      <c r="AH30" s="26" t="s">
        <v>3</v>
      </c>
      <c r="AI30" s="8">
        <f t="shared" si="8"/>
        <v>9</v>
      </c>
      <c r="AJ30" s="25">
        <f t="shared" si="9"/>
        <v>14</v>
      </c>
      <c r="AK30" s="29">
        <f t="shared" si="10"/>
        <v>1</v>
      </c>
      <c r="AL30" s="62">
        <v>1</v>
      </c>
      <c r="AM30" s="33">
        <f t="shared" si="11"/>
        <v>10.5</v>
      </c>
      <c r="AN30" s="63">
        <f t="shared" si="12"/>
        <v>184</v>
      </c>
      <c r="AO30" s="63">
        <f t="shared" si="13"/>
        <v>1</v>
      </c>
      <c r="AP30" s="63">
        <f t="shared" si="14"/>
        <v>4</v>
      </c>
      <c r="AQ30" s="53">
        <f t="shared" si="15"/>
        <v>10</v>
      </c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</row>
    <row r="31" spans="1:56" ht="22" customHeight="1" x14ac:dyDescent="0.35">
      <c r="A31" s="8" t="s">
        <v>91</v>
      </c>
      <c r="B31" s="8" t="s">
        <v>92</v>
      </c>
      <c r="C31" s="8" t="s">
        <v>74</v>
      </c>
      <c r="D31" s="22" t="s">
        <v>5</v>
      </c>
      <c r="E31" s="26" t="s">
        <v>3</v>
      </c>
      <c r="F31" s="26" t="s">
        <v>3</v>
      </c>
      <c r="G31" s="27" t="s">
        <v>7</v>
      </c>
      <c r="H31" s="28" t="s">
        <v>11</v>
      </c>
      <c r="I31" s="26" t="s">
        <v>3</v>
      </c>
      <c r="J31" s="26" t="s">
        <v>3</v>
      </c>
      <c r="K31" s="26" t="s">
        <v>3</v>
      </c>
      <c r="L31" s="26" t="s">
        <v>3</v>
      </c>
      <c r="M31" s="26" t="s">
        <v>3</v>
      </c>
      <c r="N31" s="27" t="s">
        <v>7</v>
      </c>
      <c r="O31" s="28" t="s">
        <v>11</v>
      </c>
      <c r="P31" s="26" t="s">
        <v>3</v>
      </c>
      <c r="Q31" s="26" t="s">
        <v>3</v>
      </c>
      <c r="R31" s="26" t="s">
        <v>3</v>
      </c>
      <c r="S31" s="26" t="s">
        <v>3</v>
      </c>
      <c r="T31" s="26" t="s">
        <v>3</v>
      </c>
      <c r="U31" s="27" t="s">
        <v>7</v>
      </c>
      <c r="V31" s="28" t="s">
        <v>11</v>
      </c>
      <c r="W31" s="26" t="s">
        <v>3</v>
      </c>
      <c r="X31" s="26" t="s">
        <v>3</v>
      </c>
      <c r="Y31" s="26" t="s">
        <v>3</v>
      </c>
      <c r="Z31" s="26" t="s">
        <v>3</v>
      </c>
      <c r="AA31" s="26" t="s">
        <v>3</v>
      </c>
      <c r="AB31" s="23" t="s">
        <v>7</v>
      </c>
      <c r="AC31" s="24" t="s">
        <v>9</v>
      </c>
      <c r="AD31" s="26" t="s">
        <v>3</v>
      </c>
      <c r="AE31" s="26" t="s">
        <v>3</v>
      </c>
      <c r="AF31" s="26" t="s">
        <v>3</v>
      </c>
      <c r="AG31" s="26" t="s">
        <v>3</v>
      </c>
      <c r="AH31" s="26" t="s">
        <v>3</v>
      </c>
      <c r="AI31" s="8">
        <f t="shared" si="8"/>
        <v>22</v>
      </c>
      <c r="AJ31" s="8">
        <f t="shared" si="9"/>
        <v>1</v>
      </c>
      <c r="AK31" s="29">
        <f t="shared" si="10"/>
        <v>3</v>
      </c>
      <c r="AL31" s="62">
        <v>3</v>
      </c>
      <c r="AM31" s="33">
        <f t="shared" si="11"/>
        <v>26.5</v>
      </c>
      <c r="AN31" s="63">
        <f t="shared" si="12"/>
        <v>184</v>
      </c>
      <c r="AO31" s="63">
        <f t="shared" si="13"/>
        <v>2</v>
      </c>
      <c r="AP31" s="63">
        <f t="shared" si="14"/>
        <v>8</v>
      </c>
      <c r="AQ31" s="53">
        <f t="shared" si="15"/>
        <v>25.5</v>
      </c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 spans="1:56" ht="22" customHeight="1" x14ac:dyDescent="0.35">
      <c r="A32" s="8" t="s">
        <v>93</v>
      </c>
      <c r="B32" s="8" t="s">
        <v>94</v>
      </c>
      <c r="C32" s="8" t="s">
        <v>74</v>
      </c>
      <c r="D32" s="22" t="s">
        <v>5</v>
      </c>
      <c r="E32" s="22" t="s">
        <v>5</v>
      </c>
      <c r="F32" s="22" t="s">
        <v>5</v>
      </c>
      <c r="G32" s="23" t="s">
        <v>7</v>
      </c>
      <c r="H32" s="24" t="s">
        <v>9</v>
      </c>
      <c r="I32" s="22" t="s">
        <v>5</v>
      </c>
      <c r="J32" s="22" t="s">
        <v>5</v>
      </c>
      <c r="K32" s="22" t="s">
        <v>5</v>
      </c>
      <c r="L32" s="22" t="s">
        <v>5</v>
      </c>
      <c r="M32" s="22" t="s">
        <v>5</v>
      </c>
      <c r="N32" s="23" t="s">
        <v>7</v>
      </c>
      <c r="O32" s="24" t="s">
        <v>9</v>
      </c>
      <c r="P32" s="26" t="s">
        <v>3</v>
      </c>
      <c r="Q32" s="26" t="s">
        <v>3</v>
      </c>
      <c r="R32" s="26" t="s">
        <v>3</v>
      </c>
      <c r="S32" s="26" t="s">
        <v>3</v>
      </c>
      <c r="T32" s="26" t="s">
        <v>3</v>
      </c>
      <c r="U32" s="27" t="s">
        <v>7</v>
      </c>
      <c r="V32" s="28" t="s">
        <v>11</v>
      </c>
      <c r="W32" s="26" t="s">
        <v>3</v>
      </c>
      <c r="X32" s="26" t="s">
        <v>3</v>
      </c>
      <c r="Y32" s="26" t="s">
        <v>3</v>
      </c>
      <c r="Z32" s="26" t="s">
        <v>3</v>
      </c>
      <c r="AA32" s="26" t="s">
        <v>3</v>
      </c>
      <c r="AB32" s="23" t="s">
        <v>7</v>
      </c>
      <c r="AC32" s="24" t="s">
        <v>9</v>
      </c>
      <c r="AD32" s="26" t="s">
        <v>3</v>
      </c>
      <c r="AE32" s="26" t="s">
        <v>3</v>
      </c>
      <c r="AF32" s="26" t="s">
        <v>3</v>
      </c>
      <c r="AG32" s="26" t="s">
        <v>3</v>
      </c>
      <c r="AH32" s="26" t="s">
        <v>3</v>
      </c>
      <c r="AI32" s="8">
        <f t="shared" si="8"/>
        <v>15</v>
      </c>
      <c r="AJ32" s="8">
        <f t="shared" si="9"/>
        <v>8</v>
      </c>
      <c r="AK32" s="29">
        <f t="shared" si="10"/>
        <v>1</v>
      </c>
      <c r="AL32" s="62">
        <v>1</v>
      </c>
      <c r="AM32" s="33">
        <f t="shared" si="11"/>
        <v>16.5</v>
      </c>
      <c r="AN32" s="63">
        <f t="shared" si="12"/>
        <v>184</v>
      </c>
      <c r="AO32" s="63">
        <f t="shared" si="13"/>
        <v>2</v>
      </c>
      <c r="AP32" s="63">
        <f t="shared" si="14"/>
        <v>8</v>
      </c>
      <c r="AQ32" s="53">
        <f t="shared" si="15"/>
        <v>15.5</v>
      </c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</row>
    <row r="33" spans="1:56" ht="22" customHeight="1" x14ac:dyDescent="0.35">
      <c r="A33" s="8" t="s">
        <v>95</v>
      </c>
      <c r="B33" s="8" t="s">
        <v>96</v>
      </c>
      <c r="C33" s="8" t="s">
        <v>74</v>
      </c>
      <c r="D33" s="22" t="s">
        <v>5</v>
      </c>
      <c r="E33" s="22" t="s">
        <v>5</v>
      </c>
      <c r="F33" s="22" t="s">
        <v>5</v>
      </c>
      <c r="G33" s="23" t="s">
        <v>7</v>
      </c>
      <c r="H33" s="24" t="s">
        <v>9</v>
      </c>
      <c r="I33" s="22" t="s">
        <v>5</v>
      </c>
      <c r="J33" s="22" t="s">
        <v>5</v>
      </c>
      <c r="K33" s="22" t="s">
        <v>5</v>
      </c>
      <c r="L33" s="22" t="s">
        <v>5</v>
      </c>
      <c r="M33" s="22" t="s">
        <v>5</v>
      </c>
      <c r="N33" s="23" t="s">
        <v>7</v>
      </c>
      <c r="O33" s="24" t="s">
        <v>9</v>
      </c>
      <c r="P33" s="22" t="s">
        <v>5</v>
      </c>
      <c r="Q33" s="22" t="s">
        <v>5</v>
      </c>
      <c r="R33" s="22" t="s">
        <v>5</v>
      </c>
      <c r="S33" s="22" t="s">
        <v>5</v>
      </c>
      <c r="T33" s="22" t="s">
        <v>5</v>
      </c>
      <c r="U33" s="23" t="s">
        <v>7</v>
      </c>
      <c r="V33" s="24" t="s">
        <v>9</v>
      </c>
      <c r="W33" s="22" t="s">
        <v>5</v>
      </c>
      <c r="X33" s="22" t="s">
        <v>5</v>
      </c>
      <c r="Y33" s="22" t="s">
        <v>5</v>
      </c>
      <c r="Z33" s="22" t="s">
        <v>5</v>
      </c>
      <c r="AA33" s="22" t="s">
        <v>5</v>
      </c>
      <c r="AB33" s="23" t="s">
        <v>7</v>
      </c>
      <c r="AC33" s="24" t="s">
        <v>9</v>
      </c>
      <c r="AD33" s="22" t="s">
        <v>5</v>
      </c>
      <c r="AE33" s="22" t="s">
        <v>5</v>
      </c>
      <c r="AF33" s="22" t="s">
        <v>5</v>
      </c>
      <c r="AG33" s="22" t="s">
        <v>5</v>
      </c>
      <c r="AH33" s="22" t="s">
        <v>5</v>
      </c>
      <c r="AI33" s="8">
        <f t="shared" si="8"/>
        <v>0</v>
      </c>
      <c r="AJ33" s="25">
        <f t="shared" si="9"/>
        <v>23</v>
      </c>
      <c r="AK33" s="8">
        <f t="shared" si="10"/>
        <v>0</v>
      </c>
      <c r="AL33" s="62">
        <v>0</v>
      </c>
      <c r="AM33" s="33">
        <f t="shared" si="11"/>
        <v>0</v>
      </c>
      <c r="AN33" s="63">
        <f t="shared" si="12"/>
        <v>184</v>
      </c>
      <c r="AO33" s="63">
        <f t="shared" si="13"/>
        <v>0</v>
      </c>
      <c r="AP33" s="63">
        <f t="shared" si="14"/>
        <v>0</v>
      </c>
      <c r="AQ33" s="53">
        <f t="shared" si="15"/>
        <v>0</v>
      </c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</row>
    <row r="34" spans="1:56" ht="22" customHeight="1" x14ac:dyDescent="0.35">
      <c r="A34" s="8" t="s">
        <v>97</v>
      </c>
      <c r="B34" s="8" t="s">
        <v>98</v>
      </c>
      <c r="C34" s="8" t="s">
        <v>74</v>
      </c>
      <c r="D34" s="22" t="s">
        <v>5</v>
      </c>
      <c r="E34" s="22" t="s">
        <v>5</v>
      </c>
      <c r="F34" s="22" t="s">
        <v>5</v>
      </c>
      <c r="G34" s="23" t="s">
        <v>7</v>
      </c>
      <c r="H34" s="24" t="s">
        <v>9</v>
      </c>
      <c r="I34" s="22" t="s">
        <v>5</v>
      </c>
      <c r="J34" s="22" t="s">
        <v>5</v>
      </c>
      <c r="K34" s="22" t="s">
        <v>5</v>
      </c>
      <c r="L34" s="22" t="s">
        <v>5</v>
      </c>
      <c r="M34" s="22" t="s">
        <v>5</v>
      </c>
      <c r="N34" s="23" t="s">
        <v>7</v>
      </c>
      <c r="O34" s="24" t="s">
        <v>9</v>
      </c>
      <c r="P34" s="22" t="s">
        <v>5</v>
      </c>
      <c r="Q34" s="22" t="s">
        <v>5</v>
      </c>
      <c r="R34" s="22" t="s">
        <v>5</v>
      </c>
      <c r="S34" s="22" t="s">
        <v>5</v>
      </c>
      <c r="T34" s="22" t="s">
        <v>5</v>
      </c>
      <c r="U34" s="23" t="s">
        <v>7</v>
      </c>
      <c r="V34" s="24" t="s">
        <v>9</v>
      </c>
      <c r="W34" s="22" t="s">
        <v>5</v>
      </c>
      <c r="X34" s="22" t="s">
        <v>5</v>
      </c>
      <c r="Y34" s="22" t="s">
        <v>5</v>
      </c>
      <c r="Z34" s="22" t="s">
        <v>5</v>
      </c>
      <c r="AA34" s="22" t="s">
        <v>5</v>
      </c>
      <c r="AB34" s="23" t="s">
        <v>7</v>
      </c>
      <c r="AC34" s="24" t="s">
        <v>9</v>
      </c>
      <c r="AD34" s="22" t="s">
        <v>5</v>
      </c>
      <c r="AE34" s="22" t="s">
        <v>5</v>
      </c>
      <c r="AF34" s="22" t="s">
        <v>5</v>
      </c>
      <c r="AG34" s="22" t="s">
        <v>5</v>
      </c>
      <c r="AH34" s="22" t="s">
        <v>5</v>
      </c>
      <c r="AI34" s="8">
        <f t="shared" si="8"/>
        <v>0</v>
      </c>
      <c r="AJ34" s="25">
        <f t="shared" si="9"/>
        <v>23</v>
      </c>
      <c r="AK34" s="8">
        <f t="shared" si="10"/>
        <v>0</v>
      </c>
      <c r="AL34" s="62">
        <v>0</v>
      </c>
      <c r="AM34" s="33">
        <f t="shared" si="11"/>
        <v>0</v>
      </c>
      <c r="AN34" s="63">
        <f t="shared" si="12"/>
        <v>184</v>
      </c>
      <c r="AO34" s="63">
        <f t="shared" si="13"/>
        <v>0</v>
      </c>
      <c r="AP34" s="63">
        <f t="shared" si="14"/>
        <v>0</v>
      </c>
      <c r="AQ34" s="53">
        <f t="shared" si="15"/>
        <v>0</v>
      </c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</row>
    <row r="35" spans="1:56" ht="22" customHeight="1" x14ac:dyDescent="0.35">
      <c r="A35" s="8" t="s">
        <v>99</v>
      </c>
      <c r="B35" s="8" t="s">
        <v>100</v>
      </c>
      <c r="C35" s="8" t="s">
        <v>74</v>
      </c>
      <c r="D35" s="22" t="s">
        <v>5</v>
      </c>
      <c r="E35" s="22" t="s">
        <v>5</v>
      </c>
      <c r="F35" s="22" t="s">
        <v>5</v>
      </c>
      <c r="G35" s="23" t="s">
        <v>7</v>
      </c>
      <c r="H35" s="24" t="s">
        <v>9</v>
      </c>
      <c r="I35" s="22" t="s">
        <v>5</v>
      </c>
      <c r="J35" s="22" t="s">
        <v>5</v>
      </c>
      <c r="K35" s="26" t="s">
        <v>3</v>
      </c>
      <c r="L35" s="26" t="s">
        <v>3</v>
      </c>
      <c r="M35" s="26" t="s">
        <v>3</v>
      </c>
      <c r="N35" s="27" t="s">
        <v>7</v>
      </c>
      <c r="O35" s="24" t="s">
        <v>9</v>
      </c>
      <c r="P35" s="26" t="s">
        <v>3</v>
      </c>
      <c r="Q35" s="26" t="s">
        <v>3</v>
      </c>
      <c r="R35" s="26" t="s">
        <v>3</v>
      </c>
      <c r="S35" s="26" t="s">
        <v>3</v>
      </c>
      <c r="T35" s="26" t="s">
        <v>3</v>
      </c>
      <c r="U35" s="27" t="s">
        <v>7</v>
      </c>
      <c r="V35" s="24" t="s">
        <v>9</v>
      </c>
      <c r="W35" s="26" t="s">
        <v>3</v>
      </c>
      <c r="X35" s="26" t="s">
        <v>3</v>
      </c>
      <c r="Y35" s="26" t="s">
        <v>3</v>
      </c>
      <c r="Z35" s="26" t="s">
        <v>3</v>
      </c>
      <c r="AA35" s="26" t="s">
        <v>3</v>
      </c>
      <c r="AB35" s="27" t="s">
        <v>7</v>
      </c>
      <c r="AC35" s="24" t="s">
        <v>9</v>
      </c>
      <c r="AD35" s="26" t="s">
        <v>3</v>
      </c>
      <c r="AE35" s="26" t="s">
        <v>3</v>
      </c>
      <c r="AF35" s="26" t="s">
        <v>3</v>
      </c>
      <c r="AG35" s="26" t="s">
        <v>3</v>
      </c>
      <c r="AH35" s="26" t="s">
        <v>3</v>
      </c>
      <c r="AI35" s="8">
        <f t="shared" si="8"/>
        <v>18</v>
      </c>
      <c r="AJ35" s="8">
        <f t="shared" si="9"/>
        <v>5</v>
      </c>
      <c r="AK35" s="8">
        <f t="shared" si="10"/>
        <v>0</v>
      </c>
      <c r="AL35" s="62">
        <v>3</v>
      </c>
      <c r="AM35" s="33">
        <f t="shared" si="11"/>
        <v>19.5</v>
      </c>
      <c r="AN35" s="63">
        <f t="shared" si="12"/>
        <v>184</v>
      </c>
      <c r="AO35" s="63">
        <f t="shared" si="13"/>
        <v>1</v>
      </c>
      <c r="AP35" s="63">
        <f t="shared" si="14"/>
        <v>4</v>
      </c>
      <c r="AQ35" s="53">
        <f t="shared" si="15"/>
        <v>19</v>
      </c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</row>
    <row r="36" spans="1:56" x14ac:dyDescent="0.35"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</row>
    <row r="37" spans="1:56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</row>
    <row r="38" spans="1:56" ht="22" customHeight="1" x14ac:dyDescent="0.35">
      <c r="A38" s="8" t="s">
        <v>102</v>
      </c>
      <c r="B38" s="8" t="s">
        <v>103</v>
      </c>
      <c r="C38" s="8" t="s">
        <v>104</v>
      </c>
      <c r="D38" s="26" t="s">
        <v>3</v>
      </c>
      <c r="E38" s="26" t="s">
        <v>3</v>
      </c>
      <c r="F38" s="26" t="s">
        <v>3</v>
      </c>
      <c r="G38" s="27" t="s">
        <v>7</v>
      </c>
      <c r="H38" s="28" t="s">
        <v>11</v>
      </c>
      <c r="I38" s="26" t="s">
        <v>3</v>
      </c>
      <c r="J38" s="26" t="s">
        <v>3</v>
      </c>
      <c r="K38" s="26" t="s">
        <v>3</v>
      </c>
      <c r="L38" s="26" t="s">
        <v>3</v>
      </c>
      <c r="M38" s="26" t="s">
        <v>3</v>
      </c>
      <c r="N38" s="27" t="s">
        <v>7</v>
      </c>
      <c r="O38" s="28" t="s">
        <v>11</v>
      </c>
      <c r="P38" s="26" t="s">
        <v>3</v>
      </c>
      <c r="Q38" s="26" t="s">
        <v>3</v>
      </c>
      <c r="R38" s="26" t="s">
        <v>3</v>
      </c>
      <c r="S38" s="26" t="s">
        <v>3</v>
      </c>
      <c r="T38" s="26" t="s">
        <v>3</v>
      </c>
      <c r="U38" s="27" t="s">
        <v>7</v>
      </c>
      <c r="V38" s="28" t="s">
        <v>11</v>
      </c>
      <c r="W38" s="26" t="s">
        <v>3</v>
      </c>
      <c r="X38" s="26" t="s">
        <v>3</v>
      </c>
      <c r="Y38" s="26" t="s">
        <v>3</v>
      </c>
      <c r="Z38" s="26" t="s">
        <v>3</v>
      </c>
      <c r="AA38" s="26" t="s">
        <v>3</v>
      </c>
      <c r="AB38" s="27" t="s">
        <v>7</v>
      </c>
      <c r="AC38" s="28" t="s">
        <v>11</v>
      </c>
      <c r="AD38" s="22" t="s">
        <v>5</v>
      </c>
      <c r="AE38" s="22" t="s">
        <v>5</v>
      </c>
      <c r="AF38" s="26" t="s">
        <v>3</v>
      </c>
      <c r="AG38" s="26" t="s">
        <v>3</v>
      </c>
      <c r="AH38" s="26" t="s">
        <v>3</v>
      </c>
      <c r="AI38" s="8">
        <f t="shared" ref="AI38:AI74" si="16">COUNTIF(D38:AH38,"ON")</f>
        <v>21</v>
      </c>
      <c r="AJ38" s="8">
        <f t="shared" ref="AJ38:AJ74" si="17">COUNTIF(D38:AH38,"OFF")</f>
        <v>2</v>
      </c>
      <c r="AK38" s="29">
        <f t="shared" ref="AK38:AK74" si="18">COUNTIF(D38:AH38,"OT")</f>
        <v>4</v>
      </c>
      <c r="AL38" s="62">
        <v>4</v>
      </c>
      <c r="AM38" s="33">
        <f t="shared" ref="AM38:AM74" si="19">AI38+AK38+AL38*0.5</f>
        <v>27</v>
      </c>
      <c r="AN38" s="63">
        <f t="shared" ref="AN38:AN74" si="20">NETWORKDAYS(DATE(2025,1,1),EOMONTH(DATE(2025,1,1),0))*8</f>
        <v>184</v>
      </c>
      <c r="AO38" s="63">
        <f t="shared" ref="AO38:AO74" si="21">MAX(0,COUNTIF(F38,"ON")+COUNTIF(M38,"ON")+COUNTIF(T38,"ON")+COUNTIF(AA38,"ON")+COUNTIF(AH38,"ON")-AL38)</f>
        <v>1</v>
      </c>
      <c r="AP38" s="63">
        <f t="shared" ref="AP38:AP74" si="22">AO38*$AP$2</f>
        <v>4</v>
      </c>
      <c r="AQ38" s="53">
        <f t="shared" ref="AQ38:AQ74" si="23">AM38-AP38/8</f>
        <v>26.5</v>
      </c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</row>
    <row r="39" spans="1:56" ht="22" customHeight="1" x14ac:dyDescent="0.35">
      <c r="A39" s="8" t="s">
        <v>105</v>
      </c>
      <c r="B39" s="8" t="s">
        <v>106</v>
      </c>
      <c r="C39" s="8" t="s">
        <v>104</v>
      </c>
      <c r="D39" s="22" t="s">
        <v>5</v>
      </c>
      <c r="E39" s="22" t="s">
        <v>5</v>
      </c>
      <c r="F39" s="22" t="s">
        <v>5</v>
      </c>
      <c r="G39" s="23" t="s">
        <v>7</v>
      </c>
      <c r="H39" s="24" t="s">
        <v>9</v>
      </c>
      <c r="I39" s="22" t="s">
        <v>5</v>
      </c>
      <c r="J39" s="22" t="s">
        <v>5</v>
      </c>
      <c r="K39" s="22" t="s">
        <v>5</v>
      </c>
      <c r="L39" s="22" t="s">
        <v>5</v>
      </c>
      <c r="M39" s="22" t="s">
        <v>5</v>
      </c>
      <c r="N39" s="23" t="s">
        <v>7</v>
      </c>
      <c r="O39" s="24" t="s">
        <v>9</v>
      </c>
      <c r="P39" s="22" t="s">
        <v>5</v>
      </c>
      <c r="Q39" s="26" t="s">
        <v>3</v>
      </c>
      <c r="R39" s="26" t="s">
        <v>3</v>
      </c>
      <c r="S39" s="26" t="s">
        <v>3</v>
      </c>
      <c r="T39" s="26" t="s">
        <v>3</v>
      </c>
      <c r="U39" s="27" t="s">
        <v>7</v>
      </c>
      <c r="V39" s="28" t="s">
        <v>11</v>
      </c>
      <c r="W39" s="26" t="s">
        <v>3</v>
      </c>
      <c r="X39" s="26" t="s">
        <v>3</v>
      </c>
      <c r="Y39" s="26" t="s">
        <v>3</v>
      </c>
      <c r="Z39" s="22" t="s">
        <v>5</v>
      </c>
      <c r="AA39" s="26" t="s">
        <v>3</v>
      </c>
      <c r="AB39" s="27" t="s">
        <v>7</v>
      </c>
      <c r="AC39" s="28" t="s">
        <v>11</v>
      </c>
      <c r="AD39" s="22" t="s">
        <v>5</v>
      </c>
      <c r="AE39" s="26" t="s">
        <v>3</v>
      </c>
      <c r="AF39" s="26" t="s">
        <v>3</v>
      </c>
      <c r="AG39" s="26" t="s">
        <v>3</v>
      </c>
      <c r="AH39" s="26" t="s">
        <v>3</v>
      </c>
      <c r="AI39" s="8">
        <f t="shared" si="16"/>
        <v>12</v>
      </c>
      <c r="AJ39" s="25">
        <f t="shared" si="17"/>
        <v>11</v>
      </c>
      <c r="AK39" s="29">
        <f t="shared" si="18"/>
        <v>2</v>
      </c>
      <c r="AL39" s="62">
        <v>2</v>
      </c>
      <c r="AM39" s="33">
        <f t="shared" si="19"/>
        <v>15</v>
      </c>
      <c r="AN39" s="63">
        <f t="shared" si="20"/>
        <v>184</v>
      </c>
      <c r="AO39" s="63">
        <f t="shared" si="21"/>
        <v>1</v>
      </c>
      <c r="AP39" s="63">
        <f t="shared" si="22"/>
        <v>4</v>
      </c>
      <c r="AQ39" s="53">
        <f t="shared" si="23"/>
        <v>14.5</v>
      </c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</row>
    <row r="40" spans="1:56" ht="22" customHeight="1" x14ac:dyDescent="0.35">
      <c r="A40" s="8" t="s">
        <v>107</v>
      </c>
      <c r="B40" s="8" t="s">
        <v>108</v>
      </c>
      <c r="C40" s="8" t="s">
        <v>104</v>
      </c>
      <c r="D40" s="22" t="s">
        <v>5</v>
      </c>
      <c r="E40" s="22" t="s">
        <v>5</v>
      </c>
      <c r="F40" s="22" t="s">
        <v>5</v>
      </c>
      <c r="G40" s="23" t="s">
        <v>7</v>
      </c>
      <c r="H40" s="24" t="s">
        <v>9</v>
      </c>
      <c r="I40" s="22" t="s">
        <v>5</v>
      </c>
      <c r="J40" s="22" t="s">
        <v>5</v>
      </c>
      <c r="K40" s="22" t="s">
        <v>5</v>
      </c>
      <c r="L40" s="26" t="s">
        <v>3</v>
      </c>
      <c r="M40" s="26" t="s">
        <v>3</v>
      </c>
      <c r="N40" s="27" t="s">
        <v>7</v>
      </c>
      <c r="O40" s="28" t="s">
        <v>11</v>
      </c>
      <c r="P40" s="26" t="s">
        <v>3</v>
      </c>
      <c r="Q40" s="26" t="s">
        <v>3</v>
      </c>
      <c r="R40" s="26" t="s">
        <v>3</v>
      </c>
      <c r="S40" s="26" t="s">
        <v>3</v>
      </c>
      <c r="T40" s="26" t="s">
        <v>3</v>
      </c>
      <c r="U40" s="27" t="s">
        <v>7</v>
      </c>
      <c r="V40" s="28" t="s">
        <v>11</v>
      </c>
      <c r="W40" s="26" t="s">
        <v>3</v>
      </c>
      <c r="X40" s="26" t="s">
        <v>3</v>
      </c>
      <c r="Y40" s="26" t="s">
        <v>3</v>
      </c>
      <c r="Z40" s="26" t="s">
        <v>3</v>
      </c>
      <c r="AA40" s="26" t="s">
        <v>3</v>
      </c>
      <c r="AB40" s="27" t="s">
        <v>7</v>
      </c>
      <c r="AC40" s="24" t="s">
        <v>9</v>
      </c>
      <c r="AD40" s="26" t="s">
        <v>3</v>
      </c>
      <c r="AE40" s="26" t="s">
        <v>3</v>
      </c>
      <c r="AF40" s="26" t="s">
        <v>3</v>
      </c>
      <c r="AG40" s="26" t="s">
        <v>3</v>
      </c>
      <c r="AH40" s="26" t="s">
        <v>3</v>
      </c>
      <c r="AI40" s="8">
        <f t="shared" si="16"/>
        <v>17</v>
      </c>
      <c r="AJ40" s="8">
        <f t="shared" si="17"/>
        <v>6</v>
      </c>
      <c r="AK40" s="29">
        <f t="shared" si="18"/>
        <v>2</v>
      </c>
      <c r="AL40" s="62">
        <v>3</v>
      </c>
      <c r="AM40" s="33">
        <f t="shared" si="19"/>
        <v>20.5</v>
      </c>
      <c r="AN40" s="63">
        <f t="shared" si="20"/>
        <v>184</v>
      </c>
      <c r="AO40" s="63">
        <f t="shared" si="21"/>
        <v>1</v>
      </c>
      <c r="AP40" s="63">
        <f t="shared" si="22"/>
        <v>4</v>
      </c>
      <c r="AQ40" s="53">
        <f t="shared" si="23"/>
        <v>20</v>
      </c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</row>
    <row r="41" spans="1:56" ht="22" customHeight="1" x14ac:dyDescent="0.35">
      <c r="A41" s="8" t="s">
        <v>109</v>
      </c>
      <c r="B41" s="8" t="s">
        <v>110</v>
      </c>
      <c r="C41" s="8" t="s">
        <v>104</v>
      </c>
      <c r="D41" s="26" t="s">
        <v>3</v>
      </c>
      <c r="E41" s="26" t="s">
        <v>3</v>
      </c>
      <c r="F41" s="26" t="s">
        <v>3</v>
      </c>
      <c r="G41" s="27" t="s">
        <v>7</v>
      </c>
      <c r="H41" s="28" t="s">
        <v>11</v>
      </c>
      <c r="I41" s="26" t="s">
        <v>3</v>
      </c>
      <c r="J41" s="26" t="s">
        <v>3</v>
      </c>
      <c r="K41" s="26" t="s">
        <v>3</v>
      </c>
      <c r="L41" s="26" t="s">
        <v>3</v>
      </c>
      <c r="M41" s="26" t="s">
        <v>3</v>
      </c>
      <c r="N41" s="27" t="s">
        <v>7</v>
      </c>
      <c r="O41" s="28" t="s">
        <v>11</v>
      </c>
      <c r="P41" s="26" t="s">
        <v>3</v>
      </c>
      <c r="Q41" s="26" t="s">
        <v>3</v>
      </c>
      <c r="R41" s="26" t="s">
        <v>3</v>
      </c>
      <c r="S41" s="26" t="s">
        <v>3</v>
      </c>
      <c r="T41" s="26" t="s">
        <v>3</v>
      </c>
      <c r="U41" s="27" t="s">
        <v>7</v>
      </c>
      <c r="V41" s="28" t="s">
        <v>11</v>
      </c>
      <c r="W41" s="26" t="s">
        <v>3</v>
      </c>
      <c r="X41" s="26" t="s">
        <v>3</v>
      </c>
      <c r="Y41" s="26" t="s">
        <v>3</v>
      </c>
      <c r="Z41" s="26" t="s">
        <v>3</v>
      </c>
      <c r="AA41" s="26" t="s">
        <v>3</v>
      </c>
      <c r="AB41" s="27" t="s">
        <v>7</v>
      </c>
      <c r="AC41" s="28" t="s">
        <v>11</v>
      </c>
      <c r="AD41" s="26" t="s">
        <v>3</v>
      </c>
      <c r="AE41" s="26" t="s">
        <v>3</v>
      </c>
      <c r="AF41" s="26" t="s">
        <v>3</v>
      </c>
      <c r="AG41" s="26" t="s">
        <v>3</v>
      </c>
      <c r="AH41" s="26" t="s">
        <v>3</v>
      </c>
      <c r="AI41" s="8">
        <f t="shared" si="16"/>
        <v>23</v>
      </c>
      <c r="AJ41" s="8">
        <f t="shared" si="17"/>
        <v>0</v>
      </c>
      <c r="AK41" s="29">
        <f t="shared" si="18"/>
        <v>4</v>
      </c>
      <c r="AL41" s="62">
        <v>4</v>
      </c>
      <c r="AM41" s="33">
        <f t="shared" si="19"/>
        <v>29</v>
      </c>
      <c r="AN41" s="63">
        <f t="shared" si="20"/>
        <v>184</v>
      </c>
      <c r="AO41" s="63">
        <f t="shared" si="21"/>
        <v>1</v>
      </c>
      <c r="AP41" s="63">
        <f t="shared" si="22"/>
        <v>4</v>
      </c>
      <c r="AQ41" s="53">
        <f t="shared" si="23"/>
        <v>28.5</v>
      </c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</row>
    <row r="42" spans="1:56" ht="22" customHeight="1" x14ac:dyDescent="0.35">
      <c r="A42" s="8" t="s">
        <v>111</v>
      </c>
      <c r="B42" s="8" t="s">
        <v>112</v>
      </c>
      <c r="C42" s="8" t="s">
        <v>104</v>
      </c>
      <c r="D42" s="22" t="s">
        <v>5</v>
      </c>
      <c r="E42" s="22" t="s">
        <v>5</v>
      </c>
      <c r="F42" s="26" t="s">
        <v>3</v>
      </c>
      <c r="G42" s="27" t="s">
        <v>7</v>
      </c>
      <c r="H42" s="28" t="s">
        <v>11</v>
      </c>
      <c r="I42" s="26" t="s">
        <v>3</v>
      </c>
      <c r="J42" s="26" t="s">
        <v>3</v>
      </c>
      <c r="K42" s="26" t="s">
        <v>3</v>
      </c>
      <c r="L42" s="26" t="s">
        <v>3</v>
      </c>
      <c r="M42" s="26" t="s">
        <v>3</v>
      </c>
      <c r="N42" s="27" t="s">
        <v>7</v>
      </c>
      <c r="O42" s="28" t="s">
        <v>11</v>
      </c>
      <c r="P42" s="26" t="s">
        <v>3</v>
      </c>
      <c r="Q42" s="26" t="s">
        <v>3</v>
      </c>
      <c r="R42" s="26" t="s">
        <v>3</v>
      </c>
      <c r="S42" s="26" t="s">
        <v>3</v>
      </c>
      <c r="T42" s="26" t="s">
        <v>3</v>
      </c>
      <c r="U42" s="27" t="s">
        <v>7</v>
      </c>
      <c r="V42" s="28" t="s">
        <v>11</v>
      </c>
      <c r="W42" s="26" t="s">
        <v>3</v>
      </c>
      <c r="X42" s="26" t="s">
        <v>3</v>
      </c>
      <c r="Y42" s="26" t="s">
        <v>3</v>
      </c>
      <c r="Z42" s="26" t="s">
        <v>3</v>
      </c>
      <c r="AA42" s="26" t="s">
        <v>3</v>
      </c>
      <c r="AB42" s="27" t="s">
        <v>7</v>
      </c>
      <c r="AC42" s="28" t="s">
        <v>11</v>
      </c>
      <c r="AD42" s="22" t="s">
        <v>5</v>
      </c>
      <c r="AE42" s="22" t="s">
        <v>5</v>
      </c>
      <c r="AF42" s="22" t="s">
        <v>5</v>
      </c>
      <c r="AG42" s="22" t="s">
        <v>5</v>
      </c>
      <c r="AH42" s="22" t="s">
        <v>5</v>
      </c>
      <c r="AI42" s="8">
        <f t="shared" si="16"/>
        <v>16</v>
      </c>
      <c r="AJ42" s="8">
        <f t="shared" si="17"/>
        <v>7</v>
      </c>
      <c r="AK42" s="29">
        <f t="shared" si="18"/>
        <v>4</v>
      </c>
      <c r="AL42" s="62">
        <v>4</v>
      </c>
      <c r="AM42" s="33">
        <f t="shared" si="19"/>
        <v>22</v>
      </c>
      <c r="AN42" s="63">
        <f t="shared" si="20"/>
        <v>184</v>
      </c>
      <c r="AO42" s="63">
        <f t="shared" si="21"/>
        <v>0</v>
      </c>
      <c r="AP42" s="63">
        <f t="shared" si="22"/>
        <v>0</v>
      </c>
      <c r="AQ42" s="53">
        <f t="shared" si="23"/>
        <v>22</v>
      </c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</row>
    <row r="43" spans="1:56" ht="22" customHeight="1" x14ac:dyDescent="0.35">
      <c r="A43" s="8" t="s">
        <v>113</v>
      </c>
      <c r="B43" s="8" t="s">
        <v>114</v>
      </c>
      <c r="C43" s="8" t="s">
        <v>104</v>
      </c>
      <c r="D43" s="22" t="s">
        <v>5</v>
      </c>
      <c r="E43" s="26" t="s">
        <v>3</v>
      </c>
      <c r="F43" s="26" t="s">
        <v>3</v>
      </c>
      <c r="G43" s="23" t="s">
        <v>7</v>
      </c>
      <c r="H43" s="24" t="s">
        <v>9</v>
      </c>
      <c r="I43" s="22" t="s">
        <v>5</v>
      </c>
      <c r="J43" s="22" t="s">
        <v>5</v>
      </c>
      <c r="K43" s="22" t="s">
        <v>5</v>
      </c>
      <c r="L43" s="22" t="s">
        <v>5</v>
      </c>
      <c r="M43" s="22" t="s">
        <v>5</v>
      </c>
      <c r="N43" s="23" t="s">
        <v>7</v>
      </c>
      <c r="O43" s="24" t="s">
        <v>9</v>
      </c>
      <c r="P43" s="22" t="s">
        <v>5</v>
      </c>
      <c r="Q43" s="26" t="s">
        <v>3</v>
      </c>
      <c r="R43" s="26" t="s">
        <v>3</v>
      </c>
      <c r="S43" s="26" t="s">
        <v>3</v>
      </c>
      <c r="T43" s="26" t="s">
        <v>3</v>
      </c>
      <c r="U43" s="27" t="s">
        <v>7</v>
      </c>
      <c r="V43" s="28" t="s">
        <v>11</v>
      </c>
      <c r="W43" s="26" t="s">
        <v>3</v>
      </c>
      <c r="X43" s="26" t="s">
        <v>3</v>
      </c>
      <c r="Y43" s="26" t="s">
        <v>3</v>
      </c>
      <c r="Z43" s="26" t="s">
        <v>3</v>
      </c>
      <c r="AA43" s="26" t="s">
        <v>3</v>
      </c>
      <c r="AB43" s="27" t="s">
        <v>7</v>
      </c>
      <c r="AC43" s="24" t="s">
        <v>9</v>
      </c>
      <c r="AD43" s="26" t="s">
        <v>3</v>
      </c>
      <c r="AE43" s="26" t="s">
        <v>3</v>
      </c>
      <c r="AF43" s="22" t="s">
        <v>5</v>
      </c>
      <c r="AG43" s="22" t="s">
        <v>5</v>
      </c>
      <c r="AH43" s="22" t="s">
        <v>5</v>
      </c>
      <c r="AI43" s="8">
        <f t="shared" si="16"/>
        <v>13</v>
      </c>
      <c r="AJ43" s="8">
        <f t="shared" si="17"/>
        <v>10</v>
      </c>
      <c r="AK43" s="29">
        <f t="shared" si="18"/>
        <v>1</v>
      </c>
      <c r="AL43" s="62">
        <v>2</v>
      </c>
      <c r="AM43" s="33">
        <f t="shared" si="19"/>
        <v>15</v>
      </c>
      <c r="AN43" s="63">
        <f t="shared" si="20"/>
        <v>184</v>
      </c>
      <c r="AO43" s="63">
        <f t="shared" si="21"/>
        <v>1</v>
      </c>
      <c r="AP43" s="63">
        <f t="shared" si="22"/>
        <v>4</v>
      </c>
      <c r="AQ43" s="53">
        <f t="shared" si="23"/>
        <v>14.5</v>
      </c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</row>
    <row r="44" spans="1:56" ht="22" customHeight="1" x14ac:dyDescent="0.35">
      <c r="A44" s="8" t="s">
        <v>115</v>
      </c>
      <c r="B44" s="8" t="s">
        <v>116</v>
      </c>
      <c r="C44" s="8" t="s">
        <v>104</v>
      </c>
      <c r="D44" s="26" t="s">
        <v>3</v>
      </c>
      <c r="E44" s="26" t="s">
        <v>3</v>
      </c>
      <c r="F44" s="26" t="s">
        <v>3</v>
      </c>
      <c r="G44" s="27" t="s">
        <v>7</v>
      </c>
      <c r="H44" s="28" t="s">
        <v>11</v>
      </c>
      <c r="I44" s="26" t="s">
        <v>3</v>
      </c>
      <c r="J44" s="26" t="s">
        <v>3</v>
      </c>
      <c r="K44" s="26" t="s">
        <v>3</v>
      </c>
      <c r="L44" s="26" t="s">
        <v>3</v>
      </c>
      <c r="M44" s="26" t="s">
        <v>3</v>
      </c>
      <c r="N44" s="27" t="s">
        <v>7</v>
      </c>
      <c r="O44" s="28" t="s">
        <v>11</v>
      </c>
      <c r="P44" s="26" t="s">
        <v>3</v>
      </c>
      <c r="Q44" s="26" t="s">
        <v>3</v>
      </c>
      <c r="R44" s="26" t="s">
        <v>3</v>
      </c>
      <c r="S44" s="26" t="s">
        <v>3</v>
      </c>
      <c r="T44" s="26" t="s">
        <v>3</v>
      </c>
      <c r="U44" s="27" t="s">
        <v>7</v>
      </c>
      <c r="V44" s="28" t="s">
        <v>11</v>
      </c>
      <c r="W44" s="26" t="s">
        <v>3</v>
      </c>
      <c r="X44" s="26" t="s">
        <v>3</v>
      </c>
      <c r="Y44" s="26" t="s">
        <v>3</v>
      </c>
      <c r="Z44" s="26" t="s">
        <v>3</v>
      </c>
      <c r="AA44" s="26" t="s">
        <v>3</v>
      </c>
      <c r="AB44" s="23" t="s">
        <v>7</v>
      </c>
      <c r="AC44" s="24" t="s">
        <v>9</v>
      </c>
      <c r="AD44" s="26" t="s">
        <v>3</v>
      </c>
      <c r="AE44" s="22" t="s">
        <v>5</v>
      </c>
      <c r="AF44" s="22" t="s">
        <v>5</v>
      </c>
      <c r="AG44" s="22" t="s">
        <v>5</v>
      </c>
      <c r="AH44" s="22" t="s">
        <v>5</v>
      </c>
      <c r="AI44" s="8">
        <f t="shared" si="16"/>
        <v>19</v>
      </c>
      <c r="AJ44" s="8">
        <f t="shared" si="17"/>
        <v>4</v>
      </c>
      <c r="AK44" s="29">
        <f t="shared" si="18"/>
        <v>3</v>
      </c>
      <c r="AL44" s="62">
        <v>3</v>
      </c>
      <c r="AM44" s="33">
        <f t="shared" si="19"/>
        <v>23.5</v>
      </c>
      <c r="AN44" s="63">
        <f t="shared" si="20"/>
        <v>184</v>
      </c>
      <c r="AO44" s="63">
        <f t="shared" si="21"/>
        <v>1</v>
      </c>
      <c r="AP44" s="63">
        <f t="shared" si="22"/>
        <v>4</v>
      </c>
      <c r="AQ44" s="53">
        <f t="shared" si="23"/>
        <v>23</v>
      </c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</row>
    <row r="45" spans="1:56" ht="22" customHeight="1" x14ac:dyDescent="0.35">
      <c r="A45" s="8" t="s">
        <v>117</v>
      </c>
      <c r="B45" s="8" t="s">
        <v>118</v>
      </c>
      <c r="C45" s="8" t="s">
        <v>104</v>
      </c>
      <c r="D45" s="22" t="s">
        <v>5</v>
      </c>
      <c r="E45" s="22" t="s">
        <v>5</v>
      </c>
      <c r="F45" s="22" t="s">
        <v>5</v>
      </c>
      <c r="G45" s="23" t="s">
        <v>7</v>
      </c>
      <c r="H45" s="24" t="s">
        <v>9</v>
      </c>
      <c r="I45" s="22" t="s">
        <v>5</v>
      </c>
      <c r="J45" s="22" t="s">
        <v>5</v>
      </c>
      <c r="K45" s="22" t="s">
        <v>5</v>
      </c>
      <c r="L45" s="22" t="s">
        <v>5</v>
      </c>
      <c r="M45" s="22" t="s">
        <v>5</v>
      </c>
      <c r="N45" s="23" t="s">
        <v>7</v>
      </c>
      <c r="O45" s="24" t="s">
        <v>9</v>
      </c>
      <c r="P45" s="22" t="s">
        <v>5</v>
      </c>
      <c r="Q45" s="26" t="s">
        <v>3</v>
      </c>
      <c r="R45" s="26" t="s">
        <v>3</v>
      </c>
      <c r="S45" s="26" t="s">
        <v>3</v>
      </c>
      <c r="T45" s="26" t="s">
        <v>3</v>
      </c>
      <c r="U45" s="27" t="s">
        <v>7</v>
      </c>
      <c r="V45" s="28" t="s">
        <v>11</v>
      </c>
      <c r="W45" s="26" t="s">
        <v>3</v>
      </c>
      <c r="X45" s="26" t="s">
        <v>3</v>
      </c>
      <c r="Y45" s="26" t="s">
        <v>3</v>
      </c>
      <c r="Z45" s="26" t="s">
        <v>3</v>
      </c>
      <c r="AA45" s="26" t="s">
        <v>3</v>
      </c>
      <c r="AB45" s="27" t="s">
        <v>7</v>
      </c>
      <c r="AC45" s="28" t="s">
        <v>11</v>
      </c>
      <c r="AD45" s="26" t="s">
        <v>3</v>
      </c>
      <c r="AE45" s="26" t="s">
        <v>3</v>
      </c>
      <c r="AF45" s="26" t="s">
        <v>3</v>
      </c>
      <c r="AG45" s="26" t="s">
        <v>3</v>
      </c>
      <c r="AH45" s="26" t="s">
        <v>3</v>
      </c>
      <c r="AI45" s="8">
        <f t="shared" si="16"/>
        <v>14</v>
      </c>
      <c r="AJ45" s="8">
        <f t="shared" si="17"/>
        <v>9</v>
      </c>
      <c r="AK45" s="29">
        <f t="shared" si="18"/>
        <v>2</v>
      </c>
      <c r="AL45" s="62">
        <v>2</v>
      </c>
      <c r="AM45" s="33">
        <f t="shared" si="19"/>
        <v>17</v>
      </c>
      <c r="AN45" s="63">
        <f t="shared" si="20"/>
        <v>184</v>
      </c>
      <c r="AO45" s="63">
        <f t="shared" si="21"/>
        <v>1</v>
      </c>
      <c r="AP45" s="63">
        <f t="shared" si="22"/>
        <v>4</v>
      </c>
      <c r="AQ45" s="53">
        <f t="shared" si="23"/>
        <v>16.5</v>
      </c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</row>
    <row r="46" spans="1:56" ht="22" customHeight="1" x14ac:dyDescent="0.35">
      <c r="A46" s="8" t="s">
        <v>119</v>
      </c>
      <c r="B46" s="8" t="s">
        <v>120</v>
      </c>
      <c r="C46" s="8" t="s">
        <v>104</v>
      </c>
      <c r="D46" s="22" t="s">
        <v>5</v>
      </c>
      <c r="E46" s="22" t="s">
        <v>5</v>
      </c>
      <c r="F46" s="22" t="s">
        <v>5</v>
      </c>
      <c r="G46" s="23" t="s">
        <v>7</v>
      </c>
      <c r="H46" s="24" t="s">
        <v>9</v>
      </c>
      <c r="I46" s="22" t="s">
        <v>5</v>
      </c>
      <c r="J46" s="22" t="s">
        <v>5</v>
      </c>
      <c r="K46" s="22" t="s">
        <v>5</v>
      </c>
      <c r="L46" s="26" t="s">
        <v>3</v>
      </c>
      <c r="M46" s="26" t="s">
        <v>3</v>
      </c>
      <c r="N46" s="27" t="s">
        <v>7</v>
      </c>
      <c r="O46" s="28" t="s">
        <v>11</v>
      </c>
      <c r="P46" s="26" t="s">
        <v>3</v>
      </c>
      <c r="Q46" s="26" t="s">
        <v>3</v>
      </c>
      <c r="R46" s="26" t="s">
        <v>3</v>
      </c>
      <c r="S46" s="26" t="s">
        <v>3</v>
      </c>
      <c r="T46" s="26" t="s">
        <v>3</v>
      </c>
      <c r="U46" s="27" t="s">
        <v>7</v>
      </c>
      <c r="V46" s="28" t="s">
        <v>11</v>
      </c>
      <c r="W46" s="26" t="s">
        <v>3</v>
      </c>
      <c r="X46" s="26" t="s">
        <v>3</v>
      </c>
      <c r="Y46" s="26" t="s">
        <v>3</v>
      </c>
      <c r="Z46" s="26" t="s">
        <v>3</v>
      </c>
      <c r="AA46" s="26" t="s">
        <v>3</v>
      </c>
      <c r="AB46" s="27" t="s">
        <v>7</v>
      </c>
      <c r="AC46" s="24" t="s">
        <v>9</v>
      </c>
      <c r="AD46" s="26" t="s">
        <v>3</v>
      </c>
      <c r="AE46" s="26" t="s">
        <v>3</v>
      </c>
      <c r="AF46" s="22" t="s">
        <v>5</v>
      </c>
      <c r="AG46" s="22" t="s">
        <v>5</v>
      </c>
      <c r="AH46" s="22" t="s">
        <v>5</v>
      </c>
      <c r="AI46" s="8">
        <f t="shared" si="16"/>
        <v>14</v>
      </c>
      <c r="AJ46" s="8">
        <f t="shared" si="17"/>
        <v>9</v>
      </c>
      <c r="AK46" s="29">
        <f t="shared" si="18"/>
        <v>2</v>
      </c>
      <c r="AL46" s="62">
        <v>3</v>
      </c>
      <c r="AM46" s="33">
        <f t="shared" si="19"/>
        <v>17.5</v>
      </c>
      <c r="AN46" s="63">
        <f t="shared" si="20"/>
        <v>184</v>
      </c>
      <c r="AO46" s="63">
        <f t="shared" si="21"/>
        <v>0</v>
      </c>
      <c r="AP46" s="63">
        <f t="shared" si="22"/>
        <v>0</v>
      </c>
      <c r="AQ46" s="53">
        <f t="shared" si="23"/>
        <v>17.5</v>
      </c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</row>
    <row r="47" spans="1:56" ht="22" customHeight="1" x14ac:dyDescent="0.35">
      <c r="A47" s="8" t="s">
        <v>121</v>
      </c>
      <c r="B47" s="8" t="s">
        <v>122</v>
      </c>
      <c r="C47" s="8" t="s">
        <v>104</v>
      </c>
      <c r="D47" s="22" t="s">
        <v>5</v>
      </c>
      <c r="E47" s="22" t="s">
        <v>5</v>
      </c>
      <c r="F47" s="26" t="s">
        <v>3</v>
      </c>
      <c r="G47" s="27" t="s">
        <v>7</v>
      </c>
      <c r="H47" s="28" t="s">
        <v>11</v>
      </c>
      <c r="I47" s="26" t="s">
        <v>3</v>
      </c>
      <c r="J47" s="26" t="s">
        <v>3</v>
      </c>
      <c r="K47" s="26" t="s">
        <v>3</v>
      </c>
      <c r="L47" s="26" t="s">
        <v>3</v>
      </c>
      <c r="M47" s="26" t="s">
        <v>3</v>
      </c>
      <c r="N47" s="27" t="s">
        <v>7</v>
      </c>
      <c r="O47" s="28" t="s">
        <v>11</v>
      </c>
      <c r="P47" s="26" t="s">
        <v>3</v>
      </c>
      <c r="Q47" s="26" t="s">
        <v>3</v>
      </c>
      <c r="R47" s="26" t="s">
        <v>3</v>
      </c>
      <c r="S47" s="26" t="s">
        <v>3</v>
      </c>
      <c r="T47" s="26" t="s">
        <v>3</v>
      </c>
      <c r="U47" s="27" t="s">
        <v>7</v>
      </c>
      <c r="V47" s="28" t="s">
        <v>11</v>
      </c>
      <c r="W47" s="26" t="s">
        <v>3</v>
      </c>
      <c r="X47" s="26" t="s">
        <v>3</v>
      </c>
      <c r="Y47" s="26" t="s">
        <v>3</v>
      </c>
      <c r="Z47" s="26" t="s">
        <v>3</v>
      </c>
      <c r="AA47" s="26" t="s">
        <v>3</v>
      </c>
      <c r="AB47" s="27" t="s">
        <v>7</v>
      </c>
      <c r="AC47" s="24" t="s">
        <v>9</v>
      </c>
      <c r="AD47" s="26" t="s">
        <v>3</v>
      </c>
      <c r="AE47" s="26" t="s">
        <v>3</v>
      </c>
      <c r="AF47" s="26" t="s">
        <v>3</v>
      </c>
      <c r="AG47" s="26" t="s">
        <v>3</v>
      </c>
      <c r="AH47" s="26" t="s">
        <v>3</v>
      </c>
      <c r="AI47" s="8">
        <f t="shared" si="16"/>
        <v>21</v>
      </c>
      <c r="AJ47" s="8">
        <f t="shared" si="17"/>
        <v>2</v>
      </c>
      <c r="AK47" s="29">
        <f t="shared" si="18"/>
        <v>3</v>
      </c>
      <c r="AL47" s="62">
        <v>4</v>
      </c>
      <c r="AM47" s="33">
        <f t="shared" si="19"/>
        <v>26</v>
      </c>
      <c r="AN47" s="63">
        <f t="shared" si="20"/>
        <v>184</v>
      </c>
      <c r="AO47" s="63">
        <f t="shared" si="21"/>
        <v>1</v>
      </c>
      <c r="AP47" s="63">
        <f t="shared" si="22"/>
        <v>4</v>
      </c>
      <c r="AQ47" s="53">
        <f t="shared" si="23"/>
        <v>25.5</v>
      </c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</row>
    <row r="48" spans="1:56" ht="22" customHeight="1" x14ac:dyDescent="0.35">
      <c r="A48" s="8" t="s">
        <v>123</v>
      </c>
      <c r="B48" s="8" t="s">
        <v>124</v>
      </c>
      <c r="C48" s="8" t="s">
        <v>104</v>
      </c>
      <c r="D48" s="26" t="s">
        <v>3</v>
      </c>
      <c r="E48" s="26" t="s">
        <v>3</v>
      </c>
      <c r="F48" s="26" t="s">
        <v>3</v>
      </c>
      <c r="G48" s="27" t="s">
        <v>7</v>
      </c>
      <c r="H48" s="28" t="s">
        <v>11</v>
      </c>
      <c r="I48" s="26" t="s">
        <v>3</v>
      </c>
      <c r="J48" s="26" t="s">
        <v>3</v>
      </c>
      <c r="K48" s="26" t="s">
        <v>3</v>
      </c>
      <c r="L48" s="26" t="s">
        <v>3</v>
      </c>
      <c r="M48" s="26" t="s">
        <v>3</v>
      </c>
      <c r="N48" s="27" t="s">
        <v>7</v>
      </c>
      <c r="O48" s="28" t="s">
        <v>11</v>
      </c>
      <c r="P48" s="26" t="s">
        <v>3</v>
      </c>
      <c r="Q48" s="26" t="s">
        <v>3</v>
      </c>
      <c r="R48" s="26" t="s">
        <v>3</v>
      </c>
      <c r="S48" s="26" t="s">
        <v>3</v>
      </c>
      <c r="T48" s="26" t="s">
        <v>3</v>
      </c>
      <c r="U48" s="27" t="s">
        <v>7</v>
      </c>
      <c r="V48" s="28" t="s">
        <v>11</v>
      </c>
      <c r="W48" s="26" t="s">
        <v>3</v>
      </c>
      <c r="X48" s="26" t="s">
        <v>3</v>
      </c>
      <c r="Y48" s="26" t="s">
        <v>3</v>
      </c>
      <c r="Z48" s="26" t="s">
        <v>3</v>
      </c>
      <c r="AA48" s="26" t="s">
        <v>3</v>
      </c>
      <c r="AB48" s="27" t="s">
        <v>7</v>
      </c>
      <c r="AC48" s="24" t="s">
        <v>9</v>
      </c>
      <c r="AD48" s="26" t="s">
        <v>3</v>
      </c>
      <c r="AE48" s="26" t="s">
        <v>3</v>
      </c>
      <c r="AF48" s="26" t="s">
        <v>3</v>
      </c>
      <c r="AG48" s="26" t="s">
        <v>3</v>
      </c>
      <c r="AH48" s="26" t="s">
        <v>3</v>
      </c>
      <c r="AI48" s="8">
        <f t="shared" si="16"/>
        <v>23</v>
      </c>
      <c r="AJ48" s="8">
        <f t="shared" si="17"/>
        <v>0</v>
      </c>
      <c r="AK48" s="29">
        <f t="shared" si="18"/>
        <v>3</v>
      </c>
      <c r="AL48" s="62">
        <v>4</v>
      </c>
      <c r="AM48" s="33">
        <f t="shared" si="19"/>
        <v>28</v>
      </c>
      <c r="AN48" s="63">
        <f t="shared" si="20"/>
        <v>184</v>
      </c>
      <c r="AO48" s="63">
        <f t="shared" si="21"/>
        <v>1</v>
      </c>
      <c r="AP48" s="63">
        <f t="shared" si="22"/>
        <v>4</v>
      </c>
      <c r="AQ48" s="53">
        <f t="shared" si="23"/>
        <v>27.5</v>
      </c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</row>
    <row r="49" spans="1:56" ht="22" customHeight="1" x14ac:dyDescent="0.35">
      <c r="A49" s="8" t="s">
        <v>125</v>
      </c>
      <c r="B49" s="8" t="s">
        <v>126</v>
      </c>
      <c r="C49" s="8" t="s">
        <v>104</v>
      </c>
      <c r="D49" s="26" t="s">
        <v>3</v>
      </c>
      <c r="E49" s="26" t="s">
        <v>3</v>
      </c>
      <c r="F49" s="26" t="s">
        <v>3</v>
      </c>
      <c r="G49" s="27" t="s">
        <v>7</v>
      </c>
      <c r="H49" s="28" t="s">
        <v>11</v>
      </c>
      <c r="I49" s="26" t="s">
        <v>3</v>
      </c>
      <c r="J49" s="26" t="s">
        <v>3</v>
      </c>
      <c r="K49" s="26" t="s">
        <v>3</v>
      </c>
      <c r="L49" s="26" t="s">
        <v>3</v>
      </c>
      <c r="M49" s="26" t="s">
        <v>3</v>
      </c>
      <c r="N49" s="27" t="s">
        <v>7</v>
      </c>
      <c r="O49" s="28" t="s">
        <v>11</v>
      </c>
      <c r="P49" s="26" t="s">
        <v>3</v>
      </c>
      <c r="Q49" s="26" t="s">
        <v>3</v>
      </c>
      <c r="R49" s="26" t="s">
        <v>3</v>
      </c>
      <c r="S49" s="26" t="s">
        <v>3</v>
      </c>
      <c r="T49" s="26" t="s">
        <v>3</v>
      </c>
      <c r="U49" s="27" t="s">
        <v>7</v>
      </c>
      <c r="V49" s="28" t="s">
        <v>11</v>
      </c>
      <c r="W49" s="22" t="s">
        <v>5</v>
      </c>
      <c r="X49" s="26" t="s">
        <v>3</v>
      </c>
      <c r="Y49" s="26" t="s">
        <v>3</v>
      </c>
      <c r="Z49" s="26" t="s">
        <v>3</v>
      </c>
      <c r="AA49" s="26" t="s">
        <v>3</v>
      </c>
      <c r="AB49" s="27" t="s">
        <v>7</v>
      </c>
      <c r="AC49" s="28" t="s">
        <v>11</v>
      </c>
      <c r="AD49" s="26" t="s">
        <v>3</v>
      </c>
      <c r="AE49" s="26" t="s">
        <v>3</v>
      </c>
      <c r="AF49" s="26" t="s">
        <v>3</v>
      </c>
      <c r="AG49" s="22" t="s">
        <v>5</v>
      </c>
      <c r="AH49" s="22" t="s">
        <v>5</v>
      </c>
      <c r="AI49" s="8">
        <f t="shared" si="16"/>
        <v>20</v>
      </c>
      <c r="AJ49" s="8">
        <f t="shared" si="17"/>
        <v>3</v>
      </c>
      <c r="AK49" s="29">
        <f t="shared" si="18"/>
        <v>4</v>
      </c>
      <c r="AL49" s="62">
        <v>4</v>
      </c>
      <c r="AM49" s="33">
        <f t="shared" si="19"/>
        <v>26</v>
      </c>
      <c r="AN49" s="63">
        <f t="shared" si="20"/>
        <v>184</v>
      </c>
      <c r="AO49" s="63">
        <f t="shared" si="21"/>
        <v>0</v>
      </c>
      <c r="AP49" s="63">
        <f t="shared" si="22"/>
        <v>0</v>
      </c>
      <c r="AQ49" s="53">
        <f t="shared" si="23"/>
        <v>26</v>
      </c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</row>
    <row r="50" spans="1:56" ht="22" customHeight="1" x14ac:dyDescent="0.35">
      <c r="A50" s="8" t="s">
        <v>127</v>
      </c>
      <c r="B50" s="8" t="s">
        <v>128</v>
      </c>
      <c r="C50" s="8" t="s">
        <v>104</v>
      </c>
      <c r="D50" s="22" t="s">
        <v>5</v>
      </c>
      <c r="E50" s="22" t="s">
        <v>5</v>
      </c>
      <c r="F50" s="22" t="s">
        <v>5</v>
      </c>
      <c r="G50" s="23" t="s">
        <v>7</v>
      </c>
      <c r="H50" s="24" t="s">
        <v>9</v>
      </c>
      <c r="I50" s="22" t="s">
        <v>5</v>
      </c>
      <c r="J50" s="22" t="s">
        <v>5</v>
      </c>
      <c r="K50" s="22" t="s">
        <v>5</v>
      </c>
      <c r="L50" s="22" t="s">
        <v>5</v>
      </c>
      <c r="M50" s="22" t="s">
        <v>5</v>
      </c>
      <c r="N50" s="23" t="s">
        <v>7</v>
      </c>
      <c r="O50" s="24" t="s">
        <v>9</v>
      </c>
      <c r="P50" s="22" t="s">
        <v>5</v>
      </c>
      <c r="Q50" s="26" t="s">
        <v>3</v>
      </c>
      <c r="R50" s="26" t="s">
        <v>3</v>
      </c>
      <c r="S50" s="26" t="s">
        <v>3</v>
      </c>
      <c r="T50" s="26" t="s">
        <v>3</v>
      </c>
      <c r="U50" s="27" t="s">
        <v>7</v>
      </c>
      <c r="V50" s="28" t="s">
        <v>11</v>
      </c>
      <c r="W50" s="26" t="s">
        <v>3</v>
      </c>
      <c r="X50" s="26" t="s">
        <v>3</v>
      </c>
      <c r="Y50" s="26" t="s">
        <v>3</v>
      </c>
      <c r="Z50" s="26" t="s">
        <v>3</v>
      </c>
      <c r="AA50" s="26" t="s">
        <v>3</v>
      </c>
      <c r="AB50" s="27" t="s">
        <v>7</v>
      </c>
      <c r="AC50" s="28" t="s">
        <v>11</v>
      </c>
      <c r="AD50" s="26" t="s">
        <v>3</v>
      </c>
      <c r="AE50" s="26" t="s">
        <v>3</v>
      </c>
      <c r="AF50" s="26" t="s">
        <v>3</v>
      </c>
      <c r="AG50" s="26" t="s">
        <v>3</v>
      </c>
      <c r="AH50" s="26" t="s">
        <v>3</v>
      </c>
      <c r="AI50" s="8">
        <f t="shared" si="16"/>
        <v>14</v>
      </c>
      <c r="AJ50" s="8">
        <f t="shared" si="17"/>
        <v>9</v>
      </c>
      <c r="AK50" s="29">
        <f t="shared" si="18"/>
        <v>2</v>
      </c>
      <c r="AL50" s="62">
        <v>2</v>
      </c>
      <c r="AM50" s="33">
        <f t="shared" si="19"/>
        <v>17</v>
      </c>
      <c r="AN50" s="63">
        <f t="shared" si="20"/>
        <v>184</v>
      </c>
      <c r="AO50" s="63">
        <f t="shared" si="21"/>
        <v>1</v>
      </c>
      <c r="AP50" s="63">
        <f t="shared" si="22"/>
        <v>4</v>
      </c>
      <c r="AQ50" s="53">
        <f t="shared" si="23"/>
        <v>16.5</v>
      </c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</row>
    <row r="51" spans="1:56" ht="22" customHeight="1" x14ac:dyDescent="0.35">
      <c r="A51" s="8" t="s">
        <v>129</v>
      </c>
      <c r="B51" s="8" t="s">
        <v>130</v>
      </c>
      <c r="C51" s="8" t="s">
        <v>104</v>
      </c>
      <c r="D51" s="22" t="s">
        <v>5</v>
      </c>
      <c r="E51" s="22" t="s">
        <v>5</v>
      </c>
      <c r="F51" s="26" t="s">
        <v>3</v>
      </c>
      <c r="G51" s="27" t="s">
        <v>7</v>
      </c>
      <c r="H51" s="28" t="s">
        <v>11</v>
      </c>
      <c r="I51" s="26" t="s">
        <v>3</v>
      </c>
      <c r="J51" s="26" t="s">
        <v>3</v>
      </c>
      <c r="K51" s="26" t="s">
        <v>3</v>
      </c>
      <c r="L51" s="26" t="s">
        <v>3</v>
      </c>
      <c r="M51" s="26" t="s">
        <v>3</v>
      </c>
      <c r="N51" s="27" t="s">
        <v>7</v>
      </c>
      <c r="O51" s="28" t="s">
        <v>11</v>
      </c>
      <c r="P51" s="26" t="s">
        <v>3</v>
      </c>
      <c r="Q51" s="26" t="s">
        <v>3</v>
      </c>
      <c r="R51" s="26" t="s">
        <v>3</v>
      </c>
      <c r="S51" s="26" t="s">
        <v>3</v>
      </c>
      <c r="T51" s="26" t="s">
        <v>3</v>
      </c>
      <c r="U51" s="27" t="s">
        <v>7</v>
      </c>
      <c r="V51" s="28" t="s">
        <v>11</v>
      </c>
      <c r="W51" s="26" t="s">
        <v>3</v>
      </c>
      <c r="X51" s="26" t="s">
        <v>3</v>
      </c>
      <c r="Y51" s="26" t="s">
        <v>3</v>
      </c>
      <c r="Z51" s="22" t="s">
        <v>5</v>
      </c>
      <c r="AA51" s="26" t="s">
        <v>3</v>
      </c>
      <c r="AB51" s="27" t="s">
        <v>7</v>
      </c>
      <c r="AC51" s="24" t="s">
        <v>9</v>
      </c>
      <c r="AD51" s="22" t="s">
        <v>5</v>
      </c>
      <c r="AE51" s="22" t="s">
        <v>5</v>
      </c>
      <c r="AF51" s="22" t="s">
        <v>5</v>
      </c>
      <c r="AG51" s="22" t="s">
        <v>5</v>
      </c>
      <c r="AH51" s="22" t="s">
        <v>5</v>
      </c>
      <c r="AI51" s="8">
        <f t="shared" si="16"/>
        <v>15</v>
      </c>
      <c r="AJ51" s="8">
        <f t="shared" si="17"/>
        <v>8</v>
      </c>
      <c r="AK51" s="29">
        <f t="shared" si="18"/>
        <v>3</v>
      </c>
      <c r="AL51" s="62">
        <v>4</v>
      </c>
      <c r="AM51" s="33">
        <f t="shared" si="19"/>
        <v>20</v>
      </c>
      <c r="AN51" s="63">
        <f t="shared" si="20"/>
        <v>184</v>
      </c>
      <c r="AO51" s="63">
        <f t="shared" si="21"/>
        <v>0</v>
      </c>
      <c r="AP51" s="63">
        <f t="shared" si="22"/>
        <v>0</v>
      </c>
      <c r="AQ51" s="53">
        <f t="shared" si="23"/>
        <v>20</v>
      </c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</row>
    <row r="52" spans="1:56" ht="22" customHeight="1" x14ac:dyDescent="0.35">
      <c r="A52" s="8" t="s">
        <v>131</v>
      </c>
      <c r="B52" s="8" t="s">
        <v>132</v>
      </c>
      <c r="C52" s="8" t="s">
        <v>104</v>
      </c>
      <c r="D52" s="26" t="s">
        <v>3</v>
      </c>
      <c r="E52" s="26" t="s">
        <v>3</v>
      </c>
      <c r="F52" s="26" t="s">
        <v>3</v>
      </c>
      <c r="G52" s="27" t="s">
        <v>7</v>
      </c>
      <c r="H52" s="28" t="s">
        <v>11</v>
      </c>
      <c r="I52" s="26" t="s">
        <v>3</v>
      </c>
      <c r="J52" s="26" t="s">
        <v>3</v>
      </c>
      <c r="K52" s="26" t="s">
        <v>3</v>
      </c>
      <c r="L52" s="26" t="s">
        <v>3</v>
      </c>
      <c r="M52" s="26" t="s">
        <v>3</v>
      </c>
      <c r="N52" s="27" t="s">
        <v>7</v>
      </c>
      <c r="O52" s="28" t="s">
        <v>11</v>
      </c>
      <c r="P52" s="26" t="s">
        <v>3</v>
      </c>
      <c r="Q52" s="26" t="s">
        <v>3</v>
      </c>
      <c r="R52" s="26" t="s">
        <v>3</v>
      </c>
      <c r="S52" s="26" t="s">
        <v>3</v>
      </c>
      <c r="T52" s="26" t="s">
        <v>3</v>
      </c>
      <c r="U52" s="27" t="s">
        <v>7</v>
      </c>
      <c r="V52" s="28" t="s">
        <v>11</v>
      </c>
      <c r="W52" s="26" t="s">
        <v>3</v>
      </c>
      <c r="X52" s="26" t="s">
        <v>3</v>
      </c>
      <c r="Y52" s="26" t="s">
        <v>3</v>
      </c>
      <c r="Z52" s="26" t="s">
        <v>3</v>
      </c>
      <c r="AA52" s="26" t="s">
        <v>3</v>
      </c>
      <c r="AB52" s="27" t="s">
        <v>7</v>
      </c>
      <c r="AC52" s="28" t="s">
        <v>11</v>
      </c>
      <c r="AD52" s="22" t="s">
        <v>5</v>
      </c>
      <c r="AE52" s="22" t="s">
        <v>5</v>
      </c>
      <c r="AF52" s="22" t="s">
        <v>5</v>
      </c>
      <c r="AG52" s="22" t="s">
        <v>5</v>
      </c>
      <c r="AH52" s="22" t="s">
        <v>5</v>
      </c>
      <c r="AI52" s="8">
        <f t="shared" si="16"/>
        <v>18</v>
      </c>
      <c r="AJ52" s="8">
        <f t="shared" si="17"/>
        <v>5</v>
      </c>
      <c r="AK52" s="29">
        <f t="shared" si="18"/>
        <v>4</v>
      </c>
      <c r="AL52" s="62">
        <v>4</v>
      </c>
      <c r="AM52" s="33">
        <f t="shared" si="19"/>
        <v>24</v>
      </c>
      <c r="AN52" s="63">
        <f t="shared" si="20"/>
        <v>184</v>
      </c>
      <c r="AO52" s="63">
        <f t="shared" si="21"/>
        <v>0</v>
      </c>
      <c r="AP52" s="63">
        <f t="shared" si="22"/>
        <v>0</v>
      </c>
      <c r="AQ52" s="53">
        <f t="shared" si="23"/>
        <v>24</v>
      </c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</row>
    <row r="53" spans="1:56" ht="22" customHeight="1" x14ac:dyDescent="0.35">
      <c r="A53" s="8" t="s">
        <v>133</v>
      </c>
      <c r="B53" s="8" t="s">
        <v>134</v>
      </c>
      <c r="C53" s="8" t="s">
        <v>104</v>
      </c>
      <c r="D53" s="26" t="s">
        <v>3</v>
      </c>
      <c r="E53" s="26" t="s">
        <v>3</v>
      </c>
      <c r="F53" s="26" t="s">
        <v>3</v>
      </c>
      <c r="G53" s="27" t="s">
        <v>7</v>
      </c>
      <c r="H53" s="28" t="s">
        <v>11</v>
      </c>
      <c r="I53" s="26" t="s">
        <v>3</v>
      </c>
      <c r="J53" s="26" t="s">
        <v>3</v>
      </c>
      <c r="K53" s="26" t="s">
        <v>3</v>
      </c>
      <c r="L53" s="26" t="s">
        <v>3</v>
      </c>
      <c r="M53" s="26" t="s">
        <v>3</v>
      </c>
      <c r="N53" s="27" t="s">
        <v>7</v>
      </c>
      <c r="O53" s="28" t="s">
        <v>11</v>
      </c>
      <c r="P53" s="26" t="s">
        <v>3</v>
      </c>
      <c r="Q53" s="26" t="s">
        <v>3</v>
      </c>
      <c r="R53" s="26" t="s">
        <v>3</v>
      </c>
      <c r="S53" s="26" t="s">
        <v>3</v>
      </c>
      <c r="T53" s="26" t="s">
        <v>3</v>
      </c>
      <c r="U53" s="27" t="s">
        <v>7</v>
      </c>
      <c r="V53" s="28" t="s">
        <v>11</v>
      </c>
      <c r="W53" s="26" t="s">
        <v>3</v>
      </c>
      <c r="X53" s="26" t="s">
        <v>3</v>
      </c>
      <c r="Y53" s="26" t="s">
        <v>3</v>
      </c>
      <c r="Z53" s="26" t="s">
        <v>3</v>
      </c>
      <c r="AA53" s="26" t="s">
        <v>3</v>
      </c>
      <c r="AB53" s="27" t="s">
        <v>7</v>
      </c>
      <c r="AC53" s="28" t="s">
        <v>11</v>
      </c>
      <c r="AD53" s="26" t="s">
        <v>3</v>
      </c>
      <c r="AE53" s="22" t="s">
        <v>5</v>
      </c>
      <c r="AF53" s="26" t="s">
        <v>3</v>
      </c>
      <c r="AG53" s="26" t="s">
        <v>3</v>
      </c>
      <c r="AH53" s="26" t="s">
        <v>3</v>
      </c>
      <c r="AI53" s="8">
        <f t="shared" si="16"/>
        <v>22</v>
      </c>
      <c r="AJ53" s="8">
        <f t="shared" si="17"/>
        <v>1</v>
      </c>
      <c r="AK53" s="29">
        <f t="shared" si="18"/>
        <v>4</v>
      </c>
      <c r="AL53" s="62">
        <v>4</v>
      </c>
      <c r="AM53" s="33">
        <f t="shared" si="19"/>
        <v>28</v>
      </c>
      <c r="AN53" s="63">
        <f t="shared" si="20"/>
        <v>184</v>
      </c>
      <c r="AO53" s="63">
        <f t="shared" si="21"/>
        <v>1</v>
      </c>
      <c r="AP53" s="63">
        <f t="shared" si="22"/>
        <v>4</v>
      </c>
      <c r="AQ53" s="53">
        <f t="shared" si="23"/>
        <v>27.5</v>
      </c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</row>
    <row r="54" spans="1:56" ht="22" customHeight="1" x14ac:dyDescent="0.35">
      <c r="A54" s="8" t="s">
        <v>135</v>
      </c>
      <c r="B54" s="8" t="s">
        <v>136</v>
      </c>
      <c r="C54" s="8" t="s">
        <v>104</v>
      </c>
      <c r="D54" s="22" t="s">
        <v>5</v>
      </c>
      <c r="E54" s="22" t="s">
        <v>5</v>
      </c>
      <c r="F54" s="22" t="s">
        <v>5</v>
      </c>
      <c r="G54" s="23" t="s">
        <v>7</v>
      </c>
      <c r="H54" s="24" t="s">
        <v>9</v>
      </c>
      <c r="I54" s="22" t="s">
        <v>5</v>
      </c>
      <c r="J54" s="22" t="s">
        <v>5</v>
      </c>
      <c r="K54" s="22" t="s">
        <v>5</v>
      </c>
      <c r="L54" s="22" t="s">
        <v>5</v>
      </c>
      <c r="M54" s="22" t="s">
        <v>5</v>
      </c>
      <c r="N54" s="23" t="s">
        <v>7</v>
      </c>
      <c r="O54" s="24" t="s">
        <v>9</v>
      </c>
      <c r="P54" s="26" t="s">
        <v>3</v>
      </c>
      <c r="Q54" s="26" t="s">
        <v>3</v>
      </c>
      <c r="R54" s="26" t="s">
        <v>3</v>
      </c>
      <c r="S54" s="26" t="s">
        <v>3</v>
      </c>
      <c r="T54" s="26" t="s">
        <v>3</v>
      </c>
      <c r="U54" s="27" t="s">
        <v>7</v>
      </c>
      <c r="V54" s="28" t="s">
        <v>11</v>
      </c>
      <c r="W54" s="26" t="s">
        <v>3</v>
      </c>
      <c r="X54" s="26" t="s">
        <v>3</v>
      </c>
      <c r="Y54" s="26" t="s">
        <v>3</v>
      </c>
      <c r="Z54" s="26" t="s">
        <v>3</v>
      </c>
      <c r="AA54" s="26" t="s">
        <v>3</v>
      </c>
      <c r="AB54" s="27" t="s">
        <v>7</v>
      </c>
      <c r="AC54" s="28" t="s">
        <v>11</v>
      </c>
      <c r="AD54" s="26" t="s">
        <v>3</v>
      </c>
      <c r="AE54" s="26" t="s">
        <v>3</v>
      </c>
      <c r="AF54" s="26" t="s">
        <v>3</v>
      </c>
      <c r="AG54" s="26" t="s">
        <v>3</v>
      </c>
      <c r="AH54" s="26" t="s">
        <v>3</v>
      </c>
      <c r="AI54" s="8">
        <f t="shared" si="16"/>
        <v>15</v>
      </c>
      <c r="AJ54" s="8">
        <f t="shared" si="17"/>
        <v>8</v>
      </c>
      <c r="AK54" s="29">
        <f t="shared" si="18"/>
        <v>2</v>
      </c>
      <c r="AL54" s="62">
        <v>2</v>
      </c>
      <c r="AM54" s="33">
        <f t="shared" si="19"/>
        <v>18</v>
      </c>
      <c r="AN54" s="63">
        <f t="shared" si="20"/>
        <v>184</v>
      </c>
      <c r="AO54" s="63">
        <f t="shared" si="21"/>
        <v>1</v>
      </c>
      <c r="AP54" s="63">
        <f t="shared" si="22"/>
        <v>4</v>
      </c>
      <c r="AQ54" s="53">
        <f t="shared" si="23"/>
        <v>17.5</v>
      </c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</row>
    <row r="55" spans="1:56" ht="22" customHeight="1" x14ac:dyDescent="0.35">
      <c r="A55" s="8" t="s">
        <v>137</v>
      </c>
      <c r="B55" s="8" t="s">
        <v>138</v>
      </c>
      <c r="C55" s="8" t="s">
        <v>104</v>
      </c>
      <c r="D55" s="26" t="s">
        <v>3</v>
      </c>
      <c r="E55" s="26" t="s">
        <v>3</v>
      </c>
      <c r="F55" s="26" t="s">
        <v>3</v>
      </c>
      <c r="G55" s="27" t="s">
        <v>7</v>
      </c>
      <c r="H55" s="28" t="s">
        <v>11</v>
      </c>
      <c r="I55" s="26" t="s">
        <v>3</v>
      </c>
      <c r="J55" s="26" t="s">
        <v>3</v>
      </c>
      <c r="K55" s="26" t="s">
        <v>3</v>
      </c>
      <c r="L55" s="26" t="s">
        <v>3</v>
      </c>
      <c r="M55" s="26" t="s">
        <v>3</v>
      </c>
      <c r="N55" s="27" t="s">
        <v>7</v>
      </c>
      <c r="O55" s="28" t="s">
        <v>11</v>
      </c>
      <c r="P55" s="26" t="s">
        <v>3</v>
      </c>
      <c r="Q55" s="26" t="s">
        <v>3</v>
      </c>
      <c r="R55" s="26" t="s">
        <v>3</v>
      </c>
      <c r="S55" s="26" t="s">
        <v>3</v>
      </c>
      <c r="T55" s="26" t="s">
        <v>3</v>
      </c>
      <c r="U55" s="27" t="s">
        <v>7</v>
      </c>
      <c r="V55" s="28" t="s">
        <v>11</v>
      </c>
      <c r="W55" s="26" t="s">
        <v>3</v>
      </c>
      <c r="X55" s="26" t="s">
        <v>3</v>
      </c>
      <c r="Y55" s="26" t="s">
        <v>3</v>
      </c>
      <c r="Z55" s="26" t="s">
        <v>3</v>
      </c>
      <c r="AA55" s="26" t="s">
        <v>3</v>
      </c>
      <c r="AB55" s="27" t="s">
        <v>7</v>
      </c>
      <c r="AC55" s="24" t="s">
        <v>9</v>
      </c>
      <c r="AD55" s="22" t="s">
        <v>5</v>
      </c>
      <c r="AE55" s="22" t="s">
        <v>5</v>
      </c>
      <c r="AF55" s="22" t="s">
        <v>5</v>
      </c>
      <c r="AG55" s="22" t="s">
        <v>5</v>
      </c>
      <c r="AH55" s="22" t="s">
        <v>5</v>
      </c>
      <c r="AI55" s="8">
        <f t="shared" si="16"/>
        <v>18</v>
      </c>
      <c r="AJ55" s="8">
        <f t="shared" si="17"/>
        <v>5</v>
      </c>
      <c r="AK55" s="29">
        <f t="shared" si="18"/>
        <v>3</v>
      </c>
      <c r="AL55" s="62">
        <v>4</v>
      </c>
      <c r="AM55" s="33">
        <f t="shared" si="19"/>
        <v>23</v>
      </c>
      <c r="AN55" s="63">
        <f t="shared" si="20"/>
        <v>184</v>
      </c>
      <c r="AO55" s="63">
        <f t="shared" si="21"/>
        <v>0</v>
      </c>
      <c r="AP55" s="63">
        <f t="shared" si="22"/>
        <v>0</v>
      </c>
      <c r="AQ55" s="53">
        <f t="shared" si="23"/>
        <v>23</v>
      </c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</row>
    <row r="56" spans="1:56" ht="22" customHeight="1" x14ac:dyDescent="0.35">
      <c r="A56" s="8" t="s">
        <v>139</v>
      </c>
      <c r="B56" s="8" t="s">
        <v>140</v>
      </c>
      <c r="C56" s="8" t="s">
        <v>104</v>
      </c>
      <c r="D56" s="26" t="s">
        <v>3</v>
      </c>
      <c r="E56" s="26" t="s">
        <v>3</v>
      </c>
      <c r="F56" s="26" t="s">
        <v>3</v>
      </c>
      <c r="G56" s="27" t="s">
        <v>7</v>
      </c>
      <c r="H56" s="28" t="s">
        <v>11</v>
      </c>
      <c r="I56" s="26" t="s">
        <v>3</v>
      </c>
      <c r="J56" s="26" t="s">
        <v>3</v>
      </c>
      <c r="K56" s="26" t="s">
        <v>3</v>
      </c>
      <c r="L56" s="26" t="s">
        <v>3</v>
      </c>
      <c r="M56" s="26" t="s">
        <v>3</v>
      </c>
      <c r="N56" s="27" t="s">
        <v>7</v>
      </c>
      <c r="O56" s="28" t="s">
        <v>11</v>
      </c>
      <c r="P56" s="26" t="s">
        <v>3</v>
      </c>
      <c r="Q56" s="26" t="s">
        <v>3</v>
      </c>
      <c r="R56" s="26" t="s">
        <v>3</v>
      </c>
      <c r="S56" s="26" t="s">
        <v>3</v>
      </c>
      <c r="T56" s="26" t="s">
        <v>3</v>
      </c>
      <c r="U56" s="27" t="s">
        <v>7</v>
      </c>
      <c r="V56" s="24" t="s">
        <v>9</v>
      </c>
      <c r="W56" s="22" t="s">
        <v>5</v>
      </c>
      <c r="X56" s="22" t="s">
        <v>5</v>
      </c>
      <c r="Y56" s="22" t="s">
        <v>5</v>
      </c>
      <c r="Z56" s="22" t="s">
        <v>5</v>
      </c>
      <c r="AA56" s="26" t="s">
        <v>3</v>
      </c>
      <c r="AB56" s="23" t="s">
        <v>7</v>
      </c>
      <c r="AC56" s="24" t="s">
        <v>9</v>
      </c>
      <c r="AD56" s="26" t="s">
        <v>3</v>
      </c>
      <c r="AE56" s="22" t="s">
        <v>5</v>
      </c>
      <c r="AF56" s="22" t="s">
        <v>5</v>
      </c>
      <c r="AG56" s="22" t="s">
        <v>5</v>
      </c>
      <c r="AH56" s="26" t="s">
        <v>3</v>
      </c>
      <c r="AI56" s="8">
        <f t="shared" si="16"/>
        <v>16</v>
      </c>
      <c r="AJ56" s="8">
        <f t="shared" si="17"/>
        <v>7</v>
      </c>
      <c r="AK56" s="29">
        <f t="shared" si="18"/>
        <v>2</v>
      </c>
      <c r="AL56" s="62">
        <v>3</v>
      </c>
      <c r="AM56" s="33">
        <f t="shared" si="19"/>
        <v>19.5</v>
      </c>
      <c r="AN56" s="63">
        <f t="shared" si="20"/>
        <v>184</v>
      </c>
      <c r="AO56" s="63">
        <f t="shared" si="21"/>
        <v>2</v>
      </c>
      <c r="AP56" s="63">
        <f t="shared" si="22"/>
        <v>8</v>
      </c>
      <c r="AQ56" s="53">
        <f t="shared" si="23"/>
        <v>18.5</v>
      </c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spans="1:56" ht="22" customHeight="1" x14ac:dyDescent="0.35">
      <c r="A57" s="8" t="s">
        <v>141</v>
      </c>
      <c r="B57" s="8" t="s">
        <v>142</v>
      </c>
      <c r="C57" s="8" t="s">
        <v>104</v>
      </c>
      <c r="D57" s="26" t="s">
        <v>3</v>
      </c>
      <c r="E57" s="26" t="s">
        <v>3</v>
      </c>
      <c r="F57" s="26" t="s">
        <v>3</v>
      </c>
      <c r="G57" s="27" t="s">
        <v>7</v>
      </c>
      <c r="H57" s="28" t="s">
        <v>11</v>
      </c>
      <c r="I57" s="26" t="s">
        <v>3</v>
      </c>
      <c r="J57" s="26" t="s">
        <v>3</v>
      </c>
      <c r="K57" s="22" t="s">
        <v>5</v>
      </c>
      <c r="L57" s="26" t="s">
        <v>3</v>
      </c>
      <c r="M57" s="26" t="s">
        <v>3</v>
      </c>
      <c r="N57" s="27" t="s">
        <v>7</v>
      </c>
      <c r="O57" s="28" t="s">
        <v>11</v>
      </c>
      <c r="P57" s="26" t="s">
        <v>3</v>
      </c>
      <c r="Q57" s="26" t="s">
        <v>3</v>
      </c>
      <c r="R57" s="22" t="s">
        <v>5</v>
      </c>
      <c r="S57" s="26" t="s">
        <v>3</v>
      </c>
      <c r="T57" s="26" t="s">
        <v>3</v>
      </c>
      <c r="U57" s="27" t="s">
        <v>7</v>
      </c>
      <c r="V57" s="28" t="s">
        <v>11</v>
      </c>
      <c r="W57" s="26" t="s">
        <v>3</v>
      </c>
      <c r="X57" s="26" t="s">
        <v>3</v>
      </c>
      <c r="Y57" s="26" t="s">
        <v>3</v>
      </c>
      <c r="Z57" s="26" t="s">
        <v>3</v>
      </c>
      <c r="AA57" s="26" t="s">
        <v>3</v>
      </c>
      <c r="AB57" s="27" t="s">
        <v>7</v>
      </c>
      <c r="AC57" s="28" t="s">
        <v>11</v>
      </c>
      <c r="AD57" s="26" t="s">
        <v>3</v>
      </c>
      <c r="AE57" s="26" t="s">
        <v>3</v>
      </c>
      <c r="AF57" s="26" t="s">
        <v>3</v>
      </c>
      <c r="AG57" s="22" t="s">
        <v>5</v>
      </c>
      <c r="AH57" s="22" t="s">
        <v>5</v>
      </c>
      <c r="AI57" s="8">
        <f t="shared" si="16"/>
        <v>19</v>
      </c>
      <c r="AJ57" s="8">
        <f t="shared" si="17"/>
        <v>4</v>
      </c>
      <c r="AK57" s="29">
        <f t="shared" si="18"/>
        <v>4</v>
      </c>
      <c r="AL57" s="62">
        <v>4</v>
      </c>
      <c r="AM57" s="33">
        <f t="shared" si="19"/>
        <v>25</v>
      </c>
      <c r="AN57" s="63">
        <f t="shared" si="20"/>
        <v>184</v>
      </c>
      <c r="AO57" s="63">
        <f t="shared" si="21"/>
        <v>0</v>
      </c>
      <c r="AP57" s="63">
        <f t="shared" si="22"/>
        <v>0</v>
      </c>
      <c r="AQ57" s="53">
        <f t="shared" si="23"/>
        <v>25</v>
      </c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</row>
    <row r="58" spans="1:56" ht="22" customHeight="1" x14ac:dyDescent="0.35">
      <c r="A58" s="8" t="s">
        <v>143</v>
      </c>
      <c r="B58" s="8" t="s">
        <v>144</v>
      </c>
      <c r="C58" s="8" t="s">
        <v>104</v>
      </c>
      <c r="D58" s="26" t="s">
        <v>3</v>
      </c>
      <c r="E58" s="26" t="s">
        <v>3</v>
      </c>
      <c r="F58" s="26" t="s">
        <v>3</v>
      </c>
      <c r="G58" s="27" t="s">
        <v>7</v>
      </c>
      <c r="H58" s="28" t="s">
        <v>11</v>
      </c>
      <c r="I58" s="26" t="s">
        <v>3</v>
      </c>
      <c r="J58" s="26" t="s">
        <v>3</v>
      </c>
      <c r="K58" s="26" t="s">
        <v>3</v>
      </c>
      <c r="L58" s="26" t="s">
        <v>3</v>
      </c>
      <c r="M58" s="26" t="s">
        <v>3</v>
      </c>
      <c r="N58" s="27" t="s">
        <v>7</v>
      </c>
      <c r="O58" s="28" t="s">
        <v>11</v>
      </c>
      <c r="P58" s="26" t="s">
        <v>3</v>
      </c>
      <c r="Q58" s="26" t="s">
        <v>3</v>
      </c>
      <c r="R58" s="26" t="s">
        <v>3</v>
      </c>
      <c r="S58" s="26" t="s">
        <v>3</v>
      </c>
      <c r="T58" s="26" t="s">
        <v>3</v>
      </c>
      <c r="U58" s="27" t="s">
        <v>7</v>
      </c>
      <c r="V58" s="28" t="s">
        <v>11</v>
      </c>
      <c r="W58" s="26" t="s">
        <v>3</v>
      </c>
      <c r="X58" s="26" t="s">
        <v>3</v>
      </c>
      <c r="Y58" s="26" t="s">
        <v>3</v>
      </c>
      <c r="Z58" s="26" t="s">
        <v>3</v>
      </c>
      <c r="AA58" s="26" t="s">
        <v>3</v>
      </c>
      <c r="AB58" s="27" t="s">
        <v>7</v>
      </c>
      <c r="AC58" s="28" t="s">
        <v>11</v>
      </c>
      <c r="AD58" s="26" t="s">
        <v>3</v>
      </c>
      <c r="AE58" s="22" t="s">
        <v>5</v>
      </c>
      <c r="AF58" s="22" t="s">
        <v>5</v>
      </c>
      <c r="AG58" s="22" t="s">
        <v>5</v>
      </c>
      <c r="AH58" s="22" t="s">
        <v>5</v>
      </c>
      <c r="AI58" s="8">
        <f t="shared" si="16"/>
        <v>19</v>
      </c>
      <c r="AJ58" s="8">
        <f t="shared" si="17"/>
        <v>4</v>
      </c>
      <c r="AK58" s="29">
        <f t="shared" si="18"/>
        <v>4</v>
      </c>
      <c r="AL58" s="62">
        <v>4</v>
      </c>
      <c r="AM58" s="33">
        <f t="shared" si="19"/>
        <v>25</v>
      </c>
      <c r="AN58" s="63">
        <f t="shared" si="20"/>
        <v>184</v>
      </c>
      <c r="AO58" s="63">
        <f t="shared" si="21"/>
        <v>0</v>
      </c>
      <c r="AP58" s="63">
        <f t="shared" si="22"/>
        <v>0</v>
      </c>
      <c r="AQ58" s="53">
        <f t="shared" si="23"/>
        <v>25</v>
      </c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</row>
    <row r="59" spans="1:56" ht="22" customHeight="1" x14ac:dyDescent="0.35">
      <c r="A59" s="8" t="s">
        <v>145</v>
      </c>
      <c r="B59" s="8" t="s">
        <v>146</v>
      </c>
      <c r="C59" s="8" t="s">
        <v>104</v>
      </c>
      <c r="D59" s="26" t="s">
        <v>3</v>
      </c>
      <c r="E59" s="26" t="s">
        <v>3</v>
      </c>
      <c r="F59" s="26" t="s">
        <v>3</v>
      </c>
      <c r="G59" s="27" t="s">
        <v>7</v>
      </c>
      <c r="H59" s="28" t="s">
        <v>11</v>
      </c>
      <c r="I59" s="26" t="s">
        <v>3</v>
      </c>
      <c r="J59" s="26" t="s">
        <v>3</v>
      </c>
      <c r="K59" s="26" t="s">
        <v>3</v>
      </c>
      <c r="L59" s="26" t="s">
        <v>3</v>
      </c>
      <c r="M59" s="26" t="s">
        <v>3</v>
      </c>
      <c r="N59" s="27" t="s">
        <v>7</v>
      </c>
      <c r="O59" s="28" t="s">
        <v>11</v>
      </c>
      <c r="P59" s="26" t="s">
        <v>3</v>
      </c>
      <c r="Q59" s="26" t="s">
        <v>3</v>
      </c>
      <c r="R59" s="26" t="s">
        <v>3</v>
      </c>
      <c r="S59" s="26" t="s">
        <v>3</v>
      </c>
      <c r="T59" s="26" t="s">
        <v>3</v>
      </c>
      <c r="U59" s="27" t="s">
        <v>7</v>
      </c>
      <c r="V59" s="28" t="s">
        <v>11</v>
      </c>
      <c r="W59" s="22" t="s">
        <v>5</v>
      </c>
      <c r="X59" s="22" t="s">
        <v>5</v>
      </c>
      <c r="Y59" s="22" t="s">
        <v>5</v>
      </c>
      <c r="Z59" s="26" t="s">
        <v>3</v>
      </c>
      <c r="AA59" s="26" t="s">
        <v>3</v>
      </c>
      <c r="AB59" s="23" t="s">
        <v>7</v>
      </c>
      <c r="AC59" s="24" t="s">
        <v>9</v>
      </c>
      <c r="AD59" s="26" t="s">
        <v>3</v>
      </c>
      <c r="AE59" s="22" t="s">
        <v>5</v>
      </c>
      <c r="AF59" s="26" t="s">
        <v>3</v>
      </c>
      <c r="AG59" s="26" t="s">
        <v>3</v>
      </c>
      <c r="AH59" s="26" t="s">
        <v>3</v>
      </c>
      <c r="AI59" s="8">
        <f t="shared" si="16"/>
        <v>19</v>
      </c>
      <c r="AJ59" s="8">
        <f t="shared" si="17"/>
        <v>4</v>
      </c>
      <c r="AK59" s="29">
        <f t="shared" si="18"/>
        <v>3</v>
      </c>
      <c r="AL59" s="62">
        <v>3</v>
      </c>
      <c r="AM59" s="33">
        <f t="shared" si="19"/>
        <v>23.5</v>
      </c>
      <c r="AN59" s="63">
        <f t="shared" si="20"/>
        <v>184</v>
      </c>
      <c r="AO59" s="63">
        <f t="shared" si="21"/>
        <v>2</v>
      </c>
      <c r="AP59" s="63">
        <f t="shared" si="22"/>
        <v>8</v>
      </c>
      <c r="AQ59" s="53">
        <f t="shared" si="23"/>
        <v>22.5</v>
      </c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</row>
    <row r="60" spans="1:56" ht="22" customHeight="1" x14ac:dyDescent="0.35">
      <c r="A60" s="8" t="s">
        <v>147</v>
      </c>
      <c r="B60" s="8" t="s">
        <v>148</v>
      </c>
      <c r="C60" s="8" t="s">
        <v>104</v>
      </c>
      <c r="D60" s="22" t="s">
        <v>5</v>
      </c>
      <c r="E60" s="22" t="s">
        <v>5</v>
      </c>
      <c r="F60" s="22" t="s">
        <v>5</v>
      </c>
      <c r="G60" s="23" t="s">
        <v>7</v>
      </c>
      <c r="H60" s="24" t="s">
        <v>9</v>
      </c>
      <c r="I60" s="22" t="s">
        <v>5</v>
      </c>
      <c r="J60" s="22" t="s">
        <v>5</v>
      </c>
      <c r="K60" s="22" t="s">
        <v>5</v>
      </c>
      <c r="L60" s="22" t="s">
        <v>5</v>
      </c>
      <c r="M60" s="22" t="s">
        <v>5</v>
      </c>
      <c r="N60" s="23" t="s">
        <v>7</v>
      </c>
      <c r="O60" s="24" t="s">
        <v>9</v>
      </c>
      <c r="P60" s="22" t="s">
        <v>5</v>
      </c>
      <c r="Q60" s="26" t="s">
        <v>3</v>
      </c>
      <c r="R60" s="26" t="s">
        <v>3</v>
      </c>
      <c r="S60" s="26" t="s">
        <v>3</v>
      </c>
      <c r="T60" s="26" t="s">
        <v>3</v>
      </c>
      <c r="U60" s="27" t="s">
        <v>7</v>
      </c>
      <c r="V60" s="28" t="s">
        <v>11</v>
      </c>
      <c r="W60" s="22" t="s">
        <v>5</v>
      </c>
      <c r="X60" s="22" t="s">
        <v>5</v>
      </c>
      <c r="Y60" s="22" t="s">
        <v>5</v>
      </c>
      <c r="Z60" s="22" t="s">
        <v>5</v>
      </c>
      <c r="AA60" s="22" t="s">
        <v>5</v>
      </c>
      <c r="AB60" s="23" t="s">
        <v>7</v>
      </c>
      <c r="AC60" s="24" t="s">
        <v>9</v>
      </c>
      <c r="AD60" s="22" t="s">
        <v>5</v>
      </c>
      <c r="AE60" s="22" t="s">
        <v>5</v>
      </c>
      <c r="AF60" s="26" t="s">
        <v>3</v>
      </c>
      <c r="AG60" s="26" t="s">
        <v>3</v>
      </c>
      <c r="AH60" s="26" t="s">
        <v>3</v>
      </c>
      <c r="AI60" s="8">
        <f t="shared" si="16"/>
        <v>7</v>
      </c>
      <c r="AJ60" s="25">
        <f t="shared" si="17"/>
        <v>16</v>
      </c>
      <c r="AK60" s="29">
        <f t="shared" si="18"/>
        <v>1</v>
      </c>
      <c r="AL60" s="62">
        <v>1</v>
      </c>
      <c r="AM60" s="33">
        <f t="shared" si="19"/>
        <v>8.5</v>
      </c>
      <c r="AN60" s="63">
        <f t="shared" si="20"/>
        <v>184</v>
      </c>
      <c r="AO60" s="63">
        <f t="shared" si="21"/>
        <v>1</v>
      </c>
      <c r="AP60" s="63">
        <f t="shared" si="22"/>
        <v>4</v>
      </c>
      <c r="AQ60" s="53">
        <f t="shared" si="23"/>
        <v>8</v>
      </c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</row>
    <row r="61" spans="1:56" ht="22" customHeight="1" x14ac:dyDescent="0.35">
      <c r="A61" s="8" t="s">
        <v>149</v>
      </c>
      <c r="B61" s="8" t="s">
        <v>150</v>
      </c>
      <c r="C61" s="8" t="s">
        <v>104</v>
      </c>
      <c r="D61" s="26" t="s">
        <v>3</v>
      </c>
      <c r="E61" s="26" t="s">
        <v>3</v>
      </c>
      <c r="F61" s="26" t="s">
        <v>3</v>
      </c>
      <c r="G61" s="27" t="s">
        <v>7</v>
      </c>
      <c r="H61" s="28" t="s">
        <v>11</v>
      </c>
      <c r="I61" s="26" t="s">
        <v>3</v>
      </c>
      <c r="J61" s="26" t="s">
        <v>3</v>
      </c>
      <c r="K61" s="26" t="s">
        <v>3</v>
      </c>
      <c r="L61" s="26" t="s">
        <v>3</v>
      </c>
      <c r="M61" s="26" t="s">
        <v>3</v>
      </c>
      <c r="N61" s="27" t="s">
        <v>7</v>
      </c>
      <c r="O61" s="28" t="s">
        <v>11</v>
      </c>
      <c r="P61" s="26" t="s">
        <v>3</v>
      </c>
      <c r="Q61" s="26" t="s">
        <v>3</v>
      </c>
      <c r="R61" s="26" t="s">
        <v>3</v>
      </c>
      <c r="S61" s="26" t="s">
        <v>3</v>
      </c>
      <c r="T61" s="26" t="s">
        <v>3</v>
      </c>
      <c r="U61" s="27" t="s">
        <v>7</v>
      </c>
      <c r="V61" s="28" t="s">
        <v>11</v>
      </c>
      <c r="W61" s="26" t="s">
        <v>3</v>
      </c>
      <c r="X61" s="26" t="s">
        <v>3</v>
      </c>
      <c r="Y61" s="26" t="s">
        <v>3</v>
      </c>
      <c r="Z61" s="26" t="s">
        <v>3</v>
      </c>
      <c r="AA61" s="26" t="s">
        <v>3</v>
      </c>
      <c r="AB61" s="27" t="s">
        <v>7</v>
      </c>
      <c r="AC61" s="28" t="s">
        <v>11</v>
      </c>
      <c r="AD61" s="26" t="s">
        <v>3</v>
      </c>
      <c r="AE61" s="26" t="s">
        <v>3</v>
      </c>
      <c r="AF61" s="26" t="s">
        <v>3</v>
      </c>
      <c r="AG61" s="26" t="s">
        <v>3</v>
      </c>
      <c r="AH61" s="26" t="s">
        <v>3</v>
      </c>
      <c r="AI61" s="8">
        <f t="shared" si="16"/>
        <v>23</v>
      </c>
      <c r="AJ61" s="8">
        <f t="shared" si="17"/>
        <v>0</v>
      </c>
      <c r="AK61" s="29">
        <f t="shared" si="18"/>
        <v>4</v>
      </c>
      <c r="AL61" s="62">
        <v>4</v>
      </c>
      <c r="AM61" s="33">
        <f t="shared" si="19"/>
        <v>29</v>
      </c>
      <c r="AN61" s="63">
        <f t="shared" si="20"/>
        <v>184</v>
      </c>
      <c r="AO61" s="63">
        <f t="shared" si="21"/>
        <v>1</v>
      </c>
      <c r="AP61" s="63">
        <f t="shared" si="22"/>
        <v>4</v>
      </c>
      <c r="AQ61" s="53">
        <f t="shared" si="23"/>
        <v>28.5</v>
      </c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</row>
    <row r="62" spans="1:56" ht="22" customHeight="1" x14ac:dyDescent="0.35">
      <c r="A62" s="8" t="s">
        <v>151</v>
      </c>
      <c r="B62" s="8" t="s">
        <v>152</v>
      </c>
      <c r="C62" s="8" t="s">
        <v>104</v>
      </c>
      <c r="D62" s="22" t="s">
        <v>5</v>
      </c>
      <c r="E62" s="26" t="s">
        <v>3</v>
      </c>
      <c r="F62" s="26" t="s">
        <v>3</v>
      </c>
      <c r="G62" s="27" t="s">
        <v>7</v>
      </c>
      <c r="H62" s="28" t="s">
        <v>11</v>
      </c>
      <c r="I62" s="26" t="s">
        <v>3</v>
      </c>
      <c r="J62" s="26" t="s">
        <v>3</v>
      </c>
      <c r="K62" s="26" t="s">
        <v>3</v>
      </c>
      <c r="L62" s="26" t="s">
        <v>3</v>
      </c>
      <c r="M62" s="26" t="s">
        <v>3</v>
      </c>
      <c r="N62" s="27" t="s">
        <v>7</v>
      </c>
      <c r="O62" s="28" t="s">
        <v>11</v>
      </c>
      <c r="P62" s="26" t="s">
        <v>3</v>
      </c>
      <c r="Q62" s="26" t="s">
        <v>3</v>
      </c>
      <c r="R62" s="26" t="s">
        <v>3</v>
      </c>
      <c r="S62" s="26" t="s">
        <v>3</v>
      </c>
      <c r="T62" s="26" t="s">
        <v>3</v>
      </c>
      <c r="U62" s="27" t="s">
        <v>7</v>
      </c>
      <c r="V62" s="28" t="s">
        <v>11</v>
      </c>
      <c r="W62" s="26" t="s">
        <v>3</v>
      </c>
      <c r="X62" s="26" t="s">
        <v>3</v>
      </c>
      <c r="Y62" s="26" t="s">
        <v>3</v>
      </c>
      <c r="Z62" s="26" t="s">
        <v>3</v>
      </c>
      <c r="AA62" s="26" t="s">
        <v>3</v>
      </c>
      <c r="AB62" s="23" t="s">
        <v>7</v>
      </c>
      <c r="AC62" s="24" t="s">
        <v>9</v>
      </c>
      <c r="AD62" s="26" t="s">
        <v>3</v>
      </c>
      <c r="AE62" s="22" t="s">
        <v>5</v>
      </c>
      <c r="AF62" s="26" t="s">
        <v>3</v>
      </c>
      <c r="AG62" s="26" t="s">
        <v>3</v>
      </c>
      <c r="AH62" s="26" t="s">
        <v>3</v>
      </c>
      <c r="AI62" s="8">
        <f t="shared" si="16"/>
        <v>21</v>
      </c>
      <c r="AJ62" s="8">
        <f t="shared" si="17"/>
        <v>2</v>
      </c>
      <c r="AK62" s="29">
        <f t="shared" si="18"/>
        <v>3</v>
      </c>
      <c r="AL62" s="62">
        <v>3</v>
      </c>
      <c r="AM62" s="33">
        <f t="shared" si="19"/>
        <v>25.5</v>
      </c>
      <c r="AN62" s="63">
        <f t="shared" si="20"/>
        <v>184</v>
      </c>
      <c r="AO62" s="63">
        <f t="shared" si="21"/>
        <v>2</v>
      </c>
      <c r="AP62" s="63">
        <f t="shared" si="22"/>
        <v>8</v>
      </c>
      <c r="AQ62" s="53">
        <f t="shared" si="23"/>
        <v>24.5</v>
      </c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</row>
    <row r="63" spans="1:56" ht="22" customHeight="1" x14ac:dyDescent="0.35">
      <c r="A63" s="8" t="s">
        <v>153</v>
      </c>
      <c r="B63" s="8" t="s">
        <v>154</v>
      </c>
      <c r="C63" s="8" t="s">
        <v>104</v>
      </c>
      <c r="D63" s="22" t="s">
        <v>5</v>
      </c>
      <c r="E63" s="22" t="s">
        <v>5</v>
      </c>
      <c r="F63" s="22" t="s">
        <v>5</v>
      </c>
      <c r="G63" s="23" t="s">
        <v>7</v>
      </c>
      <c r="H63" s="24" t="s">
        <v>9</v>
      </c>
      <c r="I63" s="22" t="s">
        <v>5</v>
      </c>
      <c r="J63" s="22" t="s">
        <v>5</v>
      </c>
      <c r="K63" s="22" t="s">
        <v>5</v>
      </c>
      <c r="L63" s="22" t="s">
        <v>5</v>
      </c>
      <c r="M63" s="22" t="s">
        <v>5</v>
      </c>
      <c r="N63" s="23" t="s">
        <v>7</v>
      </c>
      <c r="O63" s="24" t="s">
        <v>9</v>
      </c>
      <c r="P63" s="22" t="s">
        <v>5</v>
      </c>
      <c r="Q63" s="26" t="s">
        <v>3</v>
      </c>
      <c r="R63" s="26" t="s">
        <v>3</v>
      </c>
      <c r="S63" s="26" t="s">
        <v>3</v>
      </c>
      <c r="T63" s="26" t="s">
        <v>3</v>
      </c>
      <c r="U63" s="27" t="s">
        <v>7</v>
      </c>
      <c r="V63" s="28" t="s">
        <v>11</v>
      </c>
      <c r="W63" s="26" t="s">
        <v>3</v>
      </c>
      <c r="X63" s="26" t="s">
        <v>3</v>
      </c>
      <c r="Y63" s="26" t="s">
        <v>3</v>
      </c>
      <c r="Z63" s="26" t="s">
        <v>3</v>
      </c>
      <c r="AA63" s="26" t="s">
        <v>3</v>
      </c>
      <c r="AB63" s="27" t="s">
        <v>7</v>
      </c>
      <c r="AC63" s="24" t="s">
        <v>9</v>
      </c>
      <c r="AD63" s="26" t="s">
        <v>3</v>
      </c>
      <c r="AE63" s="26" t="s">
        <v>3</v>
      </c>
      <c r="AF63" s="26" t="s">
        <v>3</v>
      </c>
      <c r="AG63" s="26" t="s">
        <v>3</v>
      </c>
      <c r="AH63" s="26" t="s">
        <v>3</v>
      </c>
      <c r="AI63" s="8">
        <f t="shared" si="16"/>
        <v>14</v>
      </c>
      <c r="AJ63" s="8">
        <f t="shared" si="17"/>
        <v>9</v>
      </c>
      <c r="AK63" s="29">
        <f t="shared" si="18"/>
        <v>1</v>
      </c>
      <c r="AL63" s="62">
        <v>2</v>
      </c>
      <c r="AM63" s="33">
        <f t="shared" si="19"/>
        <v>16</v>
      </c>
      <c r="AN63" s="63">
        <f t="shared" si="20"/>
        <v>184</v>
      </c>
      <c r="AO63" s="63">
        <f t="shared" si="21"/>
        <v>1</v>
      </c>
      <c r="AP63" s="63">
        <f t="shared" si="22"/>
        <v>4</v>
      </c>
      <c r="AQ63" s="53">
        <f t="shared" si="23"/>
        <v>15.5</v>
      </c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</row>
    <row r="64" spans="1:56" ht="22" customHeight="1" x14ac:dyDescent="0.35">
      <c r="A64" s="8" t="s">
        <v>155</v>
      </c>
      <c r="B64" s="8" t="s">
        <v>156</v>
      </c>
      <c r="C64" s="8" t="s">
        <v>104</v>
      </c>
      <c r="D64" s="22" t="s">
        <v>5</v>
      </c>
      <c r="E64" s="22" t="s">
        <v>5</v>
      </c>
      <c r="F64" s="22" t="s">
        <v>5</v>
      </c>
      <c r="G64" s="23" t="s">
        <v>7</v>
      </c>
      <c r="H64" s="24" t="s">
        <v>9</v>
      </c>
      <c r="I64" s="22" t="s">
        <v>5</v>
      </c>
      <c r="J64" s="22" t="s">
        <v>5</v>
      </c>
      <c r="K64" s="22" t="s">
        <v>5</v>
      </c>
      <c r="L64" s="22" t="s">
        <v>5</v>
      </c>
      <c r="M64" s="22" t="s">
        <v>5</v>
      </c>
      <c r="N64" s="23" t="s">
        <v>7</v>
      </c>
      <c r="O64" s="24" t="s">
        <v>9</v>
      </c>
      <c r="P64" s="22" t="s">
        <v>5</v>
      </c>
      <c r="Q64" s="26" t="s">
        <v>3</v>
      </c>
      <c r="R64" s="26" t="s">
        <v>3</v>
      </c>
      <c r="S64" s="26" t="s">
        <v>3</v>
      </c>
      <c r="T64" s="26" t="s">
        <v>3</v>
      </c>
      <c r="U64" s="27" t="s">
        <v>7</v>
      </c>
      <c r="V64" s="28" t="s">
        <v>11</v>
      </c>
      <c r="W64" s="26" t="s">
        <v>3</v>
      </c>
      <c r="X64" s="26" t="s">
        <v>3</v>
      </c>
      <c r="Y64" s="26" t="s">
        <v>3</v>
      </c>
      <c r="Z64" s="22" t="s">
        <v>5</v>
      </c>
      <c r="AA64" s="22" t="s">
        <v>5</v>
      </c>
      <c r="AB64" s="23" t="s">
        <v>7</v>
      </c>
      <c r="AC64" s="28" t="s">
        <v>11</v>
      </c>
      <c r="AD64" s="26" t="s">
        <v>3</v>
      </c>
      <c r="AE64" s="26" t="s">
        <v>3</v>
      </c>
      <c r="AF64" s="26" t="s">
        <v>3</v>
      </c>
      <c r="AG64" s="26" t="s">
        <v>3</v>
      </c>
      <c r="AH64" s="26" t="s">
        <v>3</v>
      </c>
      <c r="AI64" s="8">
        <f t="shared" si="16"/>
        <v>12</v>
      </c>
      <c r="AJ64" s="25">
        <f t="shared" si="17"/>
        <v>11</v>
      </c>
      <c r="AK64" s="29">
        <f t="shared" si="18"/>
        <v>2</v>
      </c>
      <c r="AL64" s="62">
        <v>1</v>
      </c>
      <c r="AM64" s="33">
        <f t="shared" si="19"/>
        <v>14.5</v>
      </c>
      <c r="AN64" s="63">
        <f t="shared" si="20"/>
        <v>184</v>
      </c>
      <c r="AO64" s="63">
        <f t="shared" si="21"/>
        <v>1</v>
      </c>
      <c r="AP64" s="63">
        <f t="shared" si="22"/>
        <v>4</v>
      </c>
      <c r="AQ64" s="53">
        <f t="shared" si="23"/>
        <v>14</v>
      </c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</row>
    <row r="65" spans="1:56" ht="22" customHeight="1" x14ac:dyDescent="0.35">
      <c r="A65" s="8" t="s">
        <v>157</v>
      </c>
      <c r="B65" s="8" t="s">
        <v>158</v>
      </c>
      <c r="C65" s="8" t="s">
        <v>104</v>
      </c>
      <c r="D65" s="22" t="s">
        <v>5</v>
      </c>
      <c r="E65" s="22" t="s">
        <v>5</v>
      </c>
      <c r="F65" s="22" t="s">
        <v>5</v>
      </c>
      <c r="G65" s="23" t="s">
        <v>7</v>
      </c>
      <c r="H65" s="24" t="s">
        <v>9</v>
      </c>
      <c r="I65" s="22" t="s">
        <v>5</v>
      </c>
      <c r="J65" s="22" t="s">
        <v>5</v>
      </c>
      <c r="K65" s="22" t="s">
        <v>5</v>
      </c>
      <c r="L65" s="22" t="s">
        <v>5</v>
      </c>
      <c r="M65" s="22" t="s">
        <v>5</v>
      </c>
      <c r="N65" s="23" t="s">
        <v>7</v>
      </c>
      <c r="O65" s="24" t="s">
        <v>9</v>
      </c>
      <c r="P65" s="22" t="s">
        <v>5</v>
      </c>
      <c r="Q65" s="22" t="s">
        <v>5</v>
      </c>
      <c r="R65" s="22" t="s">
        <v>5</v>
      </c>
      <c r="S65" s="22" t="s">
        <v>5</v>
      </c>
      <c r="T65" s="22" t="s">
        <v>5</v>
      </c>
      <c r="U65" s="23" t="s">
        <v>7</v>
      </c>
      <c r="V65" s="24" t="s">
        <v>9</v>
      </c>
      <c r="W65" s="22" t="s">
        <v>5</v>
      </c>
      <c r="X65" s="22" t="s">
        <v>5</v>
      </c>
      <c r="Y65" s="22" t="s">
        <v>5</v>
      </c>
      <c r="Z65" s="22" t="s">
        <v>5</v>
      </c>
      <c r="AA65" s="22" t="s">
        <v>5</v>
      </c>
      <c r="AB65" s="23" t="s">
        <v>7</v>
      </c>
      <c r="AC65" s="24" t="s">
        <v>9</v>
      </c>
      <c r="AD65" s="22" t="s">
        <v>5</v>
      </c>
      <c r="AE65" s="22" t="s">
        <v>5</v>
      </c>
      <c r="AF65" s="22" t="s">
        <v>5</v>
      </c>
      <c r="AG65" s="22" t="s">
        <v>5</v>
      </c>
      <c r="AH65" s="22" t="s">
        <v>5</v>
      </c>
      <c r="AI65" s="8">
        <f t="shared" si="16"/>
        <v>0</v>
      </c>
      <c r="AJ65" s="25">
        <f t="shared" si="17"/>
        <v>23</v>
      </c>
      <c r="AK65" s="8">
        <f t="shared" si="18"/>
        <v>0</v>
      </c>
      <c r="AL65" s="62">
        <v>0</v>
      </c>
      <c r="AM65" s="33">
        <f t="shared" si="19"/>
        <v>0</v>
      </c>
      <c r="AN65" s="63">
        <f t="shared" si="20"/>
        <v>184</v>
      </c>
      <c r="AO65" s="63">
        <f t="shared" si="21"/>
        <v>0</v>
      </c>
      <c r="AP65" s="63">
        <f t="shared" si="22"/>
        <v>0</v>
      </c>
      <c r="AQ65" s="53">
        <f t="shared" si="23"/>
        <v>0</v>
      </c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</row>
    <row r="66" spans="1:56" ht="22" customHeight="1" x14ac:dyDescent="0.35">
      <c r="A66" s="8" t="s">
        <v>159</v>
      </c>
      <c r="B66" s="8" t="s">
        <v>160</v>
      </c>
      <c r="C66" s="8" t="s">
        <v>104</v>
      </c>
      <c r="D66" s="22" t="s">
        <v>5</v>
      </c>
      <c r="E66" s="22" t="s">
        <v>5</v>
      </c>
      <c r="F66" s="22" t="s">
        <v>5</v>
      </c>
      <c r="G66" s="23" t="s">
        <v>7</v>
      </c>
      <c r="H66" s="24" t="s">
        <v>9</v>
      </c>
      <c r="I66" s="22" t="s">
        <v>5</v>
      </c>
      <c r="J66" s="22" t="s">
        <v>5</v>
      </c>
      <c r="K66" s="22" t="s">
        <v>5</v>
      </c>
      <c r="L66" s="22" t="s">
        <v>5</v>
      </c>
      <c r="M66" s="22" t="s">
        <v>5</v>
      </c>
      <c r="N66" s="23" t="s">
        <v>7</v>
      </c>
      <c r="O66" s="24" t="s">
        <v>9</v>
      </c>
      <c r="P66" s="22" t="s">
        <v>5</v>
      </c>
      <c r="Q66" s="22" t="s">
        <v>5</v>
      </c>
      <c r="R66" s="22" t="s">
        <v>5</v>
      </c>
      <c r="S66" s="22" t="s">
        <v>5</v>
      </c>
      <c r="T66" s="22" t="s">
        <v>5</v>
      </c>
      <c r="U66" s="23" t="s">
        <v>7</v>
      </c>
      <c r="V66" s="24" t="s">
        <v>9</v>
      </c>
      <c r="W66" s="22" t="s">
        <v>5</v>
      </c>
      <c r="X66" s="22" t="s">
        <v>5</v>
      </c>
      <c r="Y66" s="22" t="s">
        <v>5</v>
      </c>
      <c r="Z66" s="22" t="s">
        <v>5</v>
      </c>
      <c r="AA66" s="22" t="s">
        <v>5</v>
      </c>
      <c r="AB66" s="23" t="s">
        <v>7</v>
      </c>
      <c r="AC66" s="24" t="s">
        <v>9</v>
      </c>
      <c r="AD66" s="22" t="s">
        <v>5</v>
      </c>
      <c r="AE66" s="22" t="s">
        <v>5</v>
      </c>
      <c r="AF66" s="22" t="s">
        <v>5</v>
      </c>
      <c r="AG66" s="22" t="s">
        <v>5</v>
      </c>
      <c r="AH66" s="22" t="s">
        <v>5</v>
      </c>
      <c r="AI66" s="8">
        <f t="shared" si="16"/>
        <v>0</v>
      </c>
      <c r="AJ66" s="25">
        <f t="shared" si="17"/>
        <v>23</v>
      </c>
      <c r="AK66" s="8">
        <f t="shared" si="18"/>
        <v>0</v>
      </c>
      <c r="AL66" s="62">
        <v>0</v>
      </c>
      <c r="AM66" s="33">
        <f t="shared" si="19"/>
        <v>0</v>
      </c>
      <c r="AN66" s="63">
        <f t="shared" si="20"/>
        <v>184</v>
      </c>
      <c r="AO66" s="63">
        <f t="shared" si="21"/>
        <v>0</v>
      </c>
      <c r="AP66" s="63">
        <f t="shared" si="22"/>
        <v>0</v>
      </c>
      <c r="AQ66" s="53">
        <f t="shared" si="23"/>
        <v>0</v>
      </c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</row>
    <row r="67" spans="1:56" ht="22" customHeight="1" x14ac:dyDescent="0.35">
      <c r="A67" s="8" t="s">
        <v>161</v>
      </c>
      <c r="B67" s="8" t="s">
        <v>162</v>
      </c>
      <c r="C67" s="8" t="s">
        <v>104</v>
      </c>
      <c r="D67" s="22" t="s">
        <v>5</v>
      </c>
      <c r="E67" s="22" t="s">
        <v>5</v>
      </c>
      <c r="F67" s="22" t="s">
        <v>5</v>
      </c>
      <c r="G67" s="23" t="s">
        <v>7</v>
      </c>
      <c r="H67" s="24" t="s">
        <v>9</v>
      </c>
      <c r="I67" s="22" t="s">
        <v>5</v>
      </c>
      <c r="J67" s="22" t="s">
        <v>5</v>
      </c>
      <c r="K67" s="22" t="s">
        <v>5</v>
      </c>
      <c r="L67" s="22" t="s">
        <v>5</v>
      </c>
      <c r="M67" s="22" t="s">
        <v>5</v>
      </c>
      <c r="N67" s="23" t="s">
        <v>7</v>
      </c>
      <c r="O67" s="24" t="s">
        <v>9</v>
      </c>
      <c r="P67" s="22" t="s">
        <v>5</v>
      </c>
      <c r="Q67" s="22" t="s">
        <v>5</v>
      </c>
      <c r="R67" s="22" t="s">
        <v>5</v>
      </c>
      <c r="S67" s="22" t="s">
        <v>5</v>
      </c>
      <c r="T67" s="22" t="s">
        <v>5</v>
      </c>
      <c r="U67" s="23" t="s">
        <v>7</v>
      </c>
      <c r="V67" s="24" t="s">
        <v>9</v>
      </c>
      <c r="W67" s="22" t="s">
        <v>5</v>
      </c>
      <c r="X67" s="22" t="s">
        <v>5</v>
      </c>
      <c r="Y67" s="22" t="s">
        <v>5</v>
      </c>
      <c r="Z67" s="22" t="s">
        <v>5</v>
      </c>
      <c r="AA67" s="22" t="s">
        <v>5</v>
      </c>
      <c r="AB67" s="23" t="s">
        <v>7</v>
      </c>
      <c r="AC67" s="24" t="s">
        <v>9</v>
      </c>
      <c r="AD67" s="22" t="s">
        <v>5</v>
      </c>
      <c r="AE67" s="22" t="s">
        <v>5</v>
      </c>
      <c r="AF67" s="22" t="s">
        <v>5</v>
      </c>
      <c r="AG67" s="22" t="s">
        <v>5</v>
      </c>
      <c r="AH67" s="22" t="s">
        <v>5</v>
      </c>
      <c r="AI67" s="8">
        <f t="shared" si="16"/>
        <v>0</v>
      </c>
      <c r="AJ67" s="25">
        <f t="shared" si="17"/>
        <v>23</v>
      </c>
      <c r="AK67" s="8">
        <f t="shared" si="18"/>
        <v>0</v>
      </c>
      <c r="AL67" s="62">
        <v>0</v>
      </c>
      <c r="AM67" s="33">
        <f t="shared" si="19"/>
        <v>0</v>
      </c>
      <c r="AN67" s="63">
        <f t="shared" si="20"/>
        <v>184</v>
      </c>
      <c r="AO67" s="63">
        <f t="shared" si="21"/>
        <v>0</v>
      </c>
      <c r="AP67" s="63">
        <f t="shared" si="22"/>
        <v>0</v>
      </c>
      <c r="AQ67" s="53">
        <f t="shared" si="23"/>
        <v>0</v>
      </c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</row>
    <row r="68" spans="1:56" ht="22" customHeight="1" x14ac:dyDescent="0.35">
      <c r="A68" s="8" t="s">
        <v>163</v>
      </c>
      <c r="B68" s="8" t="s">
        <v>164</v>
      </c>
      <c r="C68" s="8" t="s">
        <v>104</v>
      </c>
      <c r="D68" s="22" t="s">
        <v>5</v>
      </c>
      <c r="E68" s="22" t="s">
        <v>5</v>
      </c>
      <c r="F68" s="22" t="s">
        <v>5</v>
      </c>
      <c r="G68" s="23" t="s">
        <v>7</v>
      </c>
      <c r="H68" s="24" t="s">
        <v>9</v>
      </c>
      <c r="I68" s="22" t="s">
        <v>5</v>
      </c>
      <c r="J68" s="22" t="s">
        <v>5</v>
      </c>
      <c r="K68" s="22" t="s">
        <v>5</v>
      </c>
      <c r="L68" s="22" t="s">
        <v>5</v>
      </c>
      <c r="M68" s="22" t="s">
        <v>5</v>
      </c>
      <c r="N68" s="23" t="s">
        <v>7</v>
      </c>
      <c r="O68" s="24" t="s">
        <v>9</v>
      </c>
      <c r="P68" s="22" t="s">
        <v>5</v>
      </c>
      <c r="Q68" s="22" t="s">
        <v>5</v>
      </c>
      <c r="R68" s="22" t="s">
        <v>5</v>
      </c>
      <c r="S68" s="22" t="s">
        <v>5</v>
      </c>
      <c r="T68" s="22" t="s">
        <v>5</v>
      </c>
      <c r="U68" s="23" t="s">
        <v>7</v>
      </c>
      <c r="V68" s="24" t="s">
        <v>9</v>
      </c>
      <c r="W68" s="22" t="s">
        <v>5</v>
      </c>
      <c r="X68" s="22" t="s">
        <v>5</v>
      </c>
      <c r="Y68" s="22" t="s">
        <v>5</v>
      </c>
      <c r="Z68" s="22" t="s">
        <v>5</v>
      </c>
      <c r="AA68" s="22" t="s">
        <v>5</v>
      </c>
      <c r="AB68" s="23" t="s">
        <v>7</v>
      </c>
      <c r="AC68" s="24" t="s">
        <v>9</v>
      </c>
      <c r="AD68" s="22" t="s">
        <v>5</v>
      </c>
      <c r="AE68" s="22" t="s">
        <v>5</v>
      </c>
      <c r="AF68" s="22" t="s">
        <v>5</v>
      </c>
      <c r="AG68" s="22" t="s">
        <v>5</v>
      </c>
      <c r="AH68" s="22" t="s">
        <v>5</v>
      </c>
      <c r="AI68" s="8">
        <f t="shared" si="16"/>
        <v>0</v>
      </c>
      <c r="AJ68" s="25">
        <f t="shared" si="17"/>
        <v>23</v>
      </c>
      <c r="AK68" s="8">
        <f t="shared" si="18"/>
        <v>0</v>
      </c>
      <c r="AL68" s="62">
        <v>0</v>
      </c>
      <c r="AM68" s="33">
        <f t="shared" si="19"/>
        <v>0</v>
      </c>
      <c r="AN68" s="63">
        <f t="shared" si="20"/>
        <v>184</v>
      </c>
      <c r="AO68" s="63">
        <f t="shared" si="21"/>
        <v>0</v>
      </c>
      <c r="AP68" s="63">
        <f t="shared" si="22"/>
        <v>0</v>
      </c>
      <c r="AQ68" s="53">
        <f t="shared" si="23"/>
        <v>0</v>
      </c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</row>
    <row r="69" spans="1:56" ht="22" customHeight="1" x14ac:dyDescent="0.35">
      <c r="A69" s="8" t="s">
        <v>165</v>
      </c>
      <c r="B69" s="8" t="s">
        <v>166</v>
      </c>
      <c r="C69" s="8" t="s">
        <v>104</v>
      </c>
      <c r="D69" s="26" t="s">
        <v>3</v>
      </c>
      <c r="E69" s="26" t="s">
        <v>3</v>
      </c>
      <c r="F69" s="26" t="s">
        <v>3</v>
      </c>
      <c r="G69" s="27" t="s">
        <v>7</v>
      </c>
      <c r="H69" s="28" t="s">
        <v>11</v>
      </c>
      <c r="I69" s="26" t="s">
        <v>3</v>
      </c>
      <c r="J69" s="26" t="s">
        <v>3</v>
      </c>
      <c r="K69" s="26" t="s">
        <v>3</v>
      </c>
      <c r="L69" s="26" t="s">
        <v>3</v>
      </c>
      <c r="M69" s="26" t="s">
        <v>3</v>
      </c>
      <c r="N69" s="27" t="s">
        <v>7</v>
      </c>
      <c r="O69" s="28" t="s">
        <v>11</v>
      </c>
      <c r="P69" s="26" t="s">
        <v>3</v>
      </c>
      <c r="Q69" s="26" t="s">
        <v>3</v>
      </c>
      <c r="R69" s="26" t="s">
        <v>3</v>
      </c>
      <c r="S69" s="26" t="s">
        <v>3</v>
      </c>
      <c r="T69" s="22" t="s">
        <v>5</v>
      </c>
      <c r="U69" s="23" t="s">
        <v>7</v>
      </c>
      <c r="V69" s="24" t="s">
        <v>9</v>
      </c>
      <c r="W69" s="22" t="s">
        <v>5</v>
      </c>
      <c r="X69" s="26" t="s">
        <v>3</v>
      </c>
      <c r="Y69" s="22" t="s">
        <v>5</v>
      </c>
      <c r="Z69" s="26" t="s">
        <v>3</v>
      </c>
      <c r="AA69" s="26" t="s">
        <v>3</v>
      </c>
      <c r="AB69" s="27" t="s">
        <v>7</v>
      </c>
      <c r="AC69" s="28" t="s">
        <v>11</v>
      </c>
      <c r="AD69" s="26" t="s">
        <v>3</v>
      </c>
      <c r="AE69" s="26" t="s">
        <v>3</v>
      </c>
      <c r="AF69" s="26" t="s">
        <v>3</v>
      </c>
      <c r="AG69" s="26" t="s">
        <v>3</v>
      </c>
      <c r="AH69" s="26" t="s">
        <v>3</v>
      </c>
      <c r="AI69" s="8">
        <f t="shared" si="16"/>
        <v>20</v>
      </c>
      <c r="AJ69" s="8">
        <f t="shared" si="17"/>
        <v>3</v>
      </c>
      <c r="AK69" s="29">
        <f t="shared" si="18"/>
        <v>3</v>
      </c>
      <c r="AL69" s="62">
        <v>3</v>
      </c>
      <c r="AM69" s="33">
        <f t="shared" si="19"/>
        <v>24.5</v>
      </c>
      <c r="AN69" s="63">
        <f t="shared" si="20"/>
        <v>184</v>
      </c>
      <c r="AO69" s="63">
        <f t="shared" si="21"/>
        <v>1</v>
      </c>
      <c r="AP69" s="63">
        <f t="shared" si="22"/>
        <v>4</v>
      </c>
      <c r="AQ69" s="53">
        <f t="shared" si="23"/>
        <v>24</v>
      </c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</row>
    <row r="70" spans="1:56" ht="22" customHeight="1" x14ac:dyDescent="0.35">
      <c r="A70" s="8" t="s">
        <v>167</v>
      </c>
      <c r="B70" s="8" t="s">
        <v>168</v>
      </c>
      <c r="C70" s="8" t="s">
        <v>104</v>
      </c>
      <c r="D70" s="22" t="s">
        <v>5</v>
      </c>
      <c r="E70" s="22" t="s">
        <v>5</v>
      </c>
      <c r="F70" s="22" t="s">
        <v>5</v>
      </c>
      <c r="G70" s="23" t="s">
        <v>7</v>
      </c>
      <c r="H70" s="24" t="s">
        <v>9</v>
      </c>
      <c r="I70" s="22" t="s">
        <v>5</v>
      </c>
      <c r="J70" s="26" t="s">
        <v>3</v>
      </c>
      <c r="K70" s="26" t="s">
        <v>3</v>
      </c>
      <c r="L70" s="26" t="s">
        <v>3</v>
      </c>
      <c r="M70" s="26" t="s">
        <v>3</v>
      </c>
      <c r="N70" s="27" t="s">
        <v>7</v>
      </c>
      <c r="O70" s="28" t="s">
        <v>11</v>
      </c>
      <c r="P70" s="26" t="s">
        <v>3</v>
      </c>
      <c r="Q70" s="26" t="s">
        <v>3</v>
      </c>
      <c r="R70" s="26" t="s">
        <v>3</v>
      </c>
      <c r="S70" s="26" t="s">
        <v>3</v>
      </c>
      <c r="T70" s="26" t="s">
        <v>3</v>
      </c>
      <c r="U70" s="27" t="s">
        <v>7</v>
      </c>
      <c r="V70" s="28" t="s">
        <v>11</v>
      </c>
      <c r="W70" s="26" t="s">
        <v>3</v>
      </c>
      <c r="X70" s="26" t="s">
        <v>3</v>
      </c>
      <c r="Y70" s="26" t="s">
        <v>3</v>
      </c>
      <c r="Z70" s="26" t="s">
        <v>3</v>
      </c>
      <c r="AA70" s="26" t="s">
        <v>3</v>
      </c>
      <c r="AB70" s="23" t="s">
        <v>7</v>
      </c>
      <c r="AC70" s="24" t="s">
        <v>9</v>
      </c>
      <c r="AD70" s="26" t="s">
        <v>3</v>
      </c>
      <c r="AE70" s="22" t="s">
        <v>5</v>
      </c>
      <c r="AF70" s="26" t="s">
        <v>3</v>
      </c>
      <c r="AG70" s="26" t="s">
        <v>3</v>
      </c>
      <c r="AH70" s="26" t="s">
        <v>3</v>
      </c>
      <c r="AI70" s="8">
        <f t="shared" si="16"/>
        <v>18</v>
      </c>
      <c r="AJ70" s="8">
        <f t="shared" si="17"/>
        <v>5</v>
      </c>
      <c r="AK70" s="29">
        <f t="shared" si="18"/>
        <v>2</v>
      </c>
      <c r="AL70" s="62">
        <v>2</v>
      </c>
      <c r="AM70" s="33">
        <f t="shared" si="19"/>
        <v>21</v>
      </c>
      <c r="AN70" s="63">
        <f t="shared" si="20"/>
        <v>184</v>
      </c>
      <c r="AO70" s="63">
        <f t="shared" si="21"/>
        <v>2</v>
      </c>
      <c r="AP70" s="63">
        <f t="shared" si="22"/>
        <v>8</v>
      </c>
      <c r="AQ70" s="53">
        <f t="shared" si="23"/>
        <v>20</v>
      </c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</row>
    <row r="71" spans="1:56" ht="22" customHeight="1" x14ac:dyDescent="0.35">
      <c r="A71" s="8" t="s">
        <v>169</v>
      </c>
      <c r="B71" s="8" t="s">
        <v>170</v>
      </c>
      <c r="C71" s="8" t="s">
        <v>104</v>
      </c>
      <c r="D71" s="22" t="s">
        <v>5</v>
      </c>
      <c r="E71" s="22" t="s">
        <v>5</v>
      </c>
      <c r="F71" s="22" t="s">
        <v>5</v>
      </c>
      <c r="G71" s="23" t="s">
        <v>7</v>
      </c>
      <c r="H71" s="24" t="s">
        <v>9</v>
      </c>
      <c r="I71" s="22" t="s">
        <v>5</v>
      </c>
      <c r="J71" s="22" t="s">
        <v>5</v>
      </c>
      <c r="K71" s="22" t="s">
        <v>5</v>
      </c>
      <c r="L71" s="22" t="s">
        <v>5</v>
      </c>
      <c r="M71" s="22" t="s">
        <v>5</v>
      </c>
      <c r="N71" s="23" t="s">
        <v>7</v>
      </c>
      <c r="O71" s="24" t="s">
        <v>9</v>
      </c>
      <c r="P71" s="26" t="s">
        <v>3</v>
      </c>
      <c r="Q71" s="26" t="s">
        <v>3</v>
      </c>
      <c r="R71" s="26" t="s">
        <v>3</v>
      </c>
      <c r="S71" s="26" t="s">
        <v>3</v>
      </c>
      <c r="T71" s="26" t="s">
        <v>3</v>
      </c>
      <c r="U71" s="27" t="s">
        <v>7</v>
      </c>
      <c r="V71" s="28" t="s">
        <v>11</v>
      </c>
      <c r="W71" s="26" t="s">
        <v>3</v>
      </c>
      <c r="X71" s="26" t="s">
        <v>3</v>
      </c>
      <c r="Y71" s="26" t="s">
        <v>3</v>
      </c>
      <c r="Z71" s="26" t="s">
        <v>3</v>
      </c>
      <c r="AA71" s="26" t="s">
        <v>3</v>
      </c>
      <c r="AB71" s="27" t="s">
        <v>7</v>
      </c>
      <c r="AC71" s="28" t="s">
        <v>11</v>
      </c>
      <c r="AD71" s="26" t="s">
        <v>3</v>
      </c>
      <c r="AE71" s="26" t="s">
        <v>3</v>
      </c>
      <c r="AF71" s="26" t="s">
        <v>3</v>
      </c>
      <c r="AG71" s="26" t="s">
        <v>3</v>
      </c>
      <c r="AH71" s="26" t="s">
        <v>3</v>
      </c>
      <c r="AI71" s="8">
        <f t="shared" si="16"/>
        <v>15</v>
      </c>
      <c r="AJ71" s="8">
        <f t="shared" si="17"/>
        <v>8</v>
      </c>
      <c r="AK71" s="29">
        <f t="shared" si="18"/>
        <v>2</v>
      </c>
      <c r="AL71" s="62">
        <v>2</v>
      </c>
      <c r="AM71" s="33">
        <f t="shared" si="19"/>
        <v>18</v>
      </c>
      <c r="AN71" s="63">
        <f t="shared" si="20"/>
        <v>184</v>
      </c>
      <c r="AO71" s="63">
        <f t="shared" si="21"/>
        <v>1</v>
      </c>
      <c r="AP71" s="63">
        <f t="shared" si="22"/>
        <v>4</v>
      </c>
      <c r="AQ71" s="53">
        <f t="shared" si="23"/>
        <v>17.5</v>
      </c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</row>
    <row r="72" spans="1:56" ht="22" customHeight="1" x14ac:dyDescent="0.35">
      <c r="A72" s="8" t="s">
        <v>171</v>
      </c>
      <c r="B72" s="8" t="s">
        <v>172</v>
      </c>
      <c r="C72" s="8" t="s">
        <v>104</v>
      </c>
      <c r="D72" s="22" t="s">
        <v>5</v>
      </c>
      <c r="E72" s="22" t="s">
        <v>5</v>
      </c>
      <c r="F72" s="22" t="s">
        <v>5</v>
      </c>
      <c r="G72" s="23" t="s">
        <v>7</v>
      </c>
      <c r="H72" s="24" t="s">
        <v>9</v>
      </c>
      <c r="I72" s="22" t="s">
        <v>5</v>
      </c>
      <c r="J72" s="22" t="s">
        <v>5</v>
      </c>
      <c r="K72" s="22" t="s">
        <v>5</v>
      </c>
      <c r="L72" s="22" t="s">
        <v>5</v>
      </c>
      <c r="M72" s="26" t="s">
        <v>3</v>
      </c>
      <c r="N72" s="27" t="s">
        <v>7</v>
      </c>
      <c r="O72" s="28" t="s">
        <v>11</v>
      </c>
      <c r="P72" s="26" t="s">
        <v>3</v>
      </c>
      <c r="Q72" s="26" t="s">
        <v>3</v>
      </c>
      <c r="R72" s="26" t="s">
        <v>3</v>
      </c>
      <c r="S72" s="26" t="s">
        <v>3</v>
      </c>
      <c r="T72" s="26" t="s">
        <v>3</v>
      </c>
      <c r="U72" s="27" t="s">
        <v>7</v>
      </c>
      <c r="V72" s="28" t="s">
        <v>11</v>
      </c>
      <c r="W72" s="26" t="s">
        <v>3</v>
      </c>
      <c r="X72" s="26" t="s">
        <v>3</v>
      </c>
      <c r="Y72" s="26" t="s">
        <v>3</v>
      </c>
      <c r="Z72" s="26" t="s">
        <v>3</v>
      </c>
      <c r="AA72" s="26" t="s">
        <v>3</v>
      </c>
      <c r="AB72" s="27" t="s">
        <v>7</v>
      </c>
      <c r="AC72" s="28" t="s">
        <v>11</v>
      </c>
      <c r="AD72" s="26" t="s">
        <v>3</v>
      </c>
      <c r="AE72" s="26" t="s">
        <v>3</v>
      </c>
      <c r="AF72" s="26" t="s">
        <v>3</v>
      </c>
      <c r="AG72" s="26" t="s">
        <v>3</v>
      </c>
      <c r="AH72" s="26" t="s">
        <v>3</v>
      </c>
      <c r="AI72" s="8">
        <f t="shared" si="16"/>
        <v>16</v>
      </c>
      <c r="AJ72" s="8">
        <f t="shared" si="17"/>
        <v>7</v>
      </c>
      <c r="AK72" s="29">
        <f t="shared" si="18"/>
        <v>3</v>
      </c>
      <c r="AL72" s="62">
        <v>3</v>
      </c>
      <c r="AM72" s="33">
        <f t="shared" si="19"/>
        <v>20.5</v>
      </c>
      <c r="AN72" s="63">
        <f t="shared" si="20"/>
        <v>184</v>
      </c>
      <c r="AO72" s="63">
        <f t="shared" si="21"/>
        <v>1</v>
      </c>
      <c r="AP72" s="63">
        <f t="shared" si="22"/>
        <v>4</v>
      </c>
      <c r="AQ72" s="53">
        <f t="shared" si="23"/>
        <v>20</v>
      </c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</row>
    <row r="73" spans="1:56" ht="22" customHeight="1" x14ac:dyDescent="0.35">
      <c r="A73" s="8" t="s">
        <v>173</v>
      </c>
      <c r="B73" s="8" t="s">
        <v>174</v>
      </c>
      <c r="C73" s="8" t="s">
        <v>104</v>
      </c>
      <c r="D73" s="26" t="s">
        <v>3</v>
      </c>
      <c r="E73" s="26" t="s">
        <v>3</v>
      </c>
      <c r="F73" s="26" t="s">
        <v>3</v>
      </c>
      <c r="G73" s="27" t="s">
        <v>7</v>
      </c>
      <c r="H73" s="28" t="s">
        <v>11</v>
      </c>
      <c r="I73" s="26" t="s">
        <v>3</v>
      </c>
      <c r="J73" s="26" t="s">
        <v>3</v>
      </c>
      <c r="K73" s="26" t="s">
        <v>3</v>
      </c>
      <c r="L73" s="26" t="s">
        <v>3</v>
      </c>
      <c r="M73" s="26" t="s">
        <v>3</v>
      </c>
      <c r="N73" s="27" t="s">
        <v>7</v>
      </c>
      <c r="O73" s="28" t="s">
        <v>11</v>
      </c>
      <c r="P73" s="26" t="s">
        <v>3</v>
      </c>
      <c r="Q73" s="26" t="s">
        <v>3</v>
      </c>
      <c r="R73" s="26" t="s">
        <v>3</v>
      </c>
      <c r="S73" s="26" t="s">
        <v>3</v>
      </c>
      <c r="T73" s="26" t="s">
        <v>3</v>
      </c>
      <c r="U73" s="27" t="s">
        <v>7</v>
      </c>
      <c r="V73" s="28" t="s">
        <v>11</v>
      </c>
      <c r="W73" s="26" t="s">
        <v>3</v>
      </c>
      <c r="X73" s="26" t="s">
        <v>3</v>
      </c>
      <c r="Y73" s="26" t="s">
        <v>3</v>
      </c>
      <c r="Z73" s="26" t="s">
        <v>3</v>
      </c>
      <c r="AA73" s="22" t="s">
        <v>5</v>
      </c>
      <c r="AB73" s="23" t="s">
        <v>7</v>
      </c>
      <c r="AC73" s="24" t="s">
        <v>9</v>
      </c>
      <c r="AD73" s="22" t="s">
        <v>5</v>
      </c>
      <c r="AE73" s="22" t="s">
        <v>5</v>
      </c>
      <c r="AF73" s="22" t="s">
        <v>5</v>
      </c>
      <c r="AG73" s="22" t="s">
        <v>5</v>
      </c>
      <c r="AH73" s="22" t="s">
        <v>5</v>
      </c>
      <c r="AI73" s="8">
        <f t="shared" si="16"/>
        <v>17</v>
      </c>
      <c r="AJ73" s="8">
        <f t="shared" si="17"/>
        <v>6</v>
      </c>
      <c r="AK73" s="29">
        <f t="shared" si="18"/>
        <v>3</v>
      </c>
      <c r="AL73" s="62">
        <v>3</v>
      </c>
      <c r="AM73" s="33">
        <f t="shared" si="19"/>
        <v>21.5</v>
      </c>
      <c r="AN73" s="63">
        <f t="shared" si="20"/>
        <v>184</v>
      </c>
      <c r="AO73" s="63">
        <f t="shared" si="21"/>
        <v>0</v>
      </c>
      <c r="AP73" s="63">
        <f t="shared" si="22"/>
        <v>0</v>
      </c>
      <c r="AQ73" s="53">
        <f t="shared" si="23"/>
        <v>21.5</v>
      </c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</row>
    <row r="74" spans="1:56" ht="22" customHeight="1" x14ac:dyDescent="0.35">
      <c r="A74" s="8" t="s">
        <v>175</v>
      </c>
      <c r="B74" s="8" t="s">
        <v>176</v>
      </c>
      <c r="C74" s="8" t="s">
        <v>104</v>
      </c>
      <c r="D74" s="26" t="s">
        <v>3</v>
      </c>
      <c r="E74" s="26" t="s">
        <v>3</v>
      </c>
      <c r="F74" s="26" t="s">
        <v>3</v>
      </c>
      <c r="G74" s="27" t="s">
        <v>7</v>
      </c>
      <c r="H74" s="28" t="s">
        <v>11</v>
      </c>
      <c r="I74" s="26" t="s">
        <v>3</v>
      </c>
      <c r="J74" s="26" t="s">
        <v>3</v>
      </c>
      <c r="K74" s="26" t="s">
        <v>3</v>
      </c>
      <c r="L74" s="26" t="s">
        <v>3</v>
      </c>
      <c r="M74" s="26" t="s">
        <v>3</v>
      </c>
      <c r="N74" s="27" t="s">
        <v>7</v>
      </c>
      <c r="O74" s="28" t="s">
        <v>11</v>
      </c>
      <c r="P74" s="26" t="s">
        <v>3</v>
      </c>
      <c r="Q74" s="26" t="s">
        <v>3</v>
      </c>
      <c r="R74" s="26" t="s">
        <v>3</v>
      </c>
      <c r="S74" s="26" t="s">
        <v>3</v>
      </c>
      <c r="T74" s="26" t="s">
        <v>3</v>
      </c>
      <c r="U74" s="27" t="s">
        <v>7</v>
      </c>
      <c r="V74" s="28" t="s">
        <v>11</v>
      </c>
      <c r="W74" s="26" t="s">
        <v>3</v>
      </c>
      <c r="X74" s="26" t="s">
        <v>3</v>
      </c>
      <c r="Y74" s="26" t="s">
        <v>3</v>
      </c>
      <c r="Z74" s="26" t="s">
        <v>3</v>
      </c>
      <c r="AA74" s="26" t="s">
        <v>3</v>
      </c>
      <c r="AB74" s="27" t="s">
        <v>7</v>
      </c>
      <c r="AC74" s="24" t="s">
        <v>9</v>
      </c>
      <c r="AD74" s="22" t="s">
        <v>5</v>
      </c>
      <c r="AE74" s="22" t="s">
        <v>5</v>
      </c>
      <c r="AF74" s="22" t="s">
        <v>5</v>
      </c>
      <c r="AG74" s="22" t="s">
        <v>5</v>
      </c>
      <c r="AH74" s="22" t="s">
        <v>5</v>
      </c>
      <c r="AI74" s="8">
        <f t="shared" si="16"/>
        <v>18</v>
      </c>
      <c r="AJ74" s="8">
        <f t="shared" si="17"/>
        <v>5</v>
      </c>
      <c r="AK74" s="29">
        <f t="shared" si="18"/>
        <v>3</v>
      </c>
      <c r="AL74" s="62">
        <v>4</v>
      </c>
      <c r="AM74" s="33">
        <f t="shared" si="19"/>
        <v>23</v>
      </c>
      <c r="AN74" s="63">
        <f t="shared" si="20"/>
        <v>184</v>
      </c>
      <c r="AO74" s="63">
        <f t="shared" si="21"/>
        <v>0</v>
      </c>
      <c r="AP74" s="63">
        <f t="shared" si="22"/>
        <v>0</v>
      </c>
      <c r="AQ74" s="53">
        <f t="shared" si="23"/>
        <v>23</v>
      </c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</row>
    <row r="75" spans="1:56" x14ac:dyDescent="0.35"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</row>
    <row r="76" spans="1:56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</row>
    <row r="77" spans="1:56" ht="22" customHeight="1" x14ac:dyDescent="0.35">
      <c r="A77" s="8" t="s">
        <v>178</v>
      </c>
      <c r="B77" s="8" t="s">
        <v>179</v>
      </c>
      <c r="C77" s="8" t="s">
        <v>180</v>
      </c>
      <c r="D77" s="22" t="s">
        <v>5</v>
      </c>
      <c r="E77" s="26" t="s">
        <v>3</v>
      </c>
      <c r="F77" s="26" t="s">
        <v>3</v>
      </c>
      <c r="G77" s="27" t="s">
        <v>7</v>
      </c>
      <c r="H77" s="28" t="s">
        <v>11</v>
      </c>
      <c r="I77" s="26" t="s">
        <v>3</v>
      </c>
      <c r="J77" s="26" t="s">
        <v>3</v>
      </c>
      <c r="K77" s="22" t="s">
        <v>5</v>
      </c>
      <c r="L77" s="22" t="s">
        <v>5</v>
      </c>
      <c r="M77" s="22" t="s">
        <v>5</v>
      </c>
      <c r="N77" s="23" t="s">
        <v>7</v>
      </c>
      <c r="O77" s="24" t="s">
        <v>9</v>
      </c>
      <c r="P77" s="22" t="s">
        <v>5</v>
      </c>
      <c r="Q77" s="26" t="s">
        <v>3</v>
      </c>
      <c r="R77" s="26" t="s">
        <v>3</v>
      </c>
      <c r="S77" s="26" t="s">
        <v>3</v>
      </c>
      <c r="T77" s="26" t="s">
        <v>3</v>
      </c>
      <c r="U77" s="27" t="s">
        <v>7</v>
      </c>
      <c r="V77" s="28" t="s">
        <v>11</v>
      </c>
      <c r="W77" s="26" t="s">
        <v>3</v>
      </c>
      <c r="X77" s="26" t="s">
        <v>3</v>
      </c>
      <c r="Y77" s="26" t="s">
        <v>3</v>
      </c>
      <c r="Z77" s="26" t="s">
        <v>3</v>
      </c>
      <c r="AA77" s="26" t="s">
        <v>3</v>
      </c>
      <c r="AB77" s="27" t="s">
        <v>7</v>
      </c>
      <c r="AC77" s="28" t="s">
        <v>11</v>
      </c>
      <c r="AD77" s="26" t="s">
        <v>3</v>
      </c>
      <c r="AE77" s="26" t="s">
        <v>3</v>
      </c>
      <c r="AF77" s="26" t="s">
        <v>3</v>
      </c>
      <c r="AG77" s="26" t="s">
        <v>3</v>
      </c>
      <c r="AH77" s="26" t="s">
        <v>3</v>
      </c>
      <c r="AI77" s="8">
        <f t="shared" ref="AI77:AI82" si="24">COUNTIF(D77:AH77,"ON")</f>
        <v>18</v>
      </c>
      <c r="AJ77" s="8">
        <f t="shared" ref="AJ77:AJ82" si="25">COUNTIF(D77:AH77,"OFF")</f>
        <v>5</v>
      </c>
      <c r="AK77" s="29">
        <f t="shared" ref="AK77:AK82" si="26">COUNTIF(D77:AH77,"OT")</f>
        <v>3</v>
      </c>
      <c r="AL77" s="62">
        <v>3</v>
      </c>
      <c r="AM77" s="33">
        <f t="shared" ref="AM77:AM82" si="27">AI77+AK77+AL77*0.5</f>
        <v>22.5</v>
      </c>
      <c r="AN77" s="63">
        <f t="shared" ref="AN77:AN82" si="28">NETWORKDAYS(DATE(2025,1,1),EOMONTH(DATE(2025,1,1),0))*8</f>
        <v>184</v>
      </c>
      <c r="AO77" s="63">
        <f t="shared" ref="AO77:AO82" si="29">MAX(0,COUNTIF(F77,"ON")+COUNTIF(M77,"ON")+COUNTIF(T77,"ON")+COUNTIF(AA77,"ON")+COUNTIF(AH77,"ON")-AL77)</f>
        <v>1</v>
      </c>
      <c r="AP77" s="63">
        <f t="shared" ref="AP77:AP82" si="30">AO77*$AP$2</f>
        <v>4</v>
      </c>
      <c r="AQ77" s="53">
        <f t="shared" ref="AQ77:AQ82" si="31">AM77-AP77/8</f>
        <v>22</v>
      </c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</row>
    <row r="78" spans="1:56" ht="22" customHeight="1" x14ac:dyDescent="0.35">
      <c r="A78" s="8" t="s">
        <v>181</v>
      </c>
      <c r="B78" s="8" t="s">
        <v>182</v>
      </c>
      <c r="C78" s="8" t="s">
        <v>180</v>
      </c>
      <c r="D78" s="22" t="s">
        <v>5</v>
      </c>
      <c r="E78" s="22" t="s">
        <v>5</v>
      </c>
      <c r="F78" s="22" t="s">
        <v>5</v>
      </c>
      <c r="G78" s="23" t="s">
        <v>7</v>
      </c>
      <c r="H78" s="24" t="s">
        <v>9</v>
      </c>
      <c r="I78" s="22" t="s">
        <v>5</v>
      </c>
      <c r="J78" s="26" t="s">
        <v>3</v>
      </c>
      <c r="K78" s="26" t="s">
        <v>3</v>
      </c>
      <c r="L78" s="26" t="s">
        <v>3</v>
      </c>
      <c r="M78" s="26" t="s">
        <v>3</v>
      </c>
      <c r="N78" s="27" t="s">
        <v>7</v>
      </c>
      <c r="O78" s="28" t="s">
        <v>11</v>
      </c>
      <c r="P78" s="26" t="s">
        <v>3</v>
      </c>
      <c r="Q78" s="26" t="s">
        <v>3</v>
      </c>
      <c r="R78" s="26" t="s">
        <v>3</v>
      </c>
      <c r="S78" s="26" t="s">
        <v>3</v>
      </c>
      <c r="T78" s="26" t="s">
        <v>3</v>
      </c>
      <c r="U78" s="27" t="s">
        <v>7</v>
      </c>
      <c r="V78" s="28" t="s">
        <v>11</v>
      </c>
      <c r="W78" s="22" t="s">
        <v>5</v>
      </c>
      <c r="X78" s="22" t="s">
        <v>5</v>
      </c>
      <c r="Y78" s="26" t="s">
        <v>3</v>
      </c>
      <c r="Z78" s="26" t="s">
        <v>3</v>
      </c>
      <c r="AA78" s="26" t="s">
        <v>3</v>
      </c>
      <c r="AB78" s="27" t="s">
        <v>7</v>
      </c>
      <c r="AC78" s="28" t="s">
        <v>11</v>
      </c>
      <c r="AD78" s="26" t="s">
        <v>3</v>
      </c>
      <c r="AE78" s="26" t="s">
        <v>3</v>
      </c>
      <c r="AF78" s="26" t="s">
        <v>3</v>
      </c>
      <c r="AG78" s="26" t="s">
        <v>3</v>
      </c>
      <c r="AH78" s="26" t="s">
        <v>3</v>
      </c>
      <c r="AI78" s="8">
        <f t="shared" si="24"/>
        <v>17</v>
      </c>
      <c r="AJ78" s="8">
        <f t="shared" si="25"/>
        <v>6</v>
      </c>
      <c r="AK78" s="29">
        <f t="shared" si="26"/>
        <v>3</v>
      </c>
      <c r="AL78" s="62">
        <v>3</v>
      </c>
      <c r="AM78" s="33">
        <f t="shared" si="27"/>
        <v>21.5</v>
      </c>
      <c r="AN78" s="63">
        <f t="shared" si="28"/>
        <v>184</v>
      </c>
      <c r="AO78" s="63">
        <f t="shared" si="29"/>
        <v>1</v>
      </c>
      <c r="AP78" s="63">
        <f t="shared" si="30"/>
        <v>4</v>
      </c>
      <c r="AQ78" s="53">
        <f t="shared" si="31"/>
        <v>21</v>
      </c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</row>
    <row r="79" spans="1:56" ht="22" customHeight="1" x14ac:dyDescent="0.35">
      <c r="A79" s="8" t="s">
        <v>183</v>
      </c>
      <c r="B79" s="8" t="s">
        <v>184</v>
      </c>
      <c r="C79" s="8" t="s">
        <v>180</v>
      </c>
      <c r="D79" s="22" t="s">
        <v>5</v>
      </c>
      <c r="E79" s="22" t="s">
        <v>5</v>
      </c>
      <c r="F79" s="22" t="s">
        <v>5</v>
      </c>
      <c r="G79" s="23" t="s">
        <v>7</v>
      </c>
      <c r="H79" s="24" t="s">
        <v>9</v>
      </c>
      <c r="I79" s="22" t="s">
        <v>5</v>
      </c>
      <c r="J79" s="22" t="s">
        <v>5</v>
      </c>
      <c r="K79" s="22" t="s">
        <v>5</v>
      </c>
      <c r="L79" s="22" t="s">
        <v>5</v>
      </c>
      <c r="M79" s="22" t="s">
        <v>5</v>
      </c>
      <c r="N79" s="23" t="s">
        <v>7</v>
      </c>
      <c r="O79" s="24" t="s">
        <v>9</v>
      </c>
      <c r="P79" s="22" t="s">
        <v>5</v>
      </c>
      <c r="Q79" s="22" t="s">
        <v>5</v>
      </c>
      <c r="R79" s="22" t="s">
        <v>5</v>
      </c>
      <c r="S79" s="22" t="s">
        <v>5</v>
      </c>
      <c r="T79" s="22" t="s">
        <v>5</v>
      </c>
      <c r="U79" s="23" t="s">
        <v>7</v>
      </c>
      <c r="V79" s="24" t="s">
        <v>9</v>
      </c>
      <c r="W79" s="22" t="s">
        <v>5</v>
      </c>
      <c r="X79" s="22" t="s">
        <v>5</v>
      </c>
      <c r="Y79" s="22" t="s">
        <v>5</v>
      </c>
      <c r="Z79" s="22" t="s">
        <v>5</v>
      </c>
      <c r="AA79" s="22" t="s">
        <v>5</v>
      </c>
      <c r="AB79" s="23" t="s">
        <v>7</v>
      </c>
      <c r="AC79" s="24" t="s">
        <v>9</v>
      </c>
      <c r="AD79" s="22" t="s">
        <v>5</v>
      </c>
      <c r="AE79" s="22" t="s">
        <v>5</v>
      </c>
      <c r="AF79" s="22" t="s">
        <v>5</v>
      </c>
      <c r="AG79" s="22" t="s">
        <v>5</v>
      </c>
      <c r="AH79" s="22" t="s">
        <v>5</v>
      </c>
      <c r="AI79" s="8">
        <f t="shared" si="24"/>
        <v>0</v>
      </c>
      <c r="AJ79" s="25">
        <f t="shared" si="25"/>
        <v>23</v>
      </c>
      <c r="AK79" s="8">
        <f t="shared" si="26"/>
        <v>0</v>
      </c>
      <c r="AL79" s="62">
        <v>0</v>
      </c>
      <c r="AM79" s="33">
        <f t="shared" si="27"/>
        <v>0</v>
      </c>
      <c r="AN79" s="63">
        <f t="shared" si="28"/>
        <v>184</v>
      </c>
      <c r="AO79" s="63">
        <f t="shared" si="29"/>
        <v>0</v>
      </c>
      <c r="AP79" s="63">
        <f t="shared" si="30"/>
        <v>0</v>
      </c>
      <c r="AQ79" s="53">
        <f t="shared" si="31"/>
        <v>0</v>
      </c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</row>
    <row r="80" spans="1:56" ht="22" customHeight="1" x14ac:dyDescent="0.35">
      <c r="A80" s="8" t="s">
        <v>185</v>
      </c>
      <c r="B80" s="8" t="s">
        <v>186</v>
      </c>
      <c r="C80" s="8" t="s">
        <v>180</v>
      </c>
      <c r="D80" s="22" t="s">
        <v>5</v>
      </c>
      <c r="E80" s="22" t="s">
        <v>5</v>
      </c>
      <c r="F80" s="22" t="s">
        <v>5</v>
      </c>
      <c r="G80" s="23" t="s">
        <v>7</v>
      </c>
      <c r="H80" s="24" t="s">
        <v>9</v>
      </c>
      <c r="I80" s="22" t="s">
        <v>5</v>
      </c>
      <c r="J80" s="22" t="s">
        <v>5</v>
      </c>
      <c r="K80" s="22" t="s">
        <v>5</v>
      </c>
      <c r="L80" s="22" t="s">
        <v>5</v>
      </c>
      <c r="M80" s="22" t="s">
        <v>5</v>
      </c>
      <c r="N80" s="23" t="s">
        <v>7</v>
      </c>
      <c r="O80" s="24" t="s">
        <v>9</v>
      </c>
      <c r="P80" s="22" t="s">
        <v>5</v>
      </c>
      <c r="Q80" s="22" t="s">
        <v>5</v>
      </c>
      <c r="R80" s="22" t="s">
        <v>5</v>
      </c>
      <c r="S80" s="22" t="s">
        <v>5</v>
      </c>
      <c r="T80" s="22" t="s">
        <v>5</v>
      </c>
      <c r="U80" s="23" t="s">
        <v>7</v>
      </c>
      <c r="V80" s="24" t="s">
        <v>9</v>
      </c>
      <c r="W80" s="22" t="s">
        <v>5</v>
      </c>
      <c r="X80" s="22" t="s">
        <v>5</v>
      </c>
      <c r="Y80" s="22" t="s">
        <v>5</v>
      </c>
      <c r="Z80" s="22" t="s">
        <v>5</v>
      </c>
      <c r="AA80" s="22" t="s">
        <v>5</v>
      </c>
      <c r="AB80" s="23" t="s">
        <v>7</v>
      </c>
      <c r="AC80" s="24" t="s">
        <v>9</v>
      </c>
      <c r="AD80" s="22" t="s">
        <v>5</v>
      </c>
      <c r="AE80" s="22" t="s">
        <v>5</v>
      </c>
      <c r="AF80" s="22" t="s">
        <v>5</v>
      </c>
      <c r="AG80" s="22" t="s">
        <v>5</v>
      </c>
      <c r="AH80" s="22" t="s">
        <v>5</v>
      </c>
      <c r="AI80" s="8">
        <f t="shared" si="24"/>
        <v>0</v>
      </c>
      <c r="AJ80" s="25">
        <f t="shared" si="25"/>
        <v>23</v>
      </c>
      <c r="AK80" s="8">
        <f t="shared" si="26"/>
        <v>0</v>
      </c>
      <c r="AL80" s="62">
        <v>0</v>
      </c>
      <c r="AM80" s="33">
        <f t="shared" si="27"/>
        <v>0</v>
      </c>
      <c r="AN80" s="63">
        <f t="shared" si="28"/>
        <v>184</v>
      </c>
      <c r="AO80" s="63">
        <f t="shared" si="29"/>
        <v>0</v>
      </c>
      <c r="AP80" s="63">
        <f t="shared" si="30"/>
        <v>0</v>
      </c>
      <c r="AQ80" s="53">
        <f t="shared" si="31"/>
        <v>0</v>
      </c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</row>
    <row r="81" spans="1:56" ht="22" customHeight="1" x14ac:dyDescent="0.35">
      <c r="A81" s="8" t="s">
        <v>187</v>
      </c>
      <c r="B81" s="8" t="s">
        <v>188</v>
      </c>
      <c r="C81" s="8" t="s">
        <v>180</v>
      </c>
      <c r="D81" s="26" t="s">
        <v>3</v>
      </c>
      <c r="E81" s="26" t="s">
        <v>3</v>
      </c>
      <c r="F81" s="26" t="s">
        <v>3</v>
      </c>
      <c r="G81" s="27" t="s">
        <v>7</v>
      </c>
      <c r="H81" s="28" t="s">
        <v>11</v>
      </c>
      <c r="I81" s="26" t="s">
        <v>3</v>
      </c>
      <c r="J81" s="26" t="s">
        <v>3</v>
      </c>
      <c r="K81" s="26" t="s">
        <v>3</v>
      </c>
      <c r="L81" s="26" t="s">
        <v>3</v>
      </c>
      <c r="M81" s="26" t="s">
        <v>3</v>
      </c>
      <c r="N81" s="23" t="s">
        <v>7</v>
      </c>
      <c r="O81" s="24" t="s">
        <v>9</v>
      </c>
      <c r="P81" s="26" t="s">
        <v>3</v>
      </c>
      <c r="Q81" s="26" t="s">
        <v>3</v>
      </c>
      <c r="R81" s="26" t="s">
        <v>3</v>
      </c>
      <c r="S81" s="26" t="s">
        <v>3</v>
      </c>
      <c r="T81" s="26" t="s">
        <v>3</v>
      </c>
      <c r="U81" s="27" t="s">
        <v>7</v>
      </c>
      <c r="V81" s="28" t="s">
        <v>11</v>
      </c>
      <c r="W81" s="26" t="s">
        <v>3</v>
      </c>
      <c r="X81" s="26" t="s">
        <v>3</v>
      </c>
      <c r="Y81" s="26" t="s">
        <v>3</v>
      </c>
      <c r="Z81" s="26" t="s">
        <v>3</v>
      </c>
      <c r="AA81" s="26" t="s">
        <v>3</v>
      </c>
      <c r="AB81" s="23" t="s">
        <v>7</v>
      </c>
      <c r="AC81" s="24" t="s">
        <v>9</v>
      </c>
      <c r="AD81" s="26" t="s">
        <v>3</v>
      </c>
      <c r="AE81" s="26" t="s">
        <v>3</v>
      </c>
      <c r="AF81" s="22" t="s">
        <v>5</v>
      </c>
      <c r="AG81" s="22" t="s">
        <v>5</v>
      </c>
      <c r="AH81" s="22" t="s">
        <v>5</v>
      </c>
      <c r="AI81" s="8">
        <f t="shared" si="24"/>
        <v>20</v>
      </c>
      <c r="AJ81" s="8">
        <f t="shared" si="25"/>
        <v>3</v>
      </c>
      <c r="AK81" s="29">
        <f t="shared" si="26"/>
        <v>2</v>
      </c>
      <c r="AL81" s="62">
        <v>2</v>
      </c>
      <c r="AM81" s="33">
        <f t="shared" si="27"/>
        <v>23</v>
      </c>
      <c r="AN81" s="63">
        <f t="shared" si="28"/>
        <v>184</v>
      </c>
      <c r="AO81" s="63">
        <f t="shared" si="29"/>
        <v>2</v>
      </c>
      <c r="AP81" s="63">
        <f t="shared" si="30"/>
        <v>8</v>
      </c>
      <c r="AQ81" s="53">
        <f t="shared" si="31"/>
        <v>22</v>
      </c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</row>
    <row r="82" spans="1:56" ht="22" customHeight="1" x14ac:dyDescent="0.35">
      <c r="A82" s="8" t="s">
        <v>189</v>
      </c>
      <c r="B82" s="8" t="s">
        <v>190</v>
      </c>
      <c r="C82" s="8" t="s">
        <v>180</v>
      </c>
      <c r="D82" s="26" t="s">
        <v>3</v>
      </c>
      <c r="E82" s="26" t="s">
        <v>3</v>
      </c>
      <c r="F82" s="22" t="s">
        <v>5</v>
      </c>
      <c r="G82" s="27" t="s">
        <v>7</v>
      </c>
      <c r="H82" s="28" t="s">
        <v>11</v>
      </c>
      <c r="I82" s="26" t="s">
        <v>3</v>
      </c>
      <c r="J82" s="26" t="s">
        <v>3</v>
      </c>
      <c r="K82" s="26" t="s">
        <v>3</v>
      </c>
      <c r="L82" s="26" t="s">
        <v>3</v>
      </c>
      <c r="M82" s="26" t="s">
        <v>3</v>
      </c>
      <c r="N82" s="27" t="s">
        <v>7</v>
      </c>
      <c r="O82" s="28" t="s">
        <v>11</v>
      </c>
      <c r="P82" s="26" t="s">
        <v>3</v>
      </c>
      <c r="Q82" s="26" t="s">
        <v>3</v>
      </c>
      <c r="R82" s="26" t="s">
        <v>3</v>
      </c>
      <c r="S82" s="26" t="s">
        <v>3</v>
      </c>
      <c r="T82" s="26" t="s">
        <v>3</v>
      </c>
      <c r="U82" s="23" t="s">
        <v>7</v>
      </c>
      <c r="V82" s="24" t="s">
        <v>9</v>
      </c>
      <c r="W82" s="26" t="s">
        <v>3</v>
      </c>
      <c r="X82" s="26" t="s">
        <v>3</v>
      </c>
      <c r="Y82" s="26" t="s">
        <v>3</v>
      </c>
      <c r="Z82" s="22" t="s">
        <v>5</v>
      </c>
      <c r="AA82" s="22" t="s">
        <v>5</v>
      </c>
      <c r="AB82" s="27" t="s">
        <v>7</v>
      </c>
      <c r="AC82" s="28" t="s">
        <v>11</v>
      </c>
      <c r="AD82" s="26" t="s">
        <v>3</v>
      </c>
      <c r="AE82" s="26" t="s">
        <v>3</v>
      </c>
      <c r="AF82" s="26" t="s">
        <v>3</v>
      </c>
      <c r="AG82" s="26" t="s">
        <v>3</v>
      </c>
      <c r="AH82" s="26" t="s">
        <v>3</v>
      </c>
      <c r="AI82" s="8">
        <f t="shared" si="24"/>
        <v>20</v>
      </c>
      <c r="AJ82" s="8">
        <f t="shared" si="25"/>
        <v>3</v>
      </c>
      <c r="AK82" s="29">
        <f t="shared" si="26"/>
        <v>3</v>
      </c>
      <c r="AL82" s="62">
        <v>3</v>
      </c>
      <c r="AM82" s="33">
        <f t="shared" si="27"/>
        <v>24.5</v>
      </c>
      <c r="AN82" s="63">
        <f t="shared" si="28"/>
        <v>184</v>
      </c>
      <c r="AO82" s="63">
        <f t="shared" si="29"/>
        <v>0</v>
      </c>
      <c r="AP82" s="63">
        <f t="shared" si="30"/>
        <v>0</v>
      </c>
      <c r="AQ82" s="53">
        <f t="shared" si="31"/>
        <v>24.5</v>
      </c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</row>
    <row r="83" spans="1:56" x14ac:dyDescent="0.35"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</row>
    <row r="84" spans="1:56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</row>
    <row r="85" spans="1:56" ht="22" customHeight="1" x14ac:dyDescent="0.35">
      <c r="A85" s="8" t="s">
        <v>192</v>
      </c>
      <c r="B85" s="8" t="s">
        <v>193</v>
      </c>
      <c r="C85" s="8" t="s">
        <v>194</v>
      </c>
      <c r="D85" s="22" t="s">
        <v>5</v>
      </c>
      <c r="E85" s="26" t="s">
        <v>3</v>
      </c>
      <c r="F85" s="26" t="s">
        <v>3</v>
      </c>
      <c r="G85" s="27" t="s">
        <v>7</v>
      </c>
      <c r="H85" s="24" t="s">
        <v>9</v>
      </c>
      <c r="I85" s="26" t="s">
        <v>3</v>
      </c>
      <c r="J85" s="26" t="s">
        <v>3</v>
      </c>
      <c r="K85" s="26" t="s">
        <v>3</v>
      </c>
      <c r="L85" s="26" t="s">
        <v>3</v>
      </c>
      <c r="M85" s="26" t="s">
        <v>3</v>
      </c>
      <c r="N85" s="23" t="s">
        <v>7</v>
      </c>
      <c r="O85" s="24" t="s">
        <v>9</v>
      </c>
      <c r="P85" s="26" t="s">
        <v>3</v>
      </c>
      <c r="Q85" s="26" t="s">
        <v>3</v>
      </c>
      <c r="R85" s="26" t="s">
        <v>3</v>
      </c>
      <c r="S85" s="26" t="s">
        <v>3</v>
      </c>
      <c r="T85" s="26" t="s">
        <v>3</v>
      </c>
      <c r="U85" s="23" t="s">
        <v>7</v>
      </c>
      <c r="V85" s="24" t="s">
        <v>9</v>
      </c>
      <c r="W85" s="26" t="s">
        <v>3</v>
      </c>
      <c r="X85" s="26" t="s">
        <v>3</v>
      </c>
      <c r="Y85" s="22" t="s">
        <v>5</v>
      </c>
      <c r="Z85" s="26" t="s">
        <v>3</v>
      </c>
      <c r="AA85" s="22" t="s">
        <v>5</v>
      </c>
      <c r="AB85" s="23" t="s">
        <v>7</v>
      </c>
      <c r="AC85" s="24" t="s">
        <v>9</v>
      </c>
      <c r="AD85" s="26" t="s">
        <v>3</v>
      </c>
      <c r="AE85" s="26" t="s">
        <v>3</v>
      </c>
      <c r="AF85" s="26" t="s">
        <v>3</v>
      </c>
      <c r="AG85" s="26" t="s">
        <v>3</v>
      </c>
      <c r="AH85" s="26" t="s">
        <v>3</v>
      </c>
      <c r="AI85" s="8">
        <f>COUNTIF(D85:AH85,"ON")</f>
        <v>20</v>
      </c>
      <c r="AJ85" s="8">
        <f>COUNTIF(D85:AH85,"OFF")</f>
        <v>3</v>
      </c>
      <c r="AK85" s="8">
        <f>COUNTIF(D85:AH85,"OT")</f>
        <v>0</v>
      </c>
      <c r="AL85" s="62">
        <v>1</v>
      </c>
      <c r="AM85" s="33">
        <f>AI85+AK85+AL85*0.5</f>
        <v>20.5</v>
      </c>
      <c r="AN85" s="63">
        <f>NETWORKDAYS(DATE(2025,1,1),EOMONTH(DATE(2025,1,1),0))*8</f>
        <v>184</v>
      </c>
      <c r="AO85" s="63">
        <f>MAX(0,COUNTIF(F85,"ON")+COUNTIF(M85,"ON")+COUNTIF(T85,"ON")+COUNTIF(AA85,"ON")+COUNTIF(AH85,"ON")-AL85)</f>
        <v>3</v>
      </c>
      <c r="AP85" s="63">
        <f>AO85*$AP$2</f>
        <v>12</v>
      </c>
      <c r="AQ85" s="53">
        <f>AM85-AP85/8</f>
        <v>19</v>
      </c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</row>
    <row r="86" spans="1:56" ht="22" customHeight="1" x14ac:dyDescent="0.35">
      <c r="A86" s="8" t="s">
        <v>195</v>
      </c>
      <c r="B86" s="8" t="s">
        <v>196</v>
      </c>
      <c r="C86" s="8" t="s">
        <v>194</v>
      </c>
      <c r="D86" s="22" t="s">
        <v>5</v>
      </c>
      <c r="E86" s="22" t="s">
        <v>5</v>
      </c>
      <c r="F86" s="22" t="s">
        <v>5</v>
      </c>
      <c r="G86" s="23" t="s">
        <v>7</v>
      </c>
      <c r="H86" s="24" t="s">
        <v>9</v>
      </c>
      <c r="I86" s="22" t="s">
        <v>5</v>
      </c>
      <c r="J86" s="26" t="s">
        <v>3</v>
      </c>
      <c r="K86" s="26" t="s">
        <v>3</v>
      </c>
      <c r="L86" s="26" t="s">
        <v>3</v>
      </c>
      <c r="M86" s="26" t="s">
        <v>3</v>
      </c>
      <c r="N86" s="27" t="s">
        <v>7</v>
      </c>
      <c r="O86" s="24" t="s">
        <v>9</v>
      </c>
      <c r="P86" s="26" t="s">
        <v>3</v>
      </c>
      <c r="Q86" s="26" t="s">
        <v>3</v>
      </c>
      <c r="R86" s="26" t="s">
        <v>3</v>
      </c>
      <c r="S86" s="26" t="s">
        <v>3</v>
      </c>
      <c r="T86" s="26" t="s">
        <v>3</v>
      </c>
      <c r="U86" s="23" t="s">
        <v>7</v>
      </c>
      <c r="V86" s="24" t="s">
        <v>9</v>
      </c>
      <c r="W86" s="26" t="s">
        <v>3</v>
      </c>
      <c r="X86" s="26" t="s">
        <v>3</v>
      </c>
      <c r="Y86" s="26" t="s">
        <v>3</v>
      </c>
      <c r="Z86" s="26" t="s">
        <v>3</v>
      </c>
      <c r="AA86" s="26" t="s">
        <v>3</v>
      </c>
      <c r="AB86" s="27" t="s">
        <v>7</v>
      </c>
      <c r="AC86" s="24" t="s">
        <v>9</v>
      </c>
      <c r="AD86" s="22" t="s">
        <v>5</v>
      </c>
      <c r="AE86" s="26" t="s">
        <v>3</v>
      </c>
      <c r="AF86" s="26" t="s">
        <v>3</v>
      </c>
      <c r="AG86" s="26" t="s">
        <v>3</v>
      </c>
      <c r="AH86" s="26" t="s">
        <v>3</v>
      </c>
      <c r="AI86" s="8">
        <f>COUNTIF(D86:AH86,"ON")</f>
        <v>18</v>
      </c>
      <c r="AJ86" s="8">
        <f>COUNTIF(D86:AH86,"OFF")</f>
        <v>5</v>
      </c>
      <c r="AK86" s="8">
        <f>COUNTIF(D86:AH86,"OT")</f>
        <v>0</v>
      </c>
      <c r="AL86" s="62">
        <v>2</v>
      </c>
      <c r="AM86" s="33">
        <f>AI86+AK86+AL86*0.5</f>
        <v>19</v>
      </c>
      <c r="AN86" s="63">
        <f>NETWORKDAYS(DATE(2025,1,1),EOMONTH(DATE(2025,1,1),0))*8</f>
        <v>184</v>
      </c>
      <c r="AO86" s="63">
        <f>MAX(0,COUNTIF(F86,"ON")+COUNTIF(M86,"ON")+COUNTIF(T86,"ON")+COUNTIF(AA86,"ON")+COUNTIF(AH86,"ON")-AL86)</f>
        <v>2</v>
      </c>
      <c r="AP86" s="63">
        <f>AO86*$AP$2</f>
        <v>8</v>
      </c>
      <c r="AQ86" s="53">
        <f>AM86-AP86/8</f>
        <v>18</v>
      </c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</row>
    <row r="87" spans="1:56" ht="22" customHeight="1" x14ac:dyDescent="0.35">
      <c r="A87" s="8" t="s">
        <v>197</v>
      </c>
      <c r="B87" s="8" t="s">
        <v>198</v>
      </c>
      <c r="C87" s="8" t="s">
        <v>194</v>
      </c>
      <c r="D87" s="22" t="s">
        <v>5</v>
      </c>
      <c r="E87" s="22" t="s">
        <v>5</v>
      </c>
      <c r="F87" s="22" t="s">
        <v>5</v>
      </c>
      <c r="G87" s="23" t="s">
        <v>7</v>
      </c>
      <c r="H87" s="24" t="s">
        <v>9</v>
      </c>
      <c r="I87" s="22" t="s">
        <v>5</v>
      </c>
      <c r="J87" s="22" t="s">
        <v>5</v>
      </c>
      <c r="K87" s="22" t="s">
        <v>5</v>
      </c>
      <c r="L87" s="22" t="s">
        <v>5</v>
      </c>
      <c r="M87" s="22" t="s">
        <v>5</v>
      </c>
      <c r="N87" s="23" t="s">
        <v>7</v>
      </c>
      <c r="O87" s="24" t="s">
        <v>9</v>
      </c>
      <c r="P87" s="22" t="s">
        <v>5</v>
      </c>
      <c r="Q87" s="26" t="s">
        <v>3</v>
      </c>
      <c r="R87" s="26" t="s">
        <v>3</v>
      </c>
      <c r="S87" s="26" t="s">
        <v>3</v>
      </c>
      <c r="T87" s="26" t="s">
        <v>3</v>
      </c>
      <c r="U87" s="27" t="s">
        <v>7</v>
      </c>
      <c r="V87" s="24" t="s">
        <v>9</v>
      </c>
      <c r="W87" s="26" t="s">
        <v>3</v>
      </c>
      <c r="X87" s="26" t="s">
        <v>3</v>
      </c>
      <c r="Y87" s="26" t="s">
        <v>3</v>
      </c>
      <c r="Z87" s="26" t="s">
        <v>3</v>
      </c>
      <c r="AA87" s="26" t="s">
        <v>3</v>
      </c>
      <c r="AB87" s="23" t="s">
        <v>7</v>
      </c>
      <c r="AC87" s="24" t="s">
        <v>9</v>
      </c>
      <c r="AD87" s="26" t="s">
        <v>3</v>
      </c>
      <c r="AE87" s="26" t="s">
        <v>3</v>
      </c>
      <c r="AF87" s="26" t="s">
        <v>3</v>
      </c>
      <c r="AG87" s="26" t="s">
        <v>3</v>
      </c>
      <c r="AH87" s="26" t="s">
        <v>3</v>
      </c>
      <c r="AI87" s="8">
        <f>COUNTIF(D87:AH87,"ON")</f>
        <v>14</v>
      </c>
      <c r="AJ87" s="8">
        <f>COUNTIF(D87:AH87,"OFF")</f>
        <v>9</v>
      </c>
      <c r="AK87" s="8">
        <f>COUNTIF(D87:AH87,"OT")</f>
        <v>0</v>
      </c>
      <c r="AL87" s="62">
        <v>1</v>
      </c>
      <c r="AM87" s="33">
        <f>AI87+AK87+AL87*0.5</f>
        <v>14.5</v>
      </c>
      <c r="AN87" s="63">
        <f>NETWORKDAYS(DATE(2025,1,1),EOMONTH(DATE(2025,1,1),0))*8</f>
        <v>184</v>
      </c>
      <c r="AO87" s="63">
        <f>MAX(0,COUNTIF(F87,"ON")+COUNTIF(M87,"ON")+COUNTIF(T87,"ON")+COUNTIF(AA87,"ON")+COUNTIF(AH87,"ON")-AL87)</f>
        <v>2</v>
      </c>
      <c r="AP87" s="63">
        <f>AO87*$AP$2</f>
        <v>8</v>
      </c>
      <c r="AQ87" s="53">
        <f>AM87-AP87/8</f>
        <v>13.5</v>
      </c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</row>
    <row r="88" spans="1:56" ht="22" customHeight="1" x14ac:dyDescent="0.35">
      <c r="A88" s="8" t="s">
        <v>199</v>
      </c>
      <c r="B88" s="8" t="s">
        <v>200</v>
      </c>
      <c r="C88" s="8" t="s">
        <v>194</v>
      </c>
      <c r="D88" s="26" t="s">
        <v>3</v>
      </c>
      <c r="E88" s="26" t="s">
        <v>3</v>
      </c>
      <c r="F88" s="26" t="s">
        <v>3</v>
      </c>
      <c r="G88" s="23" t="s">
        <v>7</v>
      </c>
      <c r="H88" s="28" t="s">
        <v>11</v>
      </c>
      <c r="I88" s="26" t="s">
        <v>3</v>
      </c>
      <c r="J88" s="26" t="s">
        <v>3</v>
      </c>
      <c r="K88" s="26" t="s">
        <v>3</v>
      </c>
      <c r="L88" s="26" t="s">
        <v>3</v>
      </c>
      <c r="M88" s="26" t="s">
        <v>3</v>
      </c>
      <c r="N88" s="23" t="s">
        <v>7</v>
      </c>
      <c r="O88" s="28" t="s">
        <v>11</v>
      </c>
      <c r="P88" s="22" t="s">
        <v>5</v>
      </c>
      <c r="Q88" s="26" t="s">
        <v>3</v>
      </c>
      <c r="R88" s="26" t="s">
        <v>3</v>
      </c>
      <c r="S88" s="26" t="s">
        <v>3</v>
      </c>
      <c r="T88" s="26" t="s">
        <v>3</v>
      </c>
      <c r="U88" s="23" t="s">
        <v>7</v>
      </c>
      <c r="V88" s="28" t="s">
        <v>11</v>
      </c>
      <c r="W88" s="26" t="s">
        <v>3</v>
      </c>
      <c r="X88" s="26" t="s">
        <v>3</v>
      </c>
      <c r="Y88" s="26" t="s">
        <v>3</v>
      </c>
      <c r="Z88" s="26" t="s">
        <v>3</v>
      </c>
      <c r="AA88" s="26" t="s">
        <v>3</v>
      </c>
      <c r="AB88" s="23" t="s">
        <v>7</v>
      </c>
      <c r="AC88" s="24" t="s">
        <v>9</v>
      </c>
      <c r="AD88" s="26" t="s">
        <v>3</v>
      </c>
      <c r="AE88" s="26" t="s">
        <v>3</v>
      </c>
      <c r="AF88" s="26" t="s">
        <v>3</v>
      </c>
      <c r="AG88" s="26" t="s">
        <v>3</v>
      </c>
      <c r="AH88" s="26" t="s">
        <v>3</v>
      </c>
      <c r="AI88" s="8">
        <f>COUNTIF(D88:AH88,"ON")</f>
        <v>22</v>
      </c>
      <c r="AJ88" s="8">
        <f>COUNTIF(D88:AH88,"OFF")</f>
        <v>1</v>
      </c>
      <c r="AK88" s="29">
        <f>COUNTIF(D88:AH88,"OT")</f>
        <v>3</v>
      </c>
      <c r="AL88" s="62">
        <v>0</v>
      </c>
      <c r="AM88" s="33">
        <f>AI88+AK88+AL88*0.5</f>
        <v>25</v>
      </c>
      <c r="AN88" s="63">
        <f>NETWORKDAYS(DATE(2025,1,1),EOMONTH(DATE(2025,1,1),0))*8</f>
        <v>184</v>
      </c>
      <c r="AO88" s="63">
        <f>MAX(0,COUNTIF(F88,"ON")+COUNTIF(M88,"ON")+COUNTIF(T88,"ON")+COUNTIF(AA88,"ON")+COUNTIF(AH88,"ON")-AL88)</f>
        <v>5</v>
      </c>
      <c r="AP88" s="63">
        <f>AO88*$AP$2</f>
        <v>20</v>
      </c>
      <c r="AQ88" s="53">
        <f>AM88-AP88/8</f>
        <v>22.5</v>
      </c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</row>
    <row r="89" spans="1:56" ht="22" customHeight="1" x14ac:dyDescent="0.35">
      <c r="A89" s="8" t="s">
        <v>201</v>
      </c>
      <c r="B89" s="8" t="s">
        <v>202</v>
      </c>
      <c r="C89" s="8" t="s">
        <v>194</v>
      </c>
      <c r="D89" s="22" t="s">
        <v>5</v>
      </c>
      <c r="E89" s="22" t="s">
        <v>5</v>
      </c>
      <c r="F89" s="22" t="s">
        <v>5</v>
      </c>
      <c r="G89" s="23" t="s">
        <v>7</v>
      </c>
      <c r="H89" s="24" t="s">
        <v>9</v>
      </c>
      <c r="I89" s="22" t="s">
        <v>5</v>
      </c>
      <c r="J89" s="22" t="s">
        <v>5</v>
      </c>
      <c r="K89" s="22" t="s">
        <v>5</v>
      </c>
      <c r="L89" s="22" t="s">
        <v>5</v>
      </c>
      <c r="M89" s="22" t="s">
        <v>5</v>
      </c>
      <c r="N89" s="23" t="s">
        <v>7</v>
      </c>
      <c r="O89" s="24" t="s">
        <v>9</v>
      </c>
      <c r="P89" s="22" t="s">
        <v>5</v>
      </c>
      <c r="Q89" s="22" t="s">
        <v>5</v>
      </c>
      <c r="R89" s="22" t="s">
        <v>5</v>
      </c>
      <c r="S89" s="22" t="s">
        <v>5</v>
      </c>
      <c r="T89" s="22" t="s">
        <v>5</v>
      </c>
      <c r="U89" s="23" t="s">
        <v>7</v>
      </c>
      <c r="V89" s="24" t="s">
        <v>9</v>
      </c>
      <c r="W89" s="22" t="s">
        <v>5</v>
      </c>
      <c r="X89" s="22" t="s">
        <v>5</v>
      </c>
      <c r="Y89" s="22" t="s">
        <v>5</v>
      </c>
      <c r="Z89" s="26" t="s">
        <v>3</v>
      </c>
      <c r="AA89" s="26" t="s">
        <v>3</v>
      </c>
      <c r="AB89" s="23" t="s">
        <v>7</v>
      </c>
      <c r="AC89" s="28" t="s">
        <v>11</v>
      </c>
      <c r="AD89" s="26" t="s">
        <v>3</v>
      </c>
      <c r="AE89" s="26" t="s">
        <v>3</v>
      </c>
      <c r="AF89" s="26" t="s">
        <v>3</v>
      </c>
      <c r="AG89" s="26" t="s">
        <v>3</v>
      </c>
      <c r="AH89" s="26" t="s">
        <v>3</v>
      </c>
      <c r="AI89" s="8">
        <f>COUNTIF(D89:AH89,"ON")</f>
        <v>7</v>
      </c>
      <c r="AJ89" s="25">
        <f>COUNTIF(D89:AH89,"OFF")</f>
        <v>16</v>
      </c>
      <c r="AK89" s="29">
        <f>COUNTIF(D89:AH89,"OT")</f>
        <v>1</v>
      </c>
      <c r="AL89" s="62">
        <v>0</v>
      </c>
      <c r="AM89" s="33">
        <f>AI89+AK89+AL89*0.5</f>
        <v>8</v>
      </c>
      <c r="AN89" s="63">
        <f>NETWORKDAYS(DATE(2025,1,1),EOMONTH(DATE(2025,1,1),0))*8</f>
        <v>184</v>
      </c>
      <c r="AO89" s="63">
        <f>MAX(0,COUNTIF(F89,"ON")+COUNTIF(M89,"ON")+COUNTIF(T89,"ON")+COUNTIF(AA89,"ON")+COUNTIF(AH89,"ON")-AL89)</f>
        <v>2</v>
      </c>
      <c r="AP89" s="63">
        <f>AO89*$AP$2</f>
        <v>8</v>
      </c>
      <c r="AQ89" s="53">
        <f>AM89-AP89/8</f>
        <v>7</v>
      </c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</row>
    <row r="90" spans="1:56" x14ac:dyDescent="0.35"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</row>
    <row r="91" spans="1:56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</row>
    <row r="92" spans="1:56" ht="22" customHeight="1" x14ac:dyDescent="0.35">
      <c r="A92" s="8" t="s">
        <v>204</v>
      </c>
      <c r="B92" s="8" t="s">
        <v>205</v>
      </c>
      <c r="C92" s="8" t="s">
        <v>206</v>
      </c>
      <c r="D92" s="22" t="s">
        <v>5</v>
      </c>
      <c r="E92" s="26" t="s">
        <v>3</v>
      </c>
      <c r="F92" s="26" t="s">
        <v>3</v>
      </c>
      <c r="G92" s="23" t="s">
        <v>7</v>
      </c>
      <c r="H92" s="24" t="s">
        <v>9</v>
      </c>
      <c r="I92" s="26" t="s">
        <v>3</v>
      </c>
      <c r="J92" s="26" t="s">
        <v>3</v>
      </c>
      <c r="K92" s="26" t="s">
        <v>3</v>
      </c>
      <c r="L92" s="22" t="s">
        <v>5</v>
      </c>
      <c r="M92" s="26" t="s">
        <v>3</v>
      </c>
      <c r="N92" s="27" t="s">
        <v>7</v>
      </c>
      <c r="O92" s="24" t="s">
        <v>9</v>
      </c>
      <c r="P92" s="26" t="s">
        <v>3</v>
      </c>
      <c r="Q92" s="26" t="s">
        <v>3</v>
      </c>
      <c r="R92" s="26" t="s">
        <v>3</v>
      </c>
      <c r="S92" s="26" t="s">
        <v>3</v>
      </c>
      <c r="T92" s="26" t="s">
        <v>3</v>
      </c>
      <c r="U92" s="23" t="s">
        <v>7</v>
      </c>
      <c r="V92" s="24" t="s">
        <v>9</v>
      </c>
      <c r="W92" s="26" t="s">
        <v>3</v>
      </c>
      <c r="X92" s="26" t="s">
        <v>3</v>
      </c>
      <c r="Y92" s="22" t="s">
        <v>5</v>
      </c>
      <c r="Z92" s="22" t="s">
        <v>5</v>
      </c>
      <c r="AA92" s="26" t="s">
        <v>3</v>
      </c>
      <c r="AB92" s="23" t="s">
        <v>7</v>
      </c>
      <c r="AC92" s="24" t="s">
        <v>9</v>
      </c>
      <c r="AD92" s="26" t="s">
        <v>3</v>
      </c>
      <c r="AE92" s="26" t="s">
        <v>3</v>
      </c>
      <c r="AF92" s="26" t="s">
        <v>3</v>
      </c>
      <c r="AG92" s="26" t="s">
        <v>3</v>
      </c>
      <c r="AH92" s="26" t="s">
        <v>3</v>
      </c>
      <c r="AI92" s="8">
        <f>COUNTIF(D92:AH92,"ON")</f>
        <v>19</v>
      </c>
      <c r="AJ92" s="8">
        <f>COUNTIF(D92:AH92,"OFF")</f>
        <v>4</v>
      </c>
      <c r="AK92" s="8">
        <f>COUNTIF(D92:AH92,"OT")</f>
        <v>0</v>
      </c>
      <c r="AL92" s="62">
        <v>1</v>
      </c>
      <c r="AM92" s="33">
        <f>AI92+AK92+AL92*0.5</f>
        <v>19.5</v>
      </c>
      <c r="AN92" s="63">
        <f>NETWORKDAYS(DATE(2025,1,1),EOMONTH(DATE(2025,1,1),0))*8</f>
        <v>184</v>
      </c>
      <c r="AO92" s="63">
        <f>MAX(0,COUNTIF(F92,"ON")+COUNTIF(M92,"ON")+COUNTIF(T92,"ON")+COUNTIF(AA92,"ON")+COUNTIF(AH92,"ON")-AL92)</f>
        <v>4</v>
      </c>
      <c r="AP92" s="63">
        <f>AO92*$AP$2</f>
        <v>16</v>
      </c>
      <c r="AQ92" s="53">
        <f>AM92-AP92/8</f>
        <v>17.5</v>
      </c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</row>
    <row r="93" spans="1:56" ht="22" customHeight="1" x14ac:dyDescent="0.35">
      <c r="A93" s="8" t="s">
        <v>207</v>
      </c>
      <c r="B93" s="8" t="s">
        <v>208</v>
      </c>
      <c r="C93" s="8" t="s">
        <v>206</v>
      </c>
      <c r="D93" s="22" t="s">
        <v>5</v>
      </c>
      <c r="E93" s="22" t="s">
        <v>5</v>
      </c>
      <c r="F93" s="22" t="s">
        <v>5</v>
      </c>
      <c r="G93" s="23" t="s">
        <v>7</v>
      </c>
      <c r="H93" s="24" t="s">
        <v>9</v>
      </c>
      <c r="I93" s="22" t="s">
        <v>5</v>
      </c>
      <c r="J93" s="22" t="s">
        <v>5</v>
      </c>
      <c r="K93" s="22" t="s">
        <v>5</v>
      </c>
      <c r="L93" s="22" t="s">
        <v>5</v>
      </c>
      <c r="M93" s="22" t="s">
        <v>5</v>
      </c>
      <c r="N93" s="23" t="s">
        <v>7</v>
      </c>
      <c r="O93" s="24" t="s">
        <v>9</v>
      </c>
      <c r="P93" s="22" t="s">
        <v>5</v>
      </c>
      <c r="Q93" s="22" t="s">
        <v>5</v>
      </c>
      <c r="R93" s="22" t="s">
        <v>5</v>
      </c>
      <c r="S93" s="22" t="s">
        <v>5</v>
      </c>
      <c r="T93" s="22" t="s">
        <v>5</v>
      </c>
      <c r="U93" s="23" t="s">
        <v>7</v>
      </c>
      <c r="V93" s="24" t="s">
        <v>9</v>
      </c>
      <c r="W93" s="26" t="s">
        <v>3</v>
      </c>
      <c r="X93" s="26" t="s">
        <v>3</v>
      </c>
      <c r="Y93" s="26" t="s">
        <v>3</v>
      </c>
      <c r="Z93" s="26" t="s">
        <v>3</v>
      </c>
      <c r="AA93" s="26" t="s">
        <v>3</v>
      </c>
      <c r="AB93" s="23" t="s">
        <v>7</v>
      </c>
      <c r="AC93" s="24" t="s">
        <v>9</v>
      </c>
      <c r="AD93" s="26" t="s">
        <v>3</v>
      </c>
      <c r="AE93" s="26" t="s">
        <v>3</v>
      </c>
      <c r="AF93" s="26" t="s">
        <v>3</v>
      </c>
      <c r="AG93" s="26" t="s">
        <v>3</v>
      </c>
      <c r="AH93" s="26" t="s">
        <v>3</v>
      </c>
      <c r="AI93" s="8">
        <f>COUNTIF(D93:AH93,"ON")</f>
        <v>10</v>
      </c>
      <c r="AJ93" s="25">
        <f>COUNTIF(D93:AH93,"OFF")</f>
        <v>13</v>
      </c>
      <c r="AK93" s="8">
        <f>COUNTIF(D93:AH93,"OT")</f>
        <v>0</v>
      </c>
      <c r="AL93" s="62">
        <v>0</v>
      </c>
      <c r="AM93" s="33">
        <f>AI93+AK93+AL93*0.5</f>
        <v>10</v>
      </c>
      <c r="AN93" s="63">
        <f>NETWORKDAYS(DATE(2025,1,1),EOMONTH(DATE(2025,1,1),0))*8</f>
        <v>184</v>
      </c>
      <c r="AO93" s="63">
        <f>MAX(0,COUNTIF(F93,"ON")+COUNTIF(M93,"ON")+COUNTIF(T93,"ON")+COUNTIF(AA93,"ON")+COUNTIF(AH93,"ON")-AL93)</f>
        <v>2</v>
      </c>
      <c r="AP93" s="63">
        <f>AO93*$AP$2</f>
        <v>8</v>
      </c>
      <c r="AQ93" s="53">
        <f>AM93-AP93/8</f>
        <v>9</v>
      </c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</row>
    <row r="94" spans="1:56" ht="22" customHeight="1" x14ac:dyDescent="0.35">
      <c r="A94" s="8" t="s">
        <v>209</v>
      </c>
      <c r="B94" s="8" t="s">
        <v>210</v>
      </c>
      <c r="C94" s="8" t="s">
        <v>206</v>
      </c>
      <c r="D94" s="22" t="s">
        <v>5</v>
      </c>
      <c r="E94" s="22" t="s">
        <v>5</v>
      </c>
      <c r="F94" s="22" t="s">
        <v>5</v>
      </c>
      <c r="G94" s="23" t="s">
        <v>7</v>
      </c>
      <c r="H94" s="24" t="s">
        <v>9</v>
      </c>
      <c r="I94" s="26" t="s">
        <v>3</v>
      </c>
      <c r="J94" s="26" t="s">
        <v>3</v>
      </c>
      <c r="K94" s="26" t="s">
        <v>3</v>
      </c>
      <c r="L94" s="26" t="s">
        <v>3</v>
      </c>
      <c r="M94" s="26" t="s">
        <v>3</v>
      </c>
      <c r="N94" s="27" t="s">
        <v>7</v>
      </c>
      <c r="O94" s="24" t="s">
        <v>9</v>
      </c>
      <c r="P94" s="26" t="s">
        <v>3</v>
      </c>
      <c r="Q94" s="26" t="s">
        <v>3</v>
      </c>
      <c r="R94" s="26" t="s">
        <v>3</v>
      </c>
      <c r="S94" s="26" t="s">
        <v>3</v>
      </c>
      <c r="T94" s="26" t="s">
        <v>3</v>
      </c>
      <c r="U94" s="23" t="s">
        <v>7</v>
      </c>
      <c r="V94" s="24" t="s">
        <v>9</v>
      </c>
      <c r="W94" s="26" t="s">
        <v>3</v>
      </c>
      <c r="X94" s="26" t="s">
        <v>3</v>
      </c>
      <c r="Y94" s="26" t="s">
        <v>3</v>
      </c>
      <c r="Z94" s="26" t="s">
        <v>3</v>
      </c>
      <c r="AA94" s="26" t="s">
        <v>3</v>
      </c>
      <c r="AB94" s="27" t="s">
        <v>7</v>
      </c>
      <c r="AC94" s="24" t="s">
        <v>9</v>
      </c>
      <c r="AD94" s="26" t="s">
        <v>3</v>
      </c>
      <c r="AE94" s="26" t="s">
        <v>3</v>
      </c>
      <c r="AF94" s="26" t="s">
        <v>3</v>
      </c>
      <c r="AG94" s="26" t="s">
        <v>3</v>
      </c>
      <c r="AH94" s="26" t="s">
        <v>3</v>
      </c>
      <c r="AI94" s="8">
        <f>COUNTIF(D94:AH94,"ON")</f>
        <v>20</v>
      </c>
      <c r="AJ94" s="8">
        <f>COUNTIF(D94:AH94,"OFF")</f>
        <v>3</v>
      </c>
      <c r="AK94" s="8">
        <f>COUNTIF(D94:AH94,"OT")</f>
        <v>0</v>
      </c>
      <c r="AL94" s="62">
        <v>2</v>
      </c>
      <c r="AM94" s="33">
        <f>AI94+AK94+AL94*0.5</f>
        <v>21</v>
      </c>
      <c r="AN94" s="63">
        <f>NETWORKDAYS(DATE(2025,1,1),EOMONTH(DATE(2025,1,1),0))*8</f>
        <v>184</v>
      </c>
      <c r="AO94" s="63">
        <f>MAX(0,COUNTIF(F94,"ON")+COUNTIF(M94,"ON")+COUNTIF(T94,"ON")+COUNTIF(AA94,"ON")+COUNTIF(AH94,"ON")-AL94)</f>
        <v>2</v>
      </c>
      <c r="AP94" s="63">
        <f>AO94*$AP$2</f>
        <v>8</v>
      </c>
      <c r="AQ94" s="53">
        <f>AM94-AP94/8</f>
        <v>20</v>
      </c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</row>
    <row r="95" spans="1:56" ht="22" customHeight="1" x14ac:dyDescent="0.35">
      <c r="A95" s="8" t="s">
        <v>211</v>
      </c>
      <c r="B95" s="8" t="s">
        <v>212</v>
      </c>
      <c r="C95" s="8" t="s">
        <v>206</v>
      </c>
      <c r="D95" s="22" t="s">
        <v>5</v>
      </c>
      <c r="E95" s="26" t="s">
        <v>3</v>
      </c>
      <c r="F95" s="26" t="s">
        <v>3</v>
      </c>
      <c r="G95" s="27" t="s">
        <v>7</v>
      </c>
      <c r="H95" s="24" t="s">
        <v>9</v>
      </c>
      <c r="I95" s="26" t="s">
        <v>3</v>
      </c>
      <c r="J95" s="26" t="s">
        <v>3</v>
      </c>
      <c r="K95" s="26" t="s">
        <v>3</v>
      </c>
      <c r="L95" s="26" t="s">
        <v>3</v>
      </c>
      <c r="M95" s="26" t="s">
        <v>3</v>
      </c>
      <c r="N95" s="23" t="s">
        <v>7</v>
      </c>
      <c r="O95" s="24" t="s">
        <v>9</v>
      </c>
      <c r="P95" s="26" t="s">
        <v>3</v>
      </c>
      <c r="Q95" s="26" t="s">
        <v>3</v>
      </c>
      <c r="R95" s="26" t="s">
        <v>3</v>
      </c>
      <c r="S95" s="26" t="s">
        <v>3</v>
      </c>
      <c r="T95" s="26" t="s">
        <v>3</v>
      </c>
      <c r="U95" s="27" t="s">
        <v>7</v>
      </c>
      <c r="V95" s="24" t="s">
        <v>9</v>
      </c>
      <c r="W95" s="26" t="s">
        <v>3</v>
      </c>
      <c r="X95" s="26" t="s">
        <v>3</v>
      </c>
      <c r="Y95" s="26" t="s">
        <v>3</v>
      </c>
      <c r="Z95" s="26" t="s">
        <v>3</v>
      </c>
      <c r="AA95" s="26" t="s">
        <v>3</v>
      </c>
      <c r="AB95" s="23" t="s">
        <v>7</v>
      </c>
      <c r="AC95" s="24" t="s">
        <v>9</v>
      </c>
      <c r="AD95" s="26" t="s">
        <v>3</v>
      </c>
      <c r="AE95" s="26" t="s">
        <v>3</v>
      </c>
      <c r="AF95" s="26" t="s">
        <v>3</v>
      </c>
      <c r="AG95" s="26" t="s">
        <v>3</v>
      </c>
      <c r="AH95" s="26" t="s">
        <v>3</v>
      </c>
      <c r="AI95" s="8">
        <f>COUNTIF(D95:AH95,"ON")</f>
        <v>22</v>
      </c>
      <c r="AJ95" s="8">
        <f>COUNTIF(D95:AH95,"OFF")</f>
        <v>1</v>
      </c>
      <c r="AK95" s="8">
        <f>COUNTIF(D95:AH95,"OT")</f>
        <v>0</v>
      </c>
      <c r="AL95" s="62">
        <v>2</v>
      </c>
      <c r="AM95" s="33">
        <f>AI95+AK95+AL95*0.5</f>
        <v>23</v>
      </c>
      <c r="AN95" s="63">
        <f>NETWORKDAYS(DATE(2025,1,1),EOMONTH(DATE(2025,1,1),0))*8</f>
        <v>184</v>
      </c>
      <c r="AO95" s="63">
        <f>MAX(0,COUNTIF(F95,"ON")+COUNTIF(M95,"ON")+COUNTIF(T95,"ON")+COUNTIF(AA95,"ON")+COUNTIF(AH95,"ON")-AL95)</f>
        <v>3</v>
      </c>
      <c r="AP95" s="63">
        <f>AO95*$AP$2</f>
        <v>12</v>
      </c>
      <c r="AQ95" s="53">
        <f>AM95-AP95/8</f>
        <v>21.5</v>
      </c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</row>
    <row r="96" spans="1:56" x14ac:dyDescent="0.35"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</row>
    <row r="97" spans="1:56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</row>
    <row r="98" spans="1:56" ht="22" customHeight="1" x14ac:dyDescent="0.35">
      <c r="A98" s="8" t="s">
        <v>214</v>
      </c>
      <c r="B98" s="8" t="s">
        <v>215</v>
      </c>
      <c r="C98" s="8" t="s">
        <v>216</v>
      </c>
      <c r="D98" s="22" t="s">
        <v>5</v>
      </c>
      <c r="E98" s="26" t="s">
        <v>3</v>
      </c>
      <c r="F98" s="26" t="s">
        <v>3</v>
      </c>
      <c r="G98" s="23" t="s">
        <v>7</v>
      </c>
      <c r="H98" s="24" t="s">
        <v>9</v>
      </c>
      <c r="I98" s="26" t="s">
        <v>3</v>
      </c>
      <c r="J98" s="26" t="s">
        <v>3</v>
      </c>
      <c r="K98" s="26" t="s">
        <v>3</v>
      </c>
      <c r="L98" s="26" t="s">
        <v>3</v>
      </c>
      <c r="M98" s="26" t="s">
        <v>3</v>
      </c>
      <c r="N98" s="23" t="s">
        <v>7</v>
      </c>
      <c r="O98" s="24" t="s">
        <v>9</v>
      </c>
      <c r="P98" s="26" t="s">
        <v>3</v>
      </c>
      <c r="Q98" s="26" t="s">
        <v>3</v>
      </c>
      <c r="R98" s="26" t="s">
        <v>3</v>
      </c>
      <c r="S98" s="26" t="s">
        <v>3</v>
      </c>
      <c r="T98" s="26" t="s">
        <v>3</v>
      </c>
      <c r="U98" s="23" t="s">
        <v>7</v>
      </c>
      <c r="V98" s="24" t="s">
        <v>9</v>
      </c>
      <c r="W98" s="26" t="s">
        <v>3</v>
      </c>
      <c r="X98" s="26" t="s">
        <v>3</v>
      </c>
      <c r="Y98" s="26" t="s">
        <v>3</v>
      </c>
      <c r="Z98" s="26" t="s">
        <v>3</v>
      </c>
      <c r="AA98" s="26" t="s">
        <v>3</v>
      </c>
      <c r="AB98" s="23" t="s">
        <v>7</v>
      </c>
      <c r="AC98" s="24" t="s">
        <v>9</v>
      </c>
      <c r="AD98" s="26" t="s">
        <v>3</v>
      </c>
      <c r="AE98" s="26" t="s">
        <v>3</v>
      </c>
      <c r="AF98" s="26" t="s">
        <v>3</v>
      </c>
      <c r="AG98" s="26" t="s">
        <v>3</v>
      </c>
      <c r="AH98" s="26" t="s">
        <v>3</v>
      </c>
      <c r="AI98" s="8">
        <f t="shared" ref="AI98:AI111" si="32">COUNTIF(D98:AH98,"ON")</f>
        <v>22</v>
      </c>
      <c r="AJ98" s="8">
        <f t="shared" ref="AJ98:AJ111" si="33">COUNTIF(D98:AH98,"OFF")</f>
        <v>1</v>
      </c>
      <c r="AK98" s="8">
        <f t="shared" ref="AK98:AK111" si="34">COUNTIF(D98:AH98,"OT")</f>
        <v>0</v>
      </c>
      <c r="AL98" s="62">
        <v>0</v>
      </c>
      <c r="AM98" s="33">
        <f t="shared" ref="AM98:AM111" si="35">AI98+AK98+AL98*0.5</f>
        <v>22</v>
      </c>
      <c r="AN98" s="63">
        <f t="shared" ref="AN98:AN111" si="36">NETWORKDAYS(DATE(2025,1,1),EOMONTH(DATE(2025,1,1),0))*8</f>
        <v>184</v>
      </c>
      <c r="AO98" s="63">
        <f t="shared" ref="AO98:AO111" si="37">MAX(0,COUNTIF(F98,"ON")+COUNTIF(M98,"ON")+COUNTIF(T98,"ON")+COUNTIF(AA98,"ON")+COUNTIF(AH98,"ON")-AL98)</f>
        <v>5</v>
      </c>
      <c r="AP98" s="63">
        <f t="shared" ref="AP98:AP111" si="38">AO98*$AP$2</f>
        <v>20</v>
      </c>
      <c r="AQ98" s="53">
        <f t="shared" ref="AQ98:AQ111" si="39">AM98-AP98/8</f>
        <v>19.5</v>
      </c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</row>
    <row r="99" spans="1:56" ht="22" customHeight="1" x14ac:dyDescent="0.35">
      <c r="A99" s="8" t="s">
        <v>217</v>
      </c>
      <c r="B99" s="8" t="s">
        <v>218</v>
      </c>
      <c r="C99" s="8" t="s">
        <v>216</v>
      </c>
      <c r="D99" s="22" t="s">
        <v>5</v>
      </c>
      <c r="E99" s="26" t="s">
        <v>3</v>
      </c>
      <c r="F99" s="26" t="s">
        <v>3</v>
      </c>
      <c r="G99" s="23" t="s">
        <v>7</v>
      </c>
      <c r="H99" s="28" t="s">
        <v>11</v>
      </c>
      <c r="I99" s="26" t="s">
        <v>3</v>
      </c>
      <c r="J99" s="26" t="s">
        <v>3</v>
      </c>
      <c r="K99" s="26" t="s">
        <v>3</v>
      </c>
      <c r="L99" s="26" t="s">
        <v>3</v>
      </c>
      <c r="M99" s="26" t="s">
        <v>3</v>
      </c>
      <c r="N99" s="23" t="s">
        <v>7</v>
      </c>
      <c r="O99" s="24" t="s">
        <v>9</v>
      </c>
      <c r="P99" s="26" t="s">
        <v>3</v>
      </c>
      <c r="Q99" s="26" t="s">
        <v>3</v>
      </c>
      <c r="R99" s="26" t="s">
        <v>3</v>
      </c>
      <c r="S99" s="26" t="s">
        <v>3</v>
      </c>
      <c r="T99" s="26" t="s">
        <v>3</v>
      </c>
      <c r="U99" s="27" t="s">
        <v>7</v>
      </c>
      <c r="V99" s="24" t="s">
        <v>9</v>
      </c>
      <c r="W99" s="22" t="s">
        <v>5</v>
      </c>
      <c r="X99" s="22" t="s">
        <v>5</v>
      </c>
      <c r="Y99" s="22" t="s">
        <v>5</v>
      </c>
      <c r="Z99" s="26" t="s">
        <v>3</v>
      </c>
      <c r="AA99" s="26" t="s">
        <v>3</v>
      </c>
      <c r="AB99" s="23" t="s">
        <v>7</v>
      </c>
      <c r="AC99" s="24" t="s">
        <v>9</v>
      </c>
      <c r="AD99" s="22" t="s">
        <v>5</v>
      </c>
      <c r="AE99" s="26" t="s">
        <v>3</v>
      </c>
      <c r="AF99" s="22" t="s">
        <v>5</v>
      </c>
      <c r="AG99" s="26" t="s">
        <v>3</v>
      </c>
      <c r="AH99" s="26" t="s">
        <v>3</v>
      </c>
      <c r="AI99" s="8">
        <f t="shared" si="32"/>
        <v>17</v>
      </c>
      <c r="AJ99" s="8">
        <f t="shared" si="33"/>
        <v>6</v>
      </c>
      <c r="AK99" s="29">
        <f t="shared" si="34"/>
        <v>1</v>
      </c>
      <c r="AL99" s="62">
        <v>1</v>
      </c>
      <c r="AM99" s="33">
        <f t="shared" si="35"/>
        <v>18.5</v>
      </c>
      <c r="AN99" s="63">
        <f t="shared" si="36"/>
        <v>184</v>
      </c>
      <c r="AO99" s="63">
        <f t="shared" si="37"/>
        <v>4</v>
      </c>
      <c r="AP99" s="63">
        <f t="shared" si="38"/>
        <v>16</v>
      </c>
      <c r="AQ99" s="53">
        <f t="shared" si="39"/>
        <v>16.5</v>
      </c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</row>
    <row r="100" spans="1:56" ht="22" customHeight="1" x14ac:dyDescent="0.35">
      <c r="A100" s="8" t="s">
        <v>219</v>
      </c>
      <c r="B100" s="8" t="s">
        <v>220</v>
      </c>
      <c r="C100" s="8" t="s">
        <v>216</v>
      </c>
      <c r="D100" s="22" t="s">
        <v>5</v>
      </c>
      <c r="E100" s="22" t="s">
        <v>5</v>
      </c>
      <c r="F100" s="22" t="s">
        <v>5</v>
      </c>
      <c r="G100" s="23" t="s">
        <v>7</v>
      </c>
      <c r="H100" s="24" t="s">
        <v>9</v>
      </c>
      <c r="I100" s="26" t="s">
        <v>3</v>
      </c>
      <c r="J100" s="26" t="s">
        <v>3</v>
      </c>
      <c r="K100" s="26" t="s">
        <v>3</v>
      </c>
      <c r="L100" s="26" t="s">
        <v>3</v>
      </c>
      <c r="M100" s="26" t="s">
        <v>3</v>
      </c>
      <c r="N100" s="23" t="s">
        <v>7</v>
      </c>
      <c r="O100" s="24" t="s">
        <v>9</v>
      </c>
      <c r="P100" s="26" t="s">
        <v>3</v>
      </c>
      <c r="Q100" s="26" t="s">
        <v>3</v>
      </c>
      <c r="R100" s="26" t="s">
        <v>3</v>
      </c>
      <c r="S100" s="26" t="s">
        <v>3</v>
      </c>
      <c r="T100" s="26" t="s">
        <v>3</v>
      </c>
      <c r="U100" s="27" t="s">
        <v>7</v>
      </c>
      <c r="V100" s="24" t="s">
        <v>9</v>
      </c>
      <c r="W100" s="26" t="s">
        <v>3</v>
      </c>
      <c r="X100" s="26" t="s">
        <v>3</v>
      </c>
      <c r="Y100" s="26" t="s">
        <v>3</v>
      </c>
      <c r="Z100" s="26" t="s">
        <v>3</v>
      </c>
      <c r="AA100" s="26" t="s">
        <v>3</v>
      </c>
      <c r="AB100" s="23" t="s">
        <v>7</v>
      </c>
      <c r="AC100" s="24" t="s">
        <v>9</v>
      </c>
      <c r="AD100" s="26" t="s">
        <v>3</v>
      </c>
      <c r="AE100" s="26" t="s">
        <v>3</v>
      </c>
      <c r="AF100" s="26" t="s">
        <v>3</v>
      </c>
      <c r="AG100" s="26" t="s">
        <v>3</v>
      </c>
      <c r="AH100" s="26" t="s">
        <v>3</v>
      </c>
      <c r="AI100" s="8">
        <f t="shared" si="32"/>
        <v>20</v>
      </c>
      <c r="AJ100" s="8">
        <f t="shared" si="33"/>
        <v>3</v>
      </c>
      <c r="AK100" s="8">
        <f t="shared" si="34"/>
        <v>0</v>
      </c>
      <c r="AL100" s="62">
        <v>1</v>
      </c>
      <c r="AM100" s="33">
        <f t="shared" si="35"/>
        <v>20.5</v>
      </c>
      <c r="AN100" s="63">
        <f t="shared" si="36"/>
        <v>184</v>
      </c>
      <c r="AO100" s="63">
        <f t="shared" si="37"/>
        <v>3</v>
      </c>
      <c r="AP100" s="63">
        <f t="shared" si="38"/>
        <v>12</v>
      </c>
      <c r="AQ100" s="53">
        <f t="shared" si="39"/>
        <v>19</v>
      </c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</row>
    <row r="101" spans="1:56" ht="22" customHeight="1" x14ac:dyDescent="0.35">
      <c r="A101" s="8" t="s">
        <v>221</v>
      </c>
      <c r="B101" s="8" t="s">
        <v>222</v>
      </c>
      <c r="C101" s="8" t="s">
        <v>216</v>
      </c>
      <c r="D101" s="22" t="s">
        <v>5</v>
      </c>
      <c r="E101" s="26" t="s">
        <v>3</v>
      </c>
      <c r="F101" s="26" t="s">
        <v>3</v>
      </c>
      <c r="G101" s="23" t="s">
        <v>7</v>
      </c>
      <c r="H101" s="24" t="s">
        <v>9</v>
      </c>
      <c r="I101" s="26" t="s">
        <v>3</v>
      </c>
      <c r="J101" s="26" t="s">
        <v>3</v>
      </c>
      <c r="K101" s="26" t="s">
        <v>3</v>
      </c>
      <c r="L101" s="26" t="s">
        <v>3</v>
      </c>
      <c r="M101" s="26" t="s">
        <v>3</v>
      </c>
      <c r="N101" s="23" t="s">
        <v>7</v>
      </c>
      <c r="O101" s="24" t="s">
        <v>9</v>
      </c>
      <c r="P101" s="26" t="s">
        <v>3</v>
      </c>
      <c r="Q101" s="26" t="s">
        <v>3</v>
      </c>
      <c r="R101" s="26" t="s">
        <v>3</v>
      </c>
      <c r="S101" s="26" t="s">
        <v>3</v>
      </c>
      <c r="T101" s="26" t="s">
        <v>3</v>
      </c>
      <c r="U101" s="23" t="s">
        <v>7</v>
      </c>
      <c r="V101" s="24" t="s">
        <v>9</v>
      </c>
      <c r="W101" s="26" t="s">
        <v>3</v>
      </c>
      <c r="X101" s="26" t="s">
        <v>3</v>
      </c>
      <c r="Y101" s="26" t="s">
        <v>3</v>
      </c>
      <c r="Z101" s="26" t="s">
        <v>3</v>
      </c>
      <c r="AA101" s="26" t="s">
        <v>3</v>
      </c>
      <c r="AB101" s="23" t="s">
        <v>7</v>
      </c>
      <c r="AC101" s="24" t="s">
        <v>9</v>
      </c>
      <c r="AD101" s="26" t="s">
        <v>3</v>
      </c>
      <c r="AE101" s="26" t="s">
        <v>3</v>
      </c>
      <c r="AF101" s="26" t="s">
        <v>3</v>
      </c>
      <c r="AG101" s="26" t="s">
        <v>3</v>
      </c>
      <c r="AH101" s="26" t="s">
        <v>3</v>
      </c>
      <c r="AI101" s="8">
        <f t="shared" si="32"/>
        <v>22</v>
      </c>
      <c r="AJ101" s="8">
        <f t="shared" si="33"/>
        <v>1</v>
      </c>
      <c r="AK101" s="8">
        <f t="shared" si="34"/>
        <v>0</v>
      </c>
      <c r="AL101" s="62">
        <v>0</v>
      </c>
      <c r="AM101" s="33">
        <f t="shared" si="35"/>
        <v>22</v>
      </c>
      <c r="AN101" s="63">
        <f t="shared" si="36"/>
        <v>184</v>
      </c>
      <c r="AO101" s="63">
        <f t="shared" si="37"/>
        <v>5</v>
      </c>
      <c r="AP101" s="63">
        <f t="shared" si="38"/>
        <v>20</v>
      </c>
      <c r="AQ101" s="53">
        <f t="shared" si="39"/>
        <v>19.5</v>
      </c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</row>
    <row r="102" spans="1:56" ht="22" customHeight="1" x14ac:dyDescent="0.35">
      <c r="A102" s="8" t="s">
        <v>223</v>
      </c>
      <c r="B102" s="8" t="s">
        <v>224</v>
      </c>
      <c r="C102" s="8" t="s">
        <v>216</v>
      </c>
      <c r="D102" s="22" t="s">
        <v>5</v>
      </c>
      <c r="E102" s="22" t="s">
        <v>5</v>
      </c>
      <c r="F102" s="22" t="s">
        <v>5</v>
      </c>
      <c r="G102" s="23" t="s">
        <v>7</v>
      </c>
      <c r="H102" s="24" t="s">
        <v>9</v>
      </c>
      <c r="I102" s="22" t="s">
        <v>5</v>
      </c>
      <c r="J102" s="22" t="s">
        <v>5</v>
      </c>
      <c r="K102" s="22" t="s">
        <v>5</v>
      </c>
      <c r="L102" s="22" t="s">
        <v>5</v>
      </c>
      <c r="M102" s="22" t="s">
        <v>5</v>
      </c>
      <c r="N102" s="23" t="s">
        <v>7</v>
      </c>
      <c r="O102" s="24" t="s">
        <v>9</v>
      </c>
      <c r="P102" s="22" t="s">
        <v>5</v>
      </c>
      <c r="Q102" s="22" t="s">
        <v>5</v>
      </c>
      <c r="R102" s="22" t="s">
        <v>5</v>
      </c>
      <c r="S102" s="22" t="s">
        <v>5</v>
      </c>
      <c r="T102" s="22" t="s">
        <v>5</v>
      </c>
      <c r="U102" s="23" t="s">
        <v>7</v>
      </c>
      <c r="V102" s="24" t="s">
        <v>9</v>
      </c>
      <c r="W102" s="22" t="s">
        <v>5</v>
      </c>
      <c r="X102" s="22" t="s">
        <v>5</v>
      </c>
      <c r="Y102" s="22" t="s">
        <v>5</v>
      </c>
      <c r="Z102" s="22" t="s">
        <v>5</v>
      </c>
      <c r="AA102" s="22" t="s">
        <v>5</v>
      </c>
      <c r="AB102" s="23" t="s">
        <v>7</v>
      </c>
      <c r="AC102" s="24" t="s">
        <v>9</v>
      </c>
      <c r="AD102" s="22" t="s">
        <v>5</v>
      </c>
      <c r="AE102" s="22" t="s">
        <v>5</v>
      </c>
      <c r="AF102" s="22" t="s">
        <v>5</v>
      </c>
      <c r="AG102" s="22" t="s">
        <v>5</v>
      </c>
      <c r="AH102" s="22" t="s">
        <v>5</v>
      </c>
      <c r="AI102" s="8">
        <f t="shared" si="32"/>
        <v>0</v>
      </c>
      <c r="AJ102" s="25">
        <f t="shared" si="33"/>
        <v>23</v>
      </c>
      <c r="AK102" s="8">
        <f t="shared" si="34"/>
        <v>0</v>
      </c>
      <c r="AL102" s="62">
        <v>0</v>
      </c>
      <c r="AM102" s="33">
        <f t="shared" si="35"/>
        <v>0</v>
      </c>
      <c r="AN102" s="63">
        <f t="shared" si="36"/>
        <v>184</v>
      </c>
      <c r="AO102" s="63">
        <f t="shared" si="37"/>
        <v>0</v>
      </c>
      <c r="AP102" s="63">
        <f t="shared" si="38"/>
        <v>0</v>
      </c>
      <c r="AQ102" s="53">
        <f t="shared" si="39"/>
        <v>0</v>
      </c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</row>
    <row r="103" spans="1:56" ht="22" customHeight="1" x14ac:dyDescent="0.35">
      <c r="A103" s="8" t="s">
        <v>225</v>
      </c>
      <c r="B103" s="8" t="s">
        <v>226</v>
      </c>
      <c r="C103" s="8" t="s">
        <v>216</v>
      </c>
      <c r="D103" s="22" t="s">
        <v>5</v>
      </c>
      <c r="E103" s="22" t="s">
        <v>5</v>
      </c>
      <c r="F103" s="22" t="s">
        <v>5</v>
      </c>
      <c r="G103" s="23" t="s">
        <v>7</v>
      </c>
      <c r="H103" s="24" t="s">
        <v>9</v>
      </c>
      <c r="I103" s="22" t="s">
        <v>5</v>
      </c>
      <c r="J103" s="22" t="s">
        <v>5</v>
      </c>
      <c r="K103" s="22" t="s">
        <v>5</v>
      </c>
      <c r="L103" s="22" t="s">
        <v>5</v>
      </c>
      <c r="M103" s="22" t="s">
        <v>5</v>
      </c>
      <c r="N103" s="23" t="s">
        <v>7</v>
      </c>
      <c r="O103" s="24" t="s">
        <v>9</v>
      </c>
      <c r="P103" s="22" t="s">
        <v>5</v>
      </c>
      <c r="Q103" s="22" t="s">
        <v>5</v>
      </c>
      <c r="R103" s="22" t="s">
        <v>5</v>
      </c>
      <c r="S103" s="22" t="s">
        <v>5</v>
      </c>
      <c r="T103" s="22" t="s">
        <v>5</v>
      </c>
      <c r="U103" s="23" t="s">
        <v>7</v>
      </c>
      <c r="V103" s="24" t="s">
        <v>9</v>
      </c>
      <c r="W103" s="22" t="s">
        <v>5</v>
      </c>
      <c r="X103" s="22" t="s">
        <v>5</v>
      </c>
      <c r="Y103" s="22" t="s">
        <v>5</v>
      </c>
      <c r="Z103" s="22" t="s">
        <v>5</v>
      </c>
      <c r="AA103" s="22" t="s">
        <v>5</v>
      </c>
      <c r="AB103" s="23" t="s">
        <v>7</v>
      </c>
      <c r="AC103" s="24" t="s">
        <v>9</v>
      </c>
      <c r="AD103" s="22" t="s">
        <v>5</v>
      </c>
      <c r="AE103" s="22" t="s">
        <v>5</v>
      </c>
      <c r="AF103" s="22" t="s">
        <v>5</v>
      </c>
      <c r="AG103" s="22" t="s">
        <v>5</v>
      </c>
      <c r="AH103" s="22" t="s">
        <v>5</v>
      </c>
      <c r="AI103" s="8">
        <f t="shared" si="32"/>
        <v>0</v>
      </c>
      <c r="AJ103" s="25">
        <f t="shared" si="33"/>
        <v>23</v>
      </c>
      <c r="AK103" s="8">
        <f t="shared" si="34"/>
        <v>0</v>
      </c>
      <c r="AL103" s="62">
        <v>0</v>
      </c>
      <c r="AM103" s="33">
        <f t="shared" si="35"/>
        <v>0</v>
      </c>
      <c r="AN103" s="63">
        <f t="shared" si="36"/>
        <v>184</v>
      </c>
      <c r="AO103" s="63">
        <f t="shared" si="37"/>
        <v>0</v>
      </c>
      <c r="AP103" s="63">
        <f t="shared" si="38"/>
        <v>0</v>
      </c>
      <c r="AQ103" s="53">
        <f t="shared" si="39"/>
        <v>0</v>
      </c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</row>
    <row r="104" spans="1:56" ht="22" customHeight="1" x14ac:dyDescent="0.35">
      <c r="A104" s="8" t="s">
        <v>227</v>
      </c>
      <c r="B104" s="8" t="s">
        <v>228</v>
      </c>
      <c r="C104" s="8" t="s">
        <v>216</v>
      </c>
      <c r="D104" s="22" t="s">
        <v>5</v>
      </c>
      <c r="E104" s="26" t="s">
        <v>3</v>
      </c>
      <c r="F104" s="26" t="s">
        <v>3</v>
      </c>
      <c r="G104" s="23" t="s">
        <v>7</v>
      </c>
      <c r="H104" s="24" t="s">
        <v>9</v>
      </c>
      <c r="I104" s="26" t="s">
        <v>3</v>
      </c>
      <c r="J104" s="26" t="s">
        <v>3</v>
      </c>
      <c r="K104" s="26" t="s">
        <v>3</v>
      </c>
      <c r="L104" s="26" t="s">
        <v>3</v>
      </c>
      <c r="M104" s="26" t="s">
        <v>3</v>
      </c>
      <c r="N104" s="23" t="s">
        <v>7</v>
      </c>
      <c r="O104" s="24" t="s">
        <v>9</v>
      </c>
      <c r="P104" s="26" t="s">
        <v>3</v>
      </c>
      <c r="Q104" s="26" t="s">
        <v>3</v>
      </c>
      <c r="R104" s="26" t="s">
        <v>3</v>
      </c>
      <c r="S104" s="26" t="s">
        <v>3</v>
      </c>
      <c r="T104" s="26" t="s">
        <v>3</v>
      </c>
      <c r="U104" s="23" t="s">
        <v>7</v>
      </c>
      <c r="V104" s="24" t="s">
        <v>9</v>
      </c>
      <c r="W104" s="26" t="s">
        <v>3</v>
      </c>
      <c r="X104" s="26" t="s">
        <v>3</v>
      </c>
      <c r="Y104" s="26" t="s">
        <v>3</v>
      </c>
      <c r="Z104" s="26" t="s">
        <v>3</v>
      </c>
      <c r="AA104" s="26" t="s">
        <v>3</v>
      </c>
      <c r="AB104" s="23" t="s">
        <v>7</v>
      </c>
      <c r="AC104" s="24" t="s">
        <v>9</v>
      </c>
      <c r="AD104" s="26" t="s">
        <v>3</v>
      </c>
      <c r="AE104" s="26" t="s">
        <v>3</v>
      </c>
      <c r="AF104" s="26" t="s">
        <v>3</v>
      </c>
      <c r="AG104" s="26" t="s">
        <v>3</v>
      </c>
      <c r="AH104" s="26" t="s">
        <v>3</v>
      </c>
      <c r="AI104" s="8">
        <f t="shared" si="32"/>
        <v>22</v>
      </c>
      <c r="AJ104" s="8">
        <f t="shared" si="33"/>
        <v>1</v>
      </c>
      <c r="AK104" s="8">
        <f t="shared" si="34"/>
        <v>0</v>
      </c>
      <c r="AL104" s="62">
        <v>0</v>
      </c>
      <c r="AM104" s="33">
        <f t="shared" si="35"/>
        <v>22</v>
      </c>
      <c r="AN104" s="63">
        <f t="shared" si="36"/>
        <v>184</v>
      </c>
      <c r="AO104" s="63">
        <f t="shared" si="37"/>
        <v>5</v>
      </c>
      <c r="AP104" s="63">
        <f t="shared" si="38"/>
        <v>20</v>
      </c>
      <c r="AQ104" s="53">
        <f t="shared" si="39"/>
        <v>19.5</v>
      </c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</row>
    <row r="105" spans="1:56" ht="22" customHeight="1" x14ac:dyDescent="0.35">
      <c r="A105" s="8" t="s">
        <v>229</v>
      </c>
      <c r="B105" s="8" t="s">
        <v>230</v>
      </c>
      <c r="C105" s="8" t="s">
        <v>216</v>
      </c>
      <c r="D105" s="22" t="s">
        <v>5</v>
      </c>
      <c r="E105" s="26" t="s">
        <v>3</v>
      </c>
      <c r="F105" s="26" t="s">
        <v>3</v>
      </c>
      <c r="G105" s="23" t="s">
        <v>7</v>
      </c>
      <c r="H105" s="24" t="s">
        <v>9</v>
      </c>
      <c r="I105" s="26" t="s">
        <v>3</v>
      </c>
      <c r="J105" s="26" t="s">
        <v>3</v>
      </c>
      <c r="K105" s="26" t="s">
        <v>3</v>
      </c>
      <c r="L105" s="26" t="s">
        <v>3</v>
      </c>
      <c r="M105" s="26" t="s">
        <v>3</v>
      </c>
      <c r="N105" s="23" t="s">
        <v>7</v>
      </c>
      <c r="O105" s="24" t="s">
        <v>9</v>
      </c>
      <c r="P105" s="26" t="s">
        <v>3</v>
      </c>
      <c r="Q105" s="26" t="s">
        <v>3</v>
      </c>
      <c r="R105" s="26" t="s">
        <v>3</v>
      </c>
      <c r="S105" s="26" t="s">
        <v>3</v>
      </c>
      <c r="T105" s="26" t="s">
        <v>3</v>
      </c>
      <c r="U105" s="27" t="s">
        <v>7</v>
      </c>
      <c r="V105" s="24" t="s">
        <v>9</v>
      </c>
      <c r="W105" s="26" t="s">
        <v>3</v>
      </c>
      <c r="X105" s="26" t="s">
        <v>3</v>
      </c>
      <c r="Y105" s="26" t="s">
        <v>3</v>
      </c>
      <c r="Z105" s="26" t="s">
        <v>3</v>
      </c>
      <c r="AA105" s="26" t="s">
        <v>3</v>
      </c>
      <c r="AB105" s="23" t="s">
        <v>7</v>
      </c>
      <c r="AC105" s="24" t="s">
        <v>9</v>
      </c>
      <c r="AD105" s="26" t="s">
        <v>3</v>
      </c>
      <c r="AE105" s="26" t="s">
        <v>3</v>
      </c>
      <c r="AF105" s="26" t="s">
        <v>3</v>
      </c>
      <c r="AG105" s="26" t="s">
        <v>3</v>
      </c>
      <c r="AH105" s="26" t="s">
        <v>3</v>
      </c>
      <c r="AI105" s="8">
        <f t="shared" si="32"/>
        <v>22</v>
      </c>
      <c r="AJ105" s="8">
        <f t="shared" si="33"/>
        <v>1</v>
      </c>
      <c r="AK105" s="8">
        <f t="shared" si="34"/>
        <v>0</v>
      </c>
      <c r="AL105" s="62">
        <v>1</v>
      </c>
      <c r="AM105" s="33">
        <f t="shared" si="35"/>
        <v>22.5</v>
      </c>
      <c r="AN105" s="63">
        <f t="shared" si="36"/>
        <v>184</v>
      </c>
      <c r="AO105" s="63">
        <f t="shared" si="37"/>
        <v>4</v>
      </c>
      <c r="AP105" s="63">
        <f t="shared" si="38"/>
        <v>16</v>
      </c>
      <c r="AQ105" s="53">
        <f t="shared" si="39"/>
        <v>20.5</v>
      </c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</row>
    <row r="106" spans="1:56" ht="22" customHeight="1" x14ac:dyDescent="0.35">
      <c r="A106" s="8" t="s">
        <v>231</v>
      </c>
      <c r="B106" s="8" t="s">
        <v>232</v>
      </c>
      <c r="C106" s="8" t="s">
        <v>216</v>
      </c>
      <c r="D106" s="22" t="s">
        <v>5</v>
      </c>
      <c r="E106" s="26" t="s">
        <v>3</v>
      </c>
      <c r="F106" s="26" t="s">
        <v>3</v>
      </c>
      <c r="G106" s="23" t="s">
        <v>7</v>
      </c>
      <c r="H106" s="24" t="s">
        <v>9</v>
      </c>
      <c r="I106" s="26" t="s">
        <v>3</v>
      </c>
      <c r="J106" s="26" t="s">
        <v>3</v>
      </c>
      <c r="K106" s="26" t="s">
        <v>3</v>
      </c>
      <c r="L106" s="26" t="s">
        <v>3</v>
      </c>
      <c r="M106" s="26" t="s">
        <v>3</v>
      </c>
      <c r="N106" s="27" t="s">
        <v>7</v>
      </c>
      <c r="O106" s="24" t="s">
        <v>9</v>
      </c>
      <c r="P106" s="26" t="s">
        <v>3</v>
      </c>
      <c r="Q106" s="26" t="s">
        <v>3</v>
      </c>
      <c r="R106" s="26" t="s">
        <v>3</v>
      </c>
      <c r="S106" s="26" t="s">
        <v>3</v>
      </c>
      <c r="T106" s="26" t="s">
        <v>3</v>
      </c>
      <c r="U106" s="23" t="s">
        <v>7</v>
      </c>
      <c r="V106" s="28" t="s">
        <v>11</v>
      </c>
      <c r="W106" s="26" t="s">
        <v>3</v>
      </c>
      <c r="X106" s="26" t="s">
        <v>3</v>
      </c>
      <c r="Y106" s="26" t="s">
        <v>3</v>
      </c>
      <c r="Z106" s="26" t="s">
        <v>3</v>
      </c>
      <c r="AA106" s="26" t="s">
        <v>3</v>
      </c>
      <c r="AB106" s="23" t="s">
        <v>7</v>
      </c>
      <c r="AC106" s="24" t="s">
        <v>9</v>
      </c>
      <c r="AD106" s="22" t="s">
        <v>5</v>
      </c>
      <c r="AE106" s="26" t="s">
        <v>3</v>
      </c>
      <c r="AF106" s="26" t="s">
        <v>3</v>
      </c>
      <c r="AG106" s="26" t="s">
        <v>3</v>
      </c>
      <c r="AH106" s="26" t="s">
        <v>3</v>
      </c>
      <c r="AI106" s="8">
        <f t="shared" si="32"/>
        <v>21</v>
      </c>
      <c r="AJ106" s="8">
        <f t="shared" si="33"/>
        <v>2</v>
      </c>
      <c r="AK106" s="29">
        <f t="shared" si="34"/>
        <v>1</v>
      </c>
      <c r="AL106" s="62">
        <v>1</v>
      </c>
      <c r="AM106" s="33">
        <f t="shared" si="35"/>
        <v>22.5</v>
      </c>
      <c r="AN106" s="63">
        <f t="shared" si="36"/>
        <v>184</v>
      </c>
      <c r="AO106" s="63">
        <f t="shared" si="37"/>
        <v>4</v>
      </c>
      <c r="AP106" s="63">
        <f t="shared" si="38"/>
        <v>16</v>
      </c>
      <c r="AQ106" s="53">
        <f t="shared" si="39"/>
        <v>20.5</v>
      </c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</row>
    <row r="107" spans="1:56" ht="22" customHeight="1" x14ac:dyDescent="0.35">
      <c r="A107" s="8" t="s">
        <v>233</v>
      </c>
      <c r="B107" s="8" t="s">
        <v>234</v>
      </c>
      <c r="C107" s="8" t="s">
        <v>216</v>
      </c>
      <c r="D107" s="22" t="s">
        <v>5</v>
      </c>
      <c r="E107" s="26" t="s">
        <v>3</v>
      </c>
      <c r="F107" s="26" t="s">
        <v>3</v>
      </c>
      <c r="G107" s="23" t="s">
        <v>7</v>
      </c>
      <c r="H107" s="24" t="s">
        <v>9</v>
      </c>
      <c r="I107" s="26" t="s">
        <v>3</v>
      </c>
      <c r="J107" s="26" t="s">
        <v>3</v>
      </c>
      <c r="K107" s="26" t="s">
        <v>3</v>
      </c>
      <c r="L107" s="26" t="s">
        <v>3</v>
      </c>
      <c r="M107" s="26" t="s">
        <v>3</v>
      </c>
      <c r="N107" s="23" t="s">
        <v>7</v>
      </c>
      <c r="O107" s="24" t="s">
        <v>9</v>
      </c>
      <c r="P107" s="26" t="s">
        <v>3</v>
      </c>
      <c r="Q107" s="26" t="s">
        <v>3</v>
      </c>
      <c r="R107" s="26" t="s">
        <v>3</v>
      </c>
      <c r="S107" s="26" t="s">
        <v>3</v>
      </c>
      <c r="T107" s="26" t="s">
        <v>3</v>
      </c>
      <c r="U107" s="27" t="s">
        <v>7</v>
      </c>
      <c r="V107" s="24" t="s">
        <v>9</v>
      </c>
      <c r="W107" s="26" t="s">
        <v>3</v>
      </c>
      <c r="X107" s="26" t="s">
        <v>3</v>
      </c>
      <c r="Y107" s="26" t="s">
        <v>3</v>
      </c>
      <c r="Z107" s="26" t="s">
        <v>3</v>
      </c>
      <c r="AA107" s="26" t="s">
        <v>3</v>
      </c>
      <c r="AB107" s="23" t="s">
        <v>7</v>
      </c>
      <c r="AC107" s="24" t="s">
        <v>9</v>
      </c>
      <c r="AD107" s="26" t="s">
        <v>3</v>
      </c>
      <c r="AE107" s="26" t="s">
        <v>3</v>
      </c>
      <c r="AF107" s="26" t="s">
        <v>3</v>
      </c>
      <c r="AG107" s="26" t="s">
        <v>3</v>
      </c>
      <c r="AH107" s="26" t="s">
        <v>3</v>
      </c>
      <c r="AI107" s="8">
        <f t="shared" si="32"/>
        <v>22</v>
      </c>
      <c r="AJ107" s="8">
        <f t="shared" si="33"/>
        <v>1</v>
      </c>
      <c r="AK107" s="8">
        <f t="shared" si="34"/>
        <v>0</v>
      </c>
      <c r="AL107" s="62">
        <v>1</v>
      </c>
      <c r="AM107" s="33">
        <f t="shared" si="35"/>
        <v>22.5</v>
      </c>
      <c r="AN107" s="63">
        <f t="shared" si="36"/>
        <v>184</v>
      </c>
      <c r="AO107" s="63">
        <f t="shared" si="37"/>
        <v>4</v>
      </c>
      <c r="AP107" s="63">
        <f t="shared" si="38"/>
        <v>16</v>
      </c>
      <c r="AQ107" s="53">
        <f t="shared" si="39"/>
        <v>20.5</v>
      </c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</row>
    <row r="108" spans="1:56" ht="22" customHeight="1" x14ac:dyDescent="0.35">
      <c r="A108" s="8" t="s">
        <v>235</v>
      </c>
      <c r="B108" s="8" t="s">
        <v>236</v>
      </c>
      <c r="C108" s="8" t="s">
        <v>216</v>
      </c>
      <c r="D108" s="22" t="s">
        <v>5</v>
      </c>
      <c r="E108" s="26" t="s">
        <v>3</v>
      </c>
      <c r="F108" s="26" t="s">
        <v>3</v>
      </c>
      <c r="G108" s="27" t="s">
        <v>7</v>
      </c>
      <c r="H108" s="24" t="s">
        <v>9</v>
      </c>
      <c r="I108" s="26" t="s">
        <v>3</v>
      </c>
      <c r="J108" s="22" t="s">
        <v>5</v>
      </c>
      <c r="K108" s="26" t="s">
        <v>3</v>
      </c>
      <c r="L108" s="26" t="s">
        <v>3</v>
      </c>
      <c r="M108" s="26" t="s">
        <v>3</v>
      </c>
      <c r="N108" s="23" t="s">
        <v>7</v>
      </c>
      <c r="O108" s="24" t="s">
        <v>9</v>
      </c>
      <c r="P108" s="26" t="s">
        <v>3</v>
      </c>
      <c r="Q108" s="26" t="s">
        <v>3</v>
      </c>
      <c r="R108" s="26" t="s">
        <v>3</v>
      </c>
      <c r="S108" s="26" t="s">
        <v>3</v>
      </c>
      <c r="T108" s="26" t="s">
        <v>3</v>
      </c>
      <c r="U108" s="27" t="s">
        <v>7</v>
      </c>
      <c r="V108" s="24" t="s">
        <v>9</v>
      </c>
      <c r="W108" s="26" t="s">
        <v>3</v>
      </c>
      <c r="X108" s="26" t="s">
        <v>3</v>
      </c>
      <c r="Y108" s="26" t="s">
        <v>3</v>
      </c>
      <c r="Z108" s="26" t="s">
        <v>3</v>
      </c>
      <c r="AA108" s="26" t="s">
        <v>3</v>
      </c>
      <c r="AB108" s="23" t="s">
        <v>7</v>
      </c>
      <c r="AC108" s="24" t="s">
        <v>9</v>
      </c>
      <c r="AD108" s="22" t="s">
        <v>5</v>
      </c>
      <c r="AE108" s="26" t="s">
        <v>3</v>
      </c>
      <c r="AF108" s="26" t="s">
        <v>3</v>
      </c>
      <c r="AG108" s="26" t="s">
        <v>3</v>
      </c>
      <c r="AH108" s="26" t="s">
        <v>3</v>
      </c>
      <c r="AI108" s="8">
        <f t="shared" si="32"/>
        <v>20</v>
      </c>
      <c r="AJ108" s="8">
        <f t="shared" si="33"/>
        <v>3</v>
      </c>
      <c r="AK108" s="8">
        <f t="shared" si="34"/>
        <v>0</v>
      </c>
      <c r="AL108" s="62">
        <v>2</v>
      </c>
      <c r="AM108" s="33">
        <f t="shared" si="35"/>
        <v>21</v>
      </c>
      <c r="AN108" s="63">
        <f t="shared" si="36"/>
        <v>184</v>
      </c>
      <c r="AO108" s="63">
        <f t="shared" si="37"/>
        <v>3</v>
      </c>
      <c r="AP108" s="63">
        <f t="shared" si="38"/>
        <v>12</v>
      </c>
      <c r="AQ108" s="53">
        <f t="shared" si="39"/>
        <v>19.5</v>
      </c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</row>
    <row r="109" spans="1:56" ht="22" customHeight="1" x14ac:dyDescent="0.35">
      <c r="A109" s="8" t="s">
        <v>237</v>
      </c>
      <c r="B109" s="8" t="s">
        <v>238</v>
      </c>
      <c r="C109" s="8" t="s">
        <v>216</v>
      </c>
      <c r="D109" s="22" t="s">
        <v>5</v>
      </c>
      <c r="E109" s="22" t="s">
        <v>5</v>
      </c>
      <c r="F109" s="26" t="s">
        <v>3</v>
      </c>
      <c r="G109" s="23" t="s">
        <v>7</v>
      </c>
      <c r="H109" s="24" t="s">
        <v>9</v>
      </c>
      <c r="I109" s="26" t="s">
        <v>3</v>
      </c>
      <c r="J109" s="26" t="s">
        <v>3</v>
      </c>
      <c r="K109" s="26" t="s">
        <v>3</v>
      </c>
      <c r="L109" s="26" t="s">
        <v>3</v>
      </c>
      <c r="M109" s="26" t="s">
        <v>3</v>
      </c>
      <c r="N109" s="23" t="s">
        <v>7</v>
      </c>
      <c r="O109" s="28" t="s">
        <v>11</v>
      </c>
      <c r="P109" s="22" t="s">
        <v>5</v>
      </c>
      <c r="Q109" s="26" t="s">
        <v>3</v>
      </c>
      <c r="R109" s="26" t="s">
        <v>3</v>
      </c>
      <c r="S109" s="26" t="s">
        <v>3</v>
      </c>
      <c r="T109" s="26" t="s">
        <v>3</v>
      </c>
      <c r="U109" s="23" t="s">
        <v>7</v>
      </c>
      <c r="V109" s="24" t="s">
        <v>9</v>
      </c>
      <c r="W109" s="26" t="s">
        <v>3</v>
      </c>
      <c r="X109" s="26" t="s">
        <v>3</v>
      </c>
      <c r="Y109" s="26" t="s">
        <v>3</v>
      </c>
      <c r="Z109" s="26" t="s">
        <v>3</v>
      </c>
      <c r="AA109" s="26" t="s">
        <v>3</v>
      </c>
      <c r="AB109" s="23" t="s">
        <v>7</v>
      </c>
      <c r="AC109" s="28" t="s">
        <v>11</v>
      </c>
      <c r="AD109" s="26" t="s">
        <v>3</v>
      </c>
      <c r="AE109" s="26" t="s">
        <v>3</v>
      </c>
      <c r="AF109" s="26" t="s">
        <v>3</v>
      </c>
      <c r="AG109" s="26" t="s">
        <v>3</v>
      </c>
      <c r="AH109" s="26" t="s">
        <v>3</v>
      </c>
      <c r="AI109" s="8">
        <f t="shared" si="32"/>
        <v>20</v>
      </c>
      <c r="AJ109" s="8">
        <f t="shared" si="33"/>
        <v>3</v>
      </c>
      <c r="AK109" s="29">
        <f t="shared" si="34"/>
        <v>2</v>
      </c>
      <c r="AL109" s="62">
        <v>0</v>
      </c>
      <c r="AM109" s="33">
        <f t="shared" si="35"/>
        <v>22</v>
      </c>
      <c r="AN109" s="63">
        <f t="shared" si="36"/>
        <v>184</v>
      </c>
      <c r="AO109" s="63">
        <f t="shared" si="37"/>
        <v>5</v>
      </c>
      <c r="AP109" s="63">
        <f t="shared" si="38"/>
        <v>20</v>
      </c>
      <c r="AQ109" s="53">
        <f t="shared" si="39"/>
        <v>19.5</v>
      </c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</row>
    <row r="110" spans="1:56" ht="22" customHeight="1" x14ac:dyDescent="0.35">
      <c r="A110" s="8" t="s">
        <v>239</v>
      </c>
      <c r="B110" s="8" t="s">
        <v>240</v>
      </c>
      <c r="C110" s="8" t="s">
        <v>216</v>
      </c>
      <c r="D110" s="22" t="s">
        <v>5</v>
      </c>
      <c r="E110" s="26" t="s">
        <v>3</v>
      </c>
      <c r="F110" s="26" t="s">
        <v>3</v>
      </c>
      <c r="G110" s="23" t="s">
        <v>7</v>
      </c>
      <c r="H110" s="24" t="s">
        <v>9</v>
      </c>
      <c r="I110" s="26" t="s">
        <v>3</v>
      </c>
      <c r="J110" s="26" t="s">
        <v>3</v>
      </c>
      <c r="K110" s="26" t="s">
        <v>3</v>
      </c>
      <c r="L110" s="26" t="s">
        <v>3</v>
      </c>
      <c r="M110" s="26" t="s">
        <v>3</v>
      </c>
      <c r="N110" s="23" t="s">
        <v>7</v>
      </c>
      <c r="O110" s="24" t="s">
        <v>9</v>
      </c>
      <c r="P110" s="26" t="s">
        <v>3</v>
      </c>
      <c r="Q110" s="26" t="s">
        <v>3</v>
      </c>
      <c r="R110" s="26" t="s">
        <v>3</v>
      </c>
      <c r="S110" s="22" t="s">
        <v>5</v>
      </c>
      <c r="T110" s="22" t="s">
        <v>5</v>
      </c>
      <c r="U110" s="23" t="s">
        <v>7</v>
      </c>
      <c r="V110" s="24" t="s">
        <v>9</v>
      </c>
      <c r="W110" s="26" t="s">
        <v>3</v>
      </c>
      <c r="X110" s="22" t="s">
        <v>5</v>
      </c>
      <c r="Y110" s="26" t="s">
        <v>3</v>
      </c>
      <c r="Z110" s="26" t="s">
        <v>3</v>
      </c>
      <c r="AA110" s="26" t="s">
        <v>3</v>
      </c>
      <c r="AB110" s="27" t="s">
        <v>7</v>
      </c>
      <c r="AC110" s="24" t="s">
        <v>9</v>
      </c>
      <c r="AD110" s="26" t="s">
        <v>3</v>
      </c>
      <c r="AE110" s="26" t="s">
        <v>3</v>
      </c>
      <c r="AF110" s="26" t="s">
        <v>3</v>
      </c>
      <c r="AG110" s="26" t="s">
        <v>3</v>
      </c>
      <c r="AH110" s="26" t="s">
        <v>3</v>
      </c>
      <c r="AI110" s="8">
        <f t="shared" si="32"/>
        <v>19</v>
      </c>
      <c r="AJ110" s="8">
        <f t="shared" si="33"/>
        <v>4</v>
      </c>
      <c r="AK110" s="8">
        <f t="shared" si="34"/>
        <v>0</v>
      </c>
      <c r="AL110" s="62">
        <v>1</v>
      </c>
      <c r="AM110" s="33">
        <f t="shared" si="35"/>
        <v>19.5</v>
      </c>
      <c r="AN110" s="63">
        <f t="shared" si="36"/>
        <v>184</v>
      </c>
      <c r="AO110" s="63">
        <f t="shared" si="37"/>
        <v>3</v>
      </c>
      <c r="AP110" s="63">
        <f t="shared" si="38"/>
        <v>12</v>
      </c>
      <c r="AQ110" s="53">
        <f t="shared" si="39"/>
        <v>18</v>
      </c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</row>
    <row r="111" spans="1:56" ht="22" customHeight="1" x14ac:dyDescent="0.35">
      <c r="A111" s="8" t="s">
        <v>241</v>
      </c>
      <c r="B111" s="8" t="s">
        <v>242</v>
      </c>
      <c r="C111" s="8" t="s">
        <v>216</v>
      </c>
      <c r="D111" s="22" t="s">
        <v>5</v>
      </c>
      <c r="E111" s="26" t="s">
        <v>3</v>
      </c>
      <c r="F111" s="26" t="s">
        <v>3</v>
      </c>
      <c r="G111" s="23" t="s">
        <v>7</v>
      </c>
      <c r="H111" s="24" t="s">
        <v>9</v>
      </c>
      <c r="I111" s="26" t="s">
        <v>3</v>
      </c>
      <c r="J111" s="26" t="s">
        <v>3</v>
      </c>
      <c r="K111" s="26" t="s">
        <v>3</v>
      </c>
      <c r="L111" s="26" t="s">
        <v>3</v>
      </c>
      <c r="M111" s="26" t="s">
        <v>3</v>
      </c>
      <c r="N111" s="23" t="s">
        <v>7</v>
      </c>
      <c r="O111" s="24" t="s">
        <v>9</v>
      </c>
      <c r="P111" s="26" t="s">
        <v>3</v>
      </c>
      <c r="Q111" s="26" t="s">
        <v>3</v>
      </c>
      <c r="R111" s="26" t="s">
        <v>3</v>
      </c>
      <c r="S111" s="26" t="s">
        <v>3</v>
      </c>
      <c r="T111" s="26" t="s">
        <v>3</v>
      </c>
      <c r="U111" s="23" t="s">
        <v>7</v>
      </c>
      <c r="V111" s="24" t="s">
        <v>9</v>
      </c>
      <c r="W111" s="26" t="s">
        <v>3</v>
      </c>
      <c r="X111" s="26" t="s">
        <v>3</v>
      </c>
      <c r="Y111" s="26" t="s">
        <v>3</v>
      </c>
      <c r="Z111" s="26" t="s">
        <v>3</v>
      </c>
      <c r="AA111" s="26" t="s">
        <v>3</v>
      </c>
      <c r="AB111" s="23" t="s">
        <v>7</v>
      </c>
      <c r="AC111" s="24" t="s">
        <v>9</v>
      </c>
      <c r="AD111" s="26" t="s">
        <v>3</v>
      </c>
      <c r="AE111" s="26" t="s">
        <v>3</v>
      </c>
      <c r="AF111" s="26" t="s">
        <v>3</v>
      </c>
      <c r="AG111" s="26" t="s">
        <v>3</v>
      </c>
      <c r="AH111" s="26" t="s">
        <v>3</v>
      </c>
      <c r="AI111" s="8">
        <f t="shared" si="32"/>
        <v>22</v>
      </c>
      <c r="AJ111" s="8">
        <f t="shared" si="33"/>
        <v>1</v>
      </c>
      <c r="AK111" s="8">
        <f t="shared" si="34"/>
        <v>0</v>
      </c>
      <c r="AL111" s="62">
        <v>0</v>
      </c>
      <c r="AM111" s="33">
        <f t="shared" si="35"/>
        <v>22</v>
      </c>
      <c r="AN111" s="63">
        <f t="shared" si="36"/>
        <v>184</v>
      </c>
      <c r="AO111" s="63">
        <f t="shared" si="37"/>
        <v>5</v>
      </c>
      <c r="AP111" s="63">
        <f t="shared" si="38"/>
        <v>20</v>
      </c>
      <c r="AQ111" s="53">
        <f t="shared" si="39"/>
        <v>19.5</v>
      </c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</row>
    <row r="112" spans="1:56" x14ac:dyDescent="0.35"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</row>
    <row r="113" spans="1:56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</row>
    <row r="114" spans="1:56" ht="22" customHeight="1" x14ac:dyDescent="0.35">
      <c r="A114" s="8" t="s">
        <v>244</v>
      </c>
      <c r="B114" s="8" t="s">
        <v>245</v>
      </c>
      <c r="C114" s="8" t="s">
        <v>354</v>
      </c>
      <c r="D114" s="26" t="s">
        <v>3</v>
      </c>
      <c r="E114" s="26" t="s">
        <v>3</v>
      </c>
      <c r="F114" s="26" t="s">
        <v>3</v>
      </c>
      <c r="G114" s="27" t="s">
        <v>7</v>
      </c>
      <c r="H114" s="28" t="s">
        <v>11</v>
      </c>
      <c r="I114" s="22" t="s">
        <v>5</v>
      </c>
      <c r="J114" s="26" t="s">
        <v>3</v>
      </c>
      <c r="K114" s="26" t="s">
        <v>3</v>
      </c>
      <c r="L114" s="26" t="s">
        <v>3</v>
      </c>
      <c r="M114" s="26" t="s">
        <v>3</v>
      </c>
      <c r="N114" s="27" t="s">
        <v>7</v>
      </c>
      <c r="O114" s="28" t="s">
        <v>11</v>
      </c>
      <c r="P114" s="26" t="s">
        <v>3</v>
      </c>
      <c r="Q114" s="26" t="s">
        <v>3</v>
      </c>
      <c r="R114" s="26" t="s">
        <v>3</v>
      </c>
      <c r="S114" s="26" t="s">
        <v>3</v>
      </c>
      <c r="T114" s="26" t="s">
        <v>3</v>
      </c>
      <c r="U114" s="27" t="s">
        <v>7</v>
      </c>
      <c r="V114" s="28" t="s">
        <v>11</v>
      </c>
      <c r="W114" s="26" t="s">
        <v>3</v>
      </c>
      <c r="X114" s="26" t="s">
        <v>3</v>
      </c>
      <c r="Y114" s="26" t="s">
        <v>3</v>
      </c>
      <c r="Z114" s="26" t="s">
        <v>3</v>
      </c>
      <c r="AA114" s="26" t="s">
        <v>3</v>
      </c>
      <c r="AB114" s="27" t="s">
        <v>7</v>
      </c>
      <c r="AC114" s="28" t="s">
        <v>11</v>
      </c>
      <c r="AD114" s="26" t="s">
        <v>3</v>
      </c>
      <c r="AE114" s="26" t="s">
        <v>3</v>
      </c>
      <c r="AF114" s="26" t="s">
        <v>3</v>
      </c>
      <c r="AG114" s="26" t="s">
        <v>3</v>
      </c>
      <c r="AH114" s="22" t="s">
        <v>5</v>
      </c>
      <c r="AI114" s="8">
        <f>COUNTIF(D114:AH114,"ON")</f>
        <v>21</v>
      </c>
      <c r="AJ114" s="8">
        <f>COUNTIF(D114:AH114,"OFF")</f>
        <v>2</v>
      </c>
      <c r="AK114" s="29">
        <f>COUNTIF(D114:AH114,"OT")</f>
        <v>4</v>
      </c>
      <c r="AL114" s="62">
        <v>4</v>
      </c>
      <c r="AM114" s="33">
        <f>AI114+AK114+AL114*0.5</f>
        <v>27</v>
      </c>
      <c r="AN114" s="63">
        <f>NETWORKDAYS(DATE(2025,1,1),EOMONTH(DATE(2025,1,1),0))*8</f>
        <v>184</v>
      </c>
      <c r="AO114" s="63">
        <f>MAX(0,COUNTIF(F114,"ON")+COUNTIF(M114,"ON")+COUNTIF(T114,"ON")+COUNTIF(AA114,"ON")+COUNTIF(AH114,"ON")-AL114)</f>
        <v>0</v>
      </c>
      <c r="AP114" s="63">
        <f>AO114*$AP$2</f>
        <v>0</v>
      </c>
      <c r="AQ114" s="53">
        <f>AM114-AP114/8</f>
        <v>27</v>
      </c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</row>
    <row r="115" spans="1:56" ht="22" customHeight="1" x14ac:dyDescent="0.35">
      <c r="A115" s="8" t="s">
        <v>247</v>
      </c>
      <c r="B115" s="8" t="s">
        <v>248</v>
      </c>
      <c r="C115" s="8" t="s">
        <v>354</v>
      </c>
      <c r="D115" s="26" t="s">
        <v>3</v>
      </c>
      <c r="E115" s="26" t="s">
        <v>3</v>
      </c>
      <c r="F115" s="26" t="s">
        <v>3</v>
      </c>
      <c r="G115" s="27" t="s">
        <v>7</v>
      </c>
      <c r="H115" s="28" t="s">
        <v>11</v>
      </c>
      <c r="I115" s="26" t="s">
        <v>3</v>
      </c>
      <c r="J115" s="26" t="s">
        <v>3</v>
      </c>
      <c r="K115" s="26" t="s">
        <v>3</v>
      </c>
      <c r="L115" s="26" t="s">
        <v>3</v>
      </c>
      <c r="M115" s="26" t="s">
        <v>3</v>
      </c>
      <c r="N115" s="27" t="s">
        <v>7</v>
      </c>
      <c r="O115" s="28" t="s">
        <v>11</v>
      </c>
      <c r="P115" s="26" t="s">
        <v>3</v>
      </c>
      <c r="Q115" s="26" t="s">
        <v>3</v>
      </c>
      <c r="R115" s="26" t="s">
        <v>3</v>
      </c>
      <c r="S115" s="22" t="s">
        <v>5</v>
      </c>
      <c r="T115" s="26" t="s">
        <v>3</v>
      </c>
      <c r="U115" s="27" t="s">
        <v>7</v>
      </c>
      <c r="V115" s="28" t="s">
        <v>11</v>
      </c>
      <c r="W115" s="26" t="s">
        <v>3</v>
      </c>
      <c r="X115" s="26" t="s">
        <v>3</v>
      </c>
      <c r="Y115" s="26" t="s">
        <v>3</v>
      </c>
      <c r="Z115" s="26" t="s">
        <v>3</v>
      </c>
      <c r="AA115" s="26" t="s">
        <v>3</v>
      </c>
      <c r="AB115" s="27" t="s">
        <v>7</v>
      </c>
      <c r="AC115" s="28" t="s">
        <v>11</v>
      </c>
      <c r="AD115" s="22" t="s">
        <v>5</v>
      </c>
      <c r="AE115" s="22" t="s">
        <v>5</v>
      </c>
      <c r="AF115" s="22" t="s">
        <v>5</v>
      </c>
      <c r="AG115" s="26" t="s">
        <v>3</v>
      </c>
      <c r="AH115" s="26" t="s">
        <v>3</v>
      </c>
      <c r="AI115" s="8">
        <f>COUNTIF(D115:AH115,"ON")</f>
        <v>19</v>
      </c>
      <c r="AJ115" s="8">
        <f>COUNTIF(D115:AH115,"OFF")</f>
        <v>4</v>
      </c>
      <c r="AK115" s="29">
        <f>COUNTIF(D115:AH115,"OT")</f>
        <v>4</v>
      </c>
      <c r="AL115" s="62">
        <v>4</v>
      </c>
      <c r="AM115" s="33">
        <f>AI115+AK115+AL115*0.5</f>
        <v>25</v>
      </c>
      <c r="AN115" s="63">
        <f>NETWORKDAYS(DATE(2025,1,1),EOMONTH(DATE(2025,1,1),0))*8</f>
        <v>184</v>
      </c>
      <c r="AO115" s="63">
        <f>MAX(0,COUNTIF(F115,"ON")+COUNTIF(M115,"ON")+COUNTIF(T115,"ON")+COUNTIF(AA115,"ON")+COUNTIF(AH115,"ON")-AL115)</f>
        <v>1</v>
      </c>
      <c r="AP115" s="63">
        <f>AO115*$AP$2</f>
        <v>4</v>
      </c>
      <c r="AQ115" s="53">
        <f>AM115-AP115/8</f>
        <v>24.5</v>
      </c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</row>
    <row r="116" spans="1:56" ht="22" customHeight="1" x14ac:dyDescent="0.35">
      <c r="A116" s="8" t="s">
        <v>249</v>
      </c>
      <c r="B116" s="8" t="s">
        <v>250</v>
      </c>
      <c r="C116" s="8" t="s">
        <v>354</v>
      </c>
      <c r="D116" s="22" t="s">
        <v>5</v>
      </c>
      <c r="E116" s="22" t="s">
        <v>5</v>
      </c>
      <c r="F116" s="22" t="s">
        <v>5</v>
      </c>
      <c r="G116" s="23" t="s">
        <v>7</v>
      </c>
      <c r="H116" s="24" t="s">
        <v>9</v>
      </c>
      <c r="I116" s="22" t="s">
        <v>5</v>
      </c>
      <c r="J116" s="26" t="s">
        <v>3</v>
      </c>
      <c r="K116" s="26" t="s">
        <v>3</v>
      </c>
      <c r="L116" s="22" t="s">
        <v>5</v>
      </c>
      <c r="M116" s="26" t="s">
        <v>3</v>
      </c>
      <c r="N116" s="27" t="s">
        <v>7</v>
      </c>
      <c r="O116" s="28" t="s">
        <v>11</v>
      </c>
      <c r="P116" s="26" t="s">
        <v>3</v>
      </c>
      <c r="Q116" s="26" t="s">
        <v>3</v>
      </c>
      <c r="R116" s="26" t="s">
        <v>3</v>
      </c>
      <c r="S116" s="26" t="s">
        <v>3</v>
      </c>
      <c r="T116" s="26" t="s">
        <v>3</v>
      </c>
      <c r="U116" s="27" t="s">
        <v>7</v>
      </c>
      <c r="V116" s="28" t="s">
        <v>11</v>
      </c>
      <c r="W116" s="26" t="s">
        <v>3</v>
      </c>
      <c r="X116" s="26" t="s">
        <v>3</v>
      </c>
      <c r="Y116" s="26" t="s">
        <v>3</v>
      </c>
      <c r="Z116" s="26" t="s">
        <v>3</v>
      </c>
      <c r="AA116" s="26" t="s">
        <v>3</v>
      </c>
      <c r="AB116" s="27" t="s">
        <v>7</v>
      </c>
      <c r="AC116" s="28" t="s">
        <v>11</v>
      </c>
      <c r="AD116" s="26" t="s">
        <v>3</v>
      </c>
      <c r="AE116" s="26" t="s">
        <v>3</v>
      </c>
      <c r="AF116" s="26" t="s">
        <v>3</v>
      </c>
      <c r="AG116" s="26" t="s">
        <v>3</v>
      </c>
      <c r="AH116" s="26" t="s">
        <v>3</v>
      </c>
      <c r="AI116" s="8">
        <f>COUNTIF(D116:AH116,"ON")</f>
        <v>18</v>
      </c>
      <c r="AJ116" s="8">
        <f>COUNTIF(D116:AH116,"OFF")</f>
        <v>5</v>
      </c>
      <c r="AK116" s="29">
        <f>COUNTIF(D116:AH116,"OT")</f>
        <v>3</v>
      </c>
      <c r="AL116" s="62">
        <v>3</v>
      </c>
      <c r="AM116" s="33">
        <f>AI116+AK116+AL116*0.5</f>
        <v>22.5</v>
      </c>
      <c r="AN116" s="63">
        <f>NETWORKDAYS(DATE(2025,1,1),EOMONTH(DATE(2025,1,1),0))*8</f>
        <v>184</v>
      </c>
      <c r="AO116" s="63">
        <f>MAX(0,COUNTIF(F116,"ON")+COUNTIF(M116,"ON")+COUNTIF(T116,"ON")+COUNTIF(AA116,"ON")+COUNTIF(AH116,"ON")-AL116)</f>
        <v>1</v>
      </c>
      <c r="AP116" s="63">
        <f>AO116*$AP$2</f>
        <v>4</v>
      </c>
      <c r="AQ116" s="53">
        <f>AM116-AP116/8</f>
        <v>22</v>
      </c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</row>
    <row r="117" spans="1:56" x14ac:dyDescent="0.35"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</row>
    <row r="118" spans="1:56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</row>
    <row r="119" spans="1:56" ht="22" customHeight="1" x14ac:dyDescent="0.35">
      <c r="A119" s="8" t="s">
        <v>252</v>
      </c>
      <c r="B119" s="8" t="s">
        <v>253</v>
      </c>
      <c r="C119" s="8" t="s">
        <v>254</v>
      </c>
      <c r="D119" s="22" t="s">
        <v>5</v>
      </c>
      <c r="E119" s="22" t="s">
        <v>5</v>
      </c>
      <c r="F119" s="22" t="s">
        <v>5</v>
      </c>
      <c r="G119" s="23" t="s">
        <v>7</v>
      </c>
      <c r="H119" s="24" t="s">
        <v>9</v>
      </c>
      <c r="I119" s="22" t="s">
        <v>5</v>
      </c>
      <c r="J119" s="22" t="s">
        <v>5</v>
      </c>
      <c r="K119" s="22" t="s">
        <v>5</v>
      </c>
      <c r="L119" s="22" t="s">
        <v>5</v>
      </c>
      <c r="M119" s="22" t="s">
        <v>5</v>
      </c>
      <c r="N119" s="23" t="s">
        <v>7</v>
      </c>
      <c r="O119" s="24" t="s">
        <v>9</v>
      </c>
      <c r="P119" s="22" t="s">
        <v>5</v>
      </c>
      <c r="Q119" s="22" t="s">
        <v>5</v>
      </c>
      <c r="R119" s="22" t="s">
        <v>5</v>
      </c>
      <c r="S119" s="22" t="s">
        <v>5</v>
      </c>
      <c r="T119" s="22" t="s">
        <v>5</v>
      </c>
      <c r="U119" s="23" t="s">
        <v>7</v>
      </c>
      <c r="V119" s="24" t="s">
        <v>9</v>
      </c>
      <c r="W119" s="22" t="s">
        <v>5</v>
      </c>
      <c r="X119" s="22" t="s">
        <v>5</v>
      </c>
      <c r="Y119" s="22" t="s">
        <v>5</v>
      </c>
      <c r="Z119" s="22" t="s">
        <v>5</v>
      </c>
      <c r="AA119" s="22" t="s">
        <v>5</v>
      </c>
      <c r="AB119" s="23" t="s">
        <v>7</v>
      </c>
      <c r="AC119" s="24" t="s">
        <v>9</v>
      </c>
      <c r="AD119" s="22" t="s">
        <v>5</v>
      </c>
      <c r="AE119" s="22" t="s">
        <v>5</v>
      </c>
      <c r="AF119" s="22" t="s">
        <v>5</v>
      </c>
      <c r="AG119" s="22" t="s">
        <v>5</v>
      </c>
      <c r="AH119" s="22" t="s">
        <v>5</v>
      </c>
      <c r="AI119" s="8">
        <f t="shared" ref="AI119:AI129" si="40">COUNTIF(D119:AH119,"ON")</f>
        <v>0</v>
      </c>
      <c r="AJ119" s="25">
        <f t="shared" ref="AJ119:AJ129" si="41">COUNTIF(D119:AH119,"OFF")</f>
        <v>23</v>
      </c>
      <c r="AK119" s="8">
        <f t="shared" ref="AK119:AK129" si="42">COUNTIF(D119:AH119,"OT")</f>
        <v>0</v>
      </c>
      <c r="AL119" s="62">
        <v>0</v>
      </c>
      <c r="AM119" s="33">
        <f t="shared" ref="AM119:AM129" si="43">AI119+AK119+AL119*0.5</f>
        <v>0</v>
      </c>
      <c r="AN119" s="63">
        <f t="shared" ref="AN119:AN129" si="44">NETWORKDAYS(DATE(2025,1,1),EOMONTH(DATE(2025,1,1),0))*8</f>
        <v>184</v>
      </c>
      <c r="AO119" s="63">
        <f t="shared" ref="AO119:AO129" si="45">MAX(0,COUNTIF(F119,"ON")+COUNTIF(M119,"ON")+COUNTIF(T119,"ON")+COUNTIF(AA119,"ON")+COUNTIF(AH119,"ON")-AL119)</f>
        <v>0</v>
      </c>
      <c r="AP119" s="63">
        <f t="shared" ref="AP119:AP129" si="46">AO119*$AP$2</f>
        <v>0</v>
      </c>
      <c r="AQ119" s="53">
        <f t="shared" ref="AQ119:AQ129" si="47">AM119-AP119/8</f>
        <v>0</v>
      </c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</row>
    <row r="120" spans="1:56" ht="22" customHeight="1" x14ac:dyDescent="0.35">
      <c r="A120" s="8" t="s">
        <v>255</v>
      </c>
      <c r="B120" s="8" t="s">
        <v>256</v>
      </c>
      <c r="C120" s="8" t="s">
        <v>254</v>
      </c>
      <c r="D120" s="22" t="s">
        <v>5</v>
      </c>
      <c r="E120" s="22" t="s">
        <v>5</v>
      </c>
      <c r="F120" s="22" t="s">
        <v>5</v>
      </c>
      <c r="G120" s="23" t="s">
        <v>7</v>
      </c>
      <c r="H120" s="24" t="s">
        <v>9</v>
      </c>
      <c r="I120" s="22" t="s">
        <v>5</v>
      </c>
      <c r="J120" s="22" t="s">
        <v>5</v>
      </c>
      <c r="K120" s="22" t="s">
        <v>5</v>
      </c>
      <c r="L120" s="22" t="s">
        <v>5</v>
      </c>
      <c r="M120" s="22" t="s">
        <v>5</v>
      </c>
      <c r="N120" s="23" t="s">
        <v>7</v>
      </c>
      <c r="O120" s="24" t="s">
        <v>9</v>
      </c>
      <c r="P120" s="22" t="s">
        <v>5</v>
      </c>
      <c r="Q120" s="22" t="s">
        <v>5</v>
      </c>
      <c r="R120" s="22" t="s">
        <v>5</v>
      </c>
      <c r="S120" s="22" t="s">
        <v>5</v>
      </c>
      <c r="T120" s="22" t="s">
        <v>5</v>
      </c>
      <c r="U120" s="23" t="s">
        <v>7</v>
      </c>
      <c r="V120" s="24" t="s">
        <v>9</v>
      </c>
      <c r="W120" s="22" t="s">
        <v>5</v>
      </c>
      <c r="X120" s="22" t="s">
        <v>5</v>
      </c>
      <c r="Y120" s="22" t="s">
        <v>5</v>
      </c>
      <c r="Z120" s="22" t="s">
        <v>5</v>
      </c>
      <c r="AA120" s="22" t="s">
        <v>5</v>
      </c>
      <c r="AB120" s="23" t="s">
        <v>7</v>
      </c>
      <c r="AC120" s="24" t="s">
        <v>9</v>
      </c>
      <c r="AD120" s="22" t="s">
        <v>5</v>
      </c>
      <c r="AE120" s="22" t="s">
        <v>5</v>
      </c>
      <c r="AF120" s="22" t="s">
        <v>5</v>
      </c>
      <c r="AG120" s="22" t="s">
        <v>5</v>
      </c>
      <c r="AH120" s="22" t="s">
        <v>5</v>
      </c>
      <c r="AI120" s="8">
        <f t="shared" si="40"/>
        <v>0</v>
      </c>
      <c r="AJ120" s="25">
        <f t="shared" si="41"/>
        <v>23</v>
      </c>
      <c r="AK120" s="8">
        <f t="shared" si="42"/>
        <v>0</v>
      </c>
      <c r="AL120" s="62">
        <v>0</v>
      </c>
      <c r="AM120" s="33">
        <f t="shared" si="43"/>
        <v>0</v>
      </c>
      <c r="AN120" s="63">
        <f t="shared" si="44"/>
        <v>184</v>
      </c>
      <c r="AO120" s="63">
        <f t="shared" si="45"/>
        <v>0</v>
      </c>
      <c r="AP120" s="63">
        <f t="shared" si="46"/>
        <v>0</v>
      </c>
      <c r="AQ120" s="53">
        <f t="shared" si="47"/>
        <v>0</v>
      </c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</row>
    <row r="121" spans="1:56" ht="22" customHeight="1" x14ac:dyDescent="0.35">
      <c r="A121" s="8" t="s">
        <v>257</v>
      </c>
      <c r="B121" s="8" t="s">
        <v>258</v>
      </c>
      <c r="C121" s="8" t="s">
        <v>254</v>
      </c>
      <c r="D121" s="22" t="s">
        <v>5</v>
      </c>
      <c r="E121" s="22" t="s">
        <v>5</v>
      </c>
      <c r="F121" s="22" t="s">
        <v>5</v>
      </c>
      <c r="G121" s="23" t="s">
        <v>7</v>
      </c>
      <c r="H121" s="24" t="s">
        <v>9</v>
      </c>
      <c r="I121" s="22" t="s">
        <v>5</v>
      </c>
      <c r="J121" s="22" t="s">
        <v>5</v>
      </c>
      <c r="K121" s="22" t="s">
        <v>5</v>
      </c>
      <c r="L121" s="22" t="s">
        <v>5</v>
      </c>
      <c r="M121" s="22" t="s">
        <v>5</v>
      </c>
      <c r="N121" s="23" t="s">
        <v>7</v>
      </c>
      <c r="O121" s="24" t="s">
        <v>9</v>
      </c>
      <c r="P121" s="22" t="s">
        <v>5</v>
      </c>
      <c r="Q121" s="22" t="s">
        <v>5</v>
      </c>
      <c r="R121" s="22" t="s">
        <v>5</v>
      </c>
      <c r="S121" s="22" t="s">
        <v>5</v>
      </c>
      <c r="T121" s="22" t="s">
        <v>5</v>
      </c>
      <c r="U121" s="23" t="s">
        <v>7</v>
      </c>
      <c r="V121" s="24" t="s">
        <v>9</v>
      </c>
      <c r="W121" s="22" t="s">
        <v>5</v>
      </c>
      <c r="X121" s="22" t="s">
        <v>5</v>
      </c>
      <c r="Y121" s="22" t="s">
        <v>5</v>
      </c>
      <c r="Z121" s="22" t="s">
        <v>5</v>
      </c>
      <c r="AA121" s="22" t="s">
        <v>5</v>
      </c>
      <c r="AB121" s="23" t="s">
        <v>7</v>
      </c>
      <c r="AC121" s="24" t="s">
        <v>9</v>
      </c>
      <c r="AD121" s="22" t="s">
        <v>5</v>
      </c>
      <c r="AE121" s="22" t="s">
        <v>5</v>
      </c>
      <c r="AF121" s="22" t="s">
        <v>5</v>
      </c>
      <c r="AG121" s="22" t="s">
        <v>5</v>
      </c>
      <c r="AH121" s="22" t="s">
        <v>5</v>
      </c>
      <c r="AI121" s="8">
        <f t="shared" si="40"/>
        <v>0</v>
      </c>
      <c r="AJ121" s="25">
        <f t="shared" si="41"/>
        <v>23</v>
      </c>
      <c r="AK121" s="8">
        <f t="shared" si="42"/>
        <v>0</v>
      </c>
      <c r="AL121" s="62">
        <v>0</v>
      </c>
      <c r="AM121" s="33">
        <f t="shared" si="43"/>
        <v>0</v>
      </c>
      <c r="AN121" s="63">
        <f t="shared" si="44"/>
        <v>184</v>
      </c>
      <c r="AO121" s="63">
        <f t="shared" si="45"/>
        <v>0</v>
      </c>
      <c r="AP121" s="63">
        <f t="shared" si="46"/>
        <v>0</v>
      </c>
      <c r="AQ121" s="53">
        <f t="shared" si="47"/>
        <v>0</v>
      </c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</row>
    <row r="122" spans="1:56" ht="22" customHeight="1" x14ac:dyDescent="0.35">
      <c r="A122" s="8" t="s">
        <v>259</v>
      </c>
      <c r="B122" s="8" t="s">
        <v>260</v>
      </c>
      <c r="C122" s="8" t="s">
        <v>254</v>
      </c>
      <c r="D122" s="22" t="s">
        <v>5</v>
      </c>
      <c r="E122" s="22" t="s">
        <v>5</v>
      </c>
      <c r="F122" s="22" t="s">
        <v>5</v>
      </c>
      <c r="G122" s="23" t="s">
        <v>7</v>
      </c>
      <c r="H122" s="24" t="s">
        <v>9</v>
      </c>
      <c r="I122" s="22" t="s">
        <v>5</v>
      </c>
      <c r="J122" s="22" t="s">
        <v>5</v>
      </c>
      <c r="K122" s="22" t="s">
        <v>5</v>
      </c>
      <c r="L122" s="22" t="s">
        <v>5</v>
      </c>
      <c r="M122" s="22" t="s">
        <v>5</v>
      </c>
      <c r="N122" s="23" t="s">
        <v>7</v>
      </c>
      <c r="O122" s="24" t="s">
        <v>9</v>
      </c>
      <c r="P122" s="22" t="s">
        <v>5</v>
      </c>
      <c r="Q122" s="22" t="s">
        <v>5</v>
      </c>
      <c r="R122" s="22" t="s">
        <v>5</v>
      </c>
      <c r="S122" s="22" t="s">
        <v>5</v>
      </c>
      <c r="T122" s="22" t="s">
        <v>5</v>
      </c>
      <c r="U122" s="23" t="s">
        <v>7</v>
      </c>
      <c r="V122" s="24" t="s">
        <v>9</v>
      </c>
      <c r="W122" s="22" t="s">
        <v>5</v>
      </c>
      <c r="X122" s="22" t="s">
        <v>5</v>
      </c>
      <c r="Y122" s="22" t="s">
        <v>5</v>
      </c>
      <c r="Z122" s="22" t="s">
        <v>5</v>
      </c>
      <c r="AA122" s="22" t="s">
        <v>5</v>
      </c>
      <c r="AB122" s="23" t="s">
        <v>7</v>
      </c>
      <c r="AC122" s="24" t="s">
        <v>9</v>
      </c>
      <c r="AD122" s="22" t="s">
        <v>5</v>
      </c>
      <c r="AE122" s="22" t="s">
        <v>5</v>
      </c>
      <c r="AF122" s="22" t="s">
        <v>5</v>
      </c>
      <c r="AG122" s="22" t="s">
        <v>5</v>
      </c>
      <c r="AH122" s="22" t="s">
        <v>5</v>
      </c>
      <c r="AI122" s="8">
        <f t="shared" si="40"/>
        <v>0</v>
      </c>
      <c r="AJ122" s="25">
        <f t="shared" si="41"/>
        <v>23</v>
      </c>
      <c r="AK122" s="8">
        <f t="shared" si="42"/>
        <v>0</v>
      </c>
      <c r="AL122" s="62">
        <v>0</v>
      </c>
      <c r="AM122" s="33">
        <f t="shared" si="43"/>
        <v>0</v>
      </c>
      <c r="AN122" s="63">
        <f t="shared" si="44"/>
        <v>184</v>
      </c>
      <c r="AO122" s="63">
        <f t="shared" si="45"/>
        <v>0</v>
      </c>
      <c r="AP122" s="63">
        <f t="shared" si="46"/>
        <v>0</v>
      </c>
      <c r="AQ122" s="53">
        <f t="shared" si="47"/>
        <v>0</v>
      </c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</row>
    <row r="123" spans="1:56" ht="22" customHeight="1" x14ac:dyDescent="0.35">
      <c r="A123" s="8" t="s">
        <v>261</v>
      </c>
      <c r="B123" s="8" t="s">
        <v>262</v>
      </c>
      <c r="C123" s="8" t="s">
        <v>254</v>
      </c>
      <c r="D123" s="22" t="s">
        <v>5</v>
      </c>
      <c r="E123" s="22" t="s">
        <v>5</v>
      </c>
      <c r="F123" s="22" t="s">
        <v>5</v>
      </c>
      <c r="G123" s="23" t="s">
        <v>7</v>
      </c>
      <c r="H123" s="24" t="s">
        <v>9</v>
      </c>
      <c r="I123" s="22" t="s">
        <v>5</v>
      </c>
      <c r="J123" s="22" t="s">
        <v>5</v>
      </c>
      <c r="K123" s="22" t="s">
        <v>5</v>
      </c>
      <c r="L123" s="22" t="s">
        <v>5</v>
      </c>
      <c r="M123" s="22" t="s">
        <v>5</v>
      </c>
      <c r="N123" s="23" t="s">
        <v>7</v>
      </c>
      <c r="O123" s="24" t="s">
        <v>9</v>
      </c>
      <c r="P123" s="22" t="s">
        <v>5</v>
      </c>
      <c r="Q123" s="22" t="s">
        <v>5</v>
      </c>
      <c r="R123" s="22" t="s">
        <v>5</v>
      </c>
      <c r="S123" s="22" t="s">
        <v>5</v>
      </c>
      <c r="T123" s="22" t="s">
        <v>5</v>
      </c>
      <c r="U123" s="23" t="s">
        <v>7</v>
      </c>
      <c r="V123" s="24" t="s">
        <v>9</v>
      </c>
      <c r="W123" s="22" t="s">
        <v>5</v>
      </c>
      <c r="X123" s="22" t="s">
        <v>5</v>
      </c>
      <c r="Y123" s="22" t="s">
        <v>5</v>
      </c>
      <c r="Z123" s="22" t="s">
        <v>5</v>
      </c>
      <c r="AA123" s="22" t="s">
        <v>5</v>
      </c>
      <c r="AB123" s="23" t="s">
        <v>7</v>
      </c>
      <c r="AC123" s="24" t="s">
        <v>9</v>
      </c>
      <c r="AD123" s="22" t="s">
        <v>5</v>
      </c>
      <c r="AE123" s="22" t="s">
        <v>5</v>
      </c>
      <c r="AF123" s="22" t="s">
        <v>5</v>
      </c>
      <c r="AG123" s="22" t="s">
        <v>5</v>
      </c>
      <c r="AH123" s="22" t="s">
        <v>5</v>
      </c>
      <c r="AI123" s="8">
        <f t="shared" si="40"/>
        <v>0</v>
      </c>
      <c r="AJ123" s="25">
        <f t="shared" si="41"/>
        <v>23</v>
      </c>
      <c r="AK123" s="8">
        <f t="shared" si="42"/>
        <v>0</v>
      </c>
      <c r="AL123" s="62">
        <v>0</v>
      </c>
      <c r="AM123" s="33">
        <f t="shared" si="43"/>
        <v>0</v>
      </c>
      <c r="AN123" s="63">
        <f t="shared" si="44"/>
        <v>184</v>
      </c>
      <c r="AO123" s="63">
        <f t="shared" si="45"/>
        <v>0</v>
      </c>
      <c r="AP123" s="63">
        <f t="shared" si="46"/>
        <v>0</v>
      </c>
      <c r="AQ123" s="53">
        <f t="shared" si="47"/>
        <v>0</v>
      </c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</row>
    <row r="124" spans="1:56" ht="22" customHeight="1" x14ac:dyDescent="0.35">
      <c r="A124" s="8" t="s">
        <v>263</v>
      </c>
      <c r="B124" s="8" t="s">
        <v>264</v>
      </c>
      <c r="C124" s="8" t="s">
        <v>254</v>
      </c>
      <c r="D124" s="22" t="s">
        <v>5</v>
      </c>
      <c r="E124" s="22" t="s">
        <v>5</v>
      </c>
      <c r="F124" s="22" t="s">
        <v>5</v>
      </c>
      <c r="G124" s="23" t="s">
        <v>7</v>
      </c>
      <c r="H124" s="24" t="s">
        <v>9</v>
      </c>
      <c r="I124" s="22" t="s">
        <v>5</v>
      </c>
      <c r="J124" s="22" t="s">
        <v>5</v>
      </c>
      <c r="K124" s="22" t="s">
        <v>5</v>
      </c>
      <c r="L124" s="22" t="s">
        <v>5</v>
      </c>
      <c r="M124" s="22" t="s">
        <v>5</v>
      </c>
      <c r="N124" s="23" t="s">
        <v>7</v>
      </c>
      <c r="O124" s="24" t="s">
        <v>9</v>
      </c>
      <c r="P124" s="22" t="s">
        <v>5</v>
      </c>
      <c r="Q124" s="22" t="s">
        <v>5</v>
      </c>
      <c r="R124" s="22" t="s">
        <v>5</v>
      </c>
      <c r="S124" s="22" t="s">
        <v>5</v>
      </c>
      <c r="T124" s="22" t="s">
        <v>5</v>
      </c>
      <c r="U124" s="23" t="s">
        <v>7</v>
      </c>
      <c r="V124" s="24" t="s">
        <v>9</v>
      </c>
      <c r="W124" s="22" t="s">
        <v>5</v>
      </c>
      <c r="X124" s="22" t="s">
        <v>5</v>
      </c>
      <c r="Y124" s="22" t="s">
        <v>5</v>
      </c>
      <c r="Z124" s="22" t="s">
        <v>5</v>
      </c>
      <c r="AA124" s="22" t="s">
        <v>5</v>
      </c>
      <c r="AB124" s="23" t="s">
        <v>7</v>
      </c>
      <c r="AC124" s="24" t="s">
        <v>9</v>
      </c>
      <c r="AD124" s="22" t="s">
        <v>5</v>
      </c>
      <c r="AE124" s="22" t="s">
        <v>5</v>
      </c>
      <c r="AF124" s="22" t="s">
        <v>5</v>
      </c>
      <c r="AG124" s="22" t="s">
        <v>5</v>
      </c>
      <c r="AH124" s="22" t="s">
        <v>5</v>
      </c>
      <c r="AI124" s="8">
        <f t="shared" si="40"/>
        <v>0</v>
      </c>
      <c r="AJ124" s="25">
        <f t="shared" si="41"/>
        <v>23</v>
      </c>
      <c r="AK124" s="8">
        <f t="shared" si="42"/>
        <v>0</v>
      </c>
      <c r="AL124" s="62">
        <v>0</v>
      </c>
      <c r="AM124" s="33">
        <f t="shared" si="43"/>
        <v>0</v>
      </c>
      <c r="AN124" s="63">
        <f t="shared" si="44"/>
        <v>184</v>
      </c>
      <c r="AO124" s="63">
        <f t="shared" si="45"/>
        <v>0</v>
      </c>
      <c r="AP124" s="63">
        <f t="shared" si="46"/>
        <v>0</v>
      </c>
      <c r="AQ124" s="53">
        <f t="shared" si="47"/>
        <v>0</v>
      </c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</row>
    <row r="125" spans="1:56" ht="22" customHeight="1" x14ac:dyDescent="0.35">
      <c r="A125" s="8" t="s">
        <v>265</v>
      </c>
      <c r="B125" s="8" t="s">
        <v>266</v>
      </c>
      <c r="C125" s="8" t="s">
        <v>254</v>
      </c>
      <c r="D125" s="22" t="s">
        <v>5</v>
      </c>
      <c r="E125" s="22" t="s">
        <v>5</v>
      </c>
      <c r="F125" s="22" t="s">
        <v>5</v>
      </c>
      <c r="G125" s="23" t="s">
        <v>7</v>
      </c>
      <c r="H125" s="24" t="s">
        <v>9</v>
      </c>
      <c r="I125" s="22" t="s">
        <v>5</v>
      </c>
      <c r="J125" s="22" t="s">
        <v>5</v>
      </c>
      <c r="K125" s="22" t="s">
        <v>5</v>
      </c>
      <c r="L125" s="22" t="s">
        <v>5</v>
      </c>
      <c r="M125" s="22" t="s">
        <v>5</v>
      </c>
      <c r="N125" s="23" t="s">
        <v>7</v>
      </c>
      <c r="O125" s="24" t="s">
        <v>9</v>
      </c>
      <c r="P125" s="22" t="s">
        <v>5</v>
      </c>
      <c r="Q125" s="22" t="s">
        <v>5</v>
      </c>
      <c r="R125" s="22" t="s">
        <v>5</v>
      </c>
      <c r="S125" s="22" t="s">
        <v>5</v>
      </c>
      <c r="T125" s="22" t="s">
        <v>5</v>
      </c>
      <c r="U125" s="23" t="s">
        <v>7</v>
      </c>
      <c r="V125" s="24" t="s">
        <v>9</v>
      </c>
      <c r="W125" s="22" t="s">
        <v>5</v>
      </c>
      <c r="X125" s="22" t="s">
        <v>5</v>
      </c>
      <c r="Y125" s="22" t="s">
        <v>5</v>
      </c>
      <c r="Z125" s="22" t="s">
        <v>5</v>
      </c>
      <c r="AA125" s="22" t="s">
        <v>5</v>
      </c>
      <c r="AB125" s="23" t="s">
        <v>7</v>
      </c>
      <c r="AC125" s="24" t="s">
        <v>9</v>
      </c>
      <c r="AD125" s="22" t="s">
        <v>5</v>
      </c>
      <c r="AE125" s="22" t="s">
        <v>5</v>
      </c>
      <c r="AF125" s="22" t="s">
        <v>5</v>
      </c>
      <c r="AG125" s="22" t="s">
        <v>5</v>
      </c>
      <c r="AH125" s="22" t="s">
        <v>5</v>
      </c>
      <c r="AI125" s="8">
        <f t="shared" si="40"/>
        <v>0</v>
      </c>
      <c r="AJ125" s="25">
        <f t="shared" si="41"/>
        <v>23</v>
      </c>
      <c r="AK125" s="8">
        <f t="shared" si="42"/>
        <v>0</v>
      </c>
      <c r="AL125" s="62">
        <v>0</v>
      </c>
      <c r="AM125" s="33">
        <f t="shared" si="43"/>
        <v>0</v>
      </c>
      <c r="AN125" s="63">
        <f t="shared" si="44"/>
        <v>184</v>
      </c>
      <c r="AO125" s="63">
        <f t="shared" si="45"/>
        <v>0</v>
      </c>
      <c r="AP125" s="63">
        <f t="shared" si="46"/>
        <v>0</v>
      </c>
      <c r="AQ125" s="53">
        <f t="shared" si="47"/>
        <v>0</v>
      </c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</row>
    <row r="126" spans="1:56" ht="22" customHeight="1" x14ac:dyDescent="0.35">
      <c r="A126" s="8" t="s">
        <v>267</v>
      </c>
      <c r="B126" s="8" t="s">
        <v>268</v>
      </c>
      <c r="C126" s="8" t="s">
        <v>254</v>
      </c>
      <c r="D126" s="22" t="s">
        <v>5</v>
      </c>
      <c r="E126" s="22" t="s">
        <v>5</v>
      </c>
      <c r="F126" s="22" t="s">
        <v>5</v>
      </c>
      <c r="G126" s="23" t="s">
        <v>7</v>
      </c>
      <c r="H126" s="24" t="s">
        <v>9</v>
      </c>
      <c r="I126" s="22" t="s">
        <v>5</v>
      </c>
      <c r="J126" s="22" t="s">
        <v>5</v>
      </c>
      <c r="K126" s="22" t="s">
        <v>5</v>
      </c>
      <c r="L126" s="22" t="s">
        <v>5</v>
      </c>
      <c r="M126" s="22" t="s">
        <v>5</v>
      </c>
      <c r="N126" s="23" t="s">
        <v>7</v>
      </c>
      <c r="O126" s="24" t="s">
        <v>9</v>
      </c>
      <c r="P126" s="22" t="s">
        <v>5</v>
      </c>
      <c r="Q126" s="22" t="s">
        <v>5</v>
      </c>
      <c r="R126" s="22" t="s">
        <v>5</v>
      </c>
      <c r="S126" s="22" t="s">
        <v>5</v>
      </c>
      <c r="T126" s="22" t="s">
        <v>5</v>
      </c>
      <c r="U126" s="23" t="s">
        <v>7</v>
      </c>
      <c r="V126" s="24" t="s">
        <v>9</v>
      </c>
      <c r="W126" s="22" t="s">
        <v>5</v>
      </c>
      <c r="X126" s="22" t="s">
        <v>5</v>
      </c>
      <c r="Y126" s="22" t="s">
        <v>5</v>
      </c>
      <c r="Z126" s="22" t="s">
        <v>5</v>
      </c>
      <c r="AA126" s="22" t="s">
        <v>5</v>
      </c>
      <c r="AB126" s="23" t="s">
        <v>7</v>
      </c>
      <c r="AC126" s="24" t="s">
        <v>9</v>
      </c>
      <c r="AD126" s="22" t="s">
        <v>5</v>
      </c>
      <c r="AE126" s="22" t="s">
        <v>5</v>
      </c>
      <c r="AF126" s="22" t="s">
        <v>5</v>
      </c>
      <c r="AG126" s="22" t="s">
        <v>5</v>
      </c>
      <c r="AH126" s="22" t="s">
        <v>5</v>
      </c>
      <c r="AI126" s="8">
        <f t="shared" si="40"/>
        <v>0</v>
      </c>
      <c r="AJ126" s="25">
        <f t="shared" si="41"/>
        <v>23</v>
      </c>
      <c r="AK126" s="8">
        <f t="shared" si="42"/>
        <v>0</v>
      </c>
      <c r="AL126" s="62">
        <v>0</v>
      </c>
      <c r="AM126" s="33">
        <f t="shared" si="43"/>
        <v>0</v>
      </c>
      <c r="AN126" s="63">
        <f t="shared" si="44"/>
        <v>184</v>
      </c>
      <c r="AO126" s="63">
        <f t="shared" si="45"/>
        <v>0</v>
      </c>
      <c r="AP126" s="63">
        <f t="shared" si="46"/>
        <v>0</v>
      </c>
      <c r="AQ126" s="53">
        <f t="shared" si="47"/>
        <v>0</v>
      </c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</row>
    <row r="127" spans="1:56" ht="22" customHeight="1" x14ac:dyDescent="0.35">
      <c r="A127" s="8" t="s">
        <v>269</v>
      </c>
      <c r="B127" s="8" t="s">
        <v>270</v>
      </c>
      <c r="C127" s="8" t="s">
        <v>254</v>
      </c>
      <c r="D127" s="22" t="s">
        <v>5</v>
      </c>
      <c r="E127" s="22" t="s">
        <v>5</v>
      </c>
      <c r="F127" s="22" t="s">
        <v>5</v>
      </c>
      <c r="G127" s="23" t="s">
        <v>7</v>
      </c>
      <c r="H127" s="24" t="s">
        <v>9</v>
      </c>
      <c r="I127" s="22" t="s">
        <v>5</v>
      </c>
      <c r="J127" s="22" t="s">
        <v>5</v>
      </c>
      <c r="K127" s="22" t="s">
        <v>5</v>
      </c>
      <c r="L127" s="22" t="s">
        <v>5</v>
      </c>
      <c r="M127" s="22" t="s">
        <v>5</v>
      </c>
      <c r="N127" s="23" t="s">
        <v>7</v>
      </c>
      <c r="O127" s="24" t="s">
        <v>9</v>
      </c>
      <c r="P127" s="22" t="s">
        <v>5</v>
      </c>
      <c r="Q127" s="22" t="s">
        <v>5</v>
      </c>
      <c r="R127" s="22" t="s">
        <v>5</v>
      </c>
      <c r="S127" s="22" t="s">
        <v>5</v>
      </c>
      <c r="T127" s="22" t="s">
        <v>5</v>
      </c>
      <c r="U127" s="23" t="s">
        <v>7</v>
      </c>
      <c r="V127" s="24" t="s">
        <v>9</v>
      </c>
      <c r="W127" s="22" t="s">
        <v>5</v>
      </c>
      <c r="X127" s="22" t="s">
        <v>5</v>
      </c>
      <c r="Y127" s="22" t="s">
        <v>5</v>
      </c>
      <c r="Z127" s="22" t="s">
        <v>5</v>
      </c>
      <c r="AA127" s="22" t="s">
        <v>5</v>
      </c>
      <c r="AB127" s="23" t="s">
        <v>7</v>
      </c>
      <c r="AC127" s="24" t="s">
        <v>9</v>
      </c>
      <c r="AD127" s="22" t="s">
        <v>5</v>
      </c>
      <c r="AE127" s="22" t="s">
        <v>5</v>
      </c>
      <c r="AF127" s="22" t="s">
        <v>5</v>
      </c>
      <c r="AG127" s="22" t="s">
        <v>5</v>
      </c>
      <c r="AH127" s="22" t="s">
        <v>5</v>
      </c>
      <c r="AI127" s="8">
        <f t="shared" si="40"/>
        <v>0</v>
      </c>
      <c r="AJ127" s="25">
        <f t="shared" si="41"/>
        <v>23</v>
      </c>
      <c r="AK127" s="8">
        <f t="shared" si="42"/>
        <v>0</v>
      </c>
      <c r="AL127" s="62">
        <v>0</v>
      </c>
      <c r="AM127" s="33">
        <f t="shared" si="43"/>
        <v>0</v>
      </c>
      <c r="AN127" s="63">
        <f t="shared" si="44"/>
        <v>184</v>
      </c>
      <c r="AO127" s="63">
        <f t="shared" si="45"/>
        <v>0</v>
      </c>
      <c r="AP127" s="63">
        <f t="shared" si="46"/>
        <v>0</v>
      </c>
      <c r="AQ127" s="53">
        <f t="shared" si="47"/>
        <v>0</v>
      </c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</row>
    <row r="128" spans="1:56" ht="22" customHeight="1" x14ac:dyDescent="0.35">
      <c r="A128" s="8" t="s">
        <v>271</v>
      </c>
      <c r="B128" s="8" t="s">
        <v>272</v>
      </c>
      <c r="C128" s="8" t="s">
        <v>254</v>
      </c>
      <c r="D128" s="22" t="s">
        <v>5</v>
      </c>
      <c r="E128" s="22" t="s">
        <v>5</v>
      </c>
      <c r="F128" s="22" t="s">
        <v>5</v>
      </c>
      <c r="G128" s="23" t="s">
        <v>7</v>
      </c>
      <c r="H128" s="24" t="s">
        <v>9</v>
      </c>
      <c r="I128" s="22" t="s">
        <v>5</v>
      </c>
      <c r="J128" s="22" t="s">
        <v>5</v>
      </c>
      <c r="K128" s="22" t="s">
        <v>5</v>
      </c>
      <c r="L128" s="22" t="s">
        <v>5</v>
      </c>
      <c r="M128" s="22" t="s">
        <v>5</v>
      </c>
      <c r="N128" s="23" t="s">
        <v>7</v>
      </c>
      <c r="O128" s="24" t="s">
        <v>9</v>
      </c>
      <c r="P128" s="22" t="s">
        <v>5</v>
      </c>
      <c r="Q128" s="22" t="s">
        <v>5</v>
      </c>
      <c r="R128" s="22" t="s">
        <v>5</v>
      </c>
      <c r="S128" s="22" t="s">
        <v>5</v>
      </c>
      <c r="T128" s="22" t="s">
        <v>5</v>
      </c>
      <c r="U128" s="23" t="s">
        <v>7</v>
      </c>
      <c r="V128" s="24" t="s">
        <v>9</v>
      </c>
      <c r="W128" s="22" t="s">
        <v>5</v>
      </c>
      <c r="X128" s="22" t="s">
        <v>5</v>
      </c>
      <c r="Y128" s="22" t="s">
        <v>5</v>
      </c>
      <c r="Z128" s="22" t="s">
        <v>5</v>
      </c>
      <c r="AA128" s="22" t="s">
        <v>5</v>
      </c>
      <c r="AB128" s="23" t="s">
        <v>7</v>
      </c>
      <c r="AC128" s="24" t="s">
        <v>9</v>
      </c>
      <c r="AD128" s="22" t="s">
        <v>5</v>
      </c>
      <c r="AE128" s="22" t="s">
        <v>5</v>
      </c>
      <c r="AF128" s="22" t="s">
        <v>5</v>
      </c>
      <c r="AG128" s="22" t="s">
        <v>5</v>
      </c>
      <c r="AH128" s="22" t="s">
        <v>5</v>
      </c>
      <c r="AI128" s="8">
        <f t="shared" si="40"/>
        <v>0</v>
      </c>
      <c r="AJ128" s="25">
        <f t="shared" si="41"/>
        <v>23</v>
      </c>
      <c r="AK128" s="8">
        <f t="shared" si="42"/>
        <v>0</v>
      </c>
      <c r="AL128" s="62">
        <v>0</v>
      </c>
      <c r="AM128" s="33">
        <f t="shared" si="43"/>
        <v>0</v>
      </c>
      <c r="AN128" s="63">
        <f t="shared" si="44"/>
        <v>184</v>
      </c>
      <c r="AO128" s="63">
        <f t="shared" si="45"/>
        <v>0</v>
      </c>
      <c r="AP128" s="63">
        <f t="shared" si="46"/>
        <v>0</v>
      </c>
      <c r="AQ128" s="53">
        <f t="shared" si="47"/>
        <v>0</v>
      </c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</row>
    <row r="129" spans="1:56" ht="22" customHeight="1" x14ac:dyDescent="0.35">
      <c r="A129" s="8" t="s">
        <v>273</v>
      </c>
      <c r="B129" s="8" t="s">
        <v>274</v>
      </c>
      <c r="C129" s="8" t="s">
        <v>254</v>
      </c>
      <c r="D129" s="22" t="s">
        <v>5</v>
      </c>
      <c r="E129" s="22" t="s">
        <v>5</v>
      </c>
      <c r="F129" s="22" t="s">
        <v>5</v>
      </c>
      <c r="G129" s="23" t="s">
        <v>7</v>
      </c>
      <c r="H129" s="24" t="s">
        <v>9</v>
      </c>
      <c r="I129" s="22" t="s">
        <v>5</v>
      </c>
      <c r="J129" s="22" t="s">
        <v>5</v>
      </c>
      <c r="K129" s="22" t="s">
        <v>5</v>
      </c>
      <c r="L129" s="22" t="s">
        <v>5</v>
      </c>
      <c r="M129" s="22" t="s">
        <v>5</v>
      </c>
      <c r="N129" s="23" t="s">
        <v>7</v>
      </c>
      <c r="O129" s="24" t="s">
        <v>9</v>
      </c>
      <c r="P129" s="22" t="s">
        <v>5</v>
      </c>
      <c r="Q129" s="22" t="s">
        <v>5</v>
      </c>
      <c r="R129" s="22" t="s">
        <v>5</v>
      </c>
      <c r="S129" s="22" t="s">
        <v>5</v>
      </c>
      <c r="T129" s="22" t="s">
        <v>5</v>
      </c>
      <c r="U129" s="23" t="s">
        <v>7</v>
      </c>
      <c r="V129" s="24" t="s">
        <v>9</v>
      </c>
      <c r="W129" s="22" t="s">
        <v>5</v>
      </c>
      <c r="X129" s="22" t="s">
        <v>5</v>
      </c>
      <c r="Y129" s="22" t="s">
        <v>5</v>
      </c>
      <c r="Z129" s="22" t="s">
        <v>5</v>
      </c>
      <c r="AA129" s="22" t="s">
        <v>5</v>
      </c>
      <c r="AB129" s="23" t="s">
        <v>7</v>
      </c>
      <c r="AC129" s="24" t="s">
        <v>9</v>
      </c>
      <c r="AD129" s="22" t="s">
        <v>5</v>
      </c>
      <c r="AE129" s="22" t="s">
        <v>5</v>
      </c>
      <c r="AF129" s="22" t="s">
        <v>5</v>
      </c>
      <c r="AG129" s="22" t="s">
        <v>5</v>
      </c>
      <c r="AH129" s="22" t="s">
        <v>5</v>
      </c>
      <c r="AI129" s="8">
        <f t="shared" si="40"/>
        <v>0</v>
      </c>
      <c r="AJ129" s="25">
        <f t="shared" si="41"/>
        <v>23</v>
      </c>
      <c r="AK129" s="8">
        <f t="shared" si="42"/>
        <v>0</v>
      </c>
      <c r="AL129" s="62">
        <v>0</v>
      </c>
      <c r="AM129" s="33">
        <f t="shared" si="43"/>
        <v>0</v>
      </c>
      <c r="AN129" s="63">
        <f t="shared" si="44"/>
        <v>184</v>
      </c>
      <c r="AO129" s="63">
        <f t="shared" si="45"/>
        <v>0</v>
      </c>
      <c r="AP129" s="63">
        <f t="shared" si="46"/>
        <v>0</v>
      </c>
      <c r="AQ129" s="53">
        <f t="shared" si="47"/>
        <v>0</v>
      </c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</row>
  </sheetData>
  <mergeCells count="11">
    <mergeCell ref="A118:AK118"/>
    <mergeCell ref="A37:AK37"/>
    <mergeCell ref="A1:AK1"/>
    <mergeCell ref="A91:AK91"/>
    <mergeCell ref="A4:AK4"/>
    <mergeCell ref="A97:AK97"/>
    <mergeCell ref="A21:AK21"/>
    <mergeCell ref="A113:AK113"/>
    <mergeCell ref="A2:AK2"/>
    <mergeCell ref="A76:AK76"/>
    <mergeCell ref="A84:AK8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129"/>
  <sheetViews>
    <sheetView workbookViewId="0">
      <pane xSplit="3" ySplit="3" topLeftCell="X4" activePane="bottomRight" state="frozen"/>
      <selection pane="topRight"/>
      <selection pane="bottomLeft"/>
      <selection pane="bottomRight" activeCell="AI5" sqref="AI5"/>
    </sheetView>
  </sheetViews>
  <sheetFormatPr defaultRowHeight="14.5" x14ac:dyDescent="0.35"/>
  <cols>
    <col min="1" max="1" width="7" customWidth="1"/>
    <col min="2" max="2" width="24" customWidth="1"/>
    <col min="3" max="3" width="12" customWidth="1"/>
    <col min="4" max="33" width="5" customWidth="1"/>
    <col min="34" max="34" width="7.7265625" bestFit="1" customWidth="1"/>
    <col min="35" max="35" width="7" customWidth="1"/>
    <col min="36" max="36" width="8" customWidth="1"/>
    <col min="37" max="37" width="9" customWidth="1"/>
    <col min="38" max="38" width="8" customWidth="1"/>
    <col min="39" max="40" width="9" customWidth="1"/>
  </cols>
  <sheetData>
    <row r="1" spans="1:53" ht="30" customHeight="1" x14ac:dyDescent="0.35">
      <c r="A1" s="78" t="s">
        <v>355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</row>
    <row r="2" spans="1:53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K2" s="38"/>
      <c r="AL2" s="59" t="s">
        <v>311</v>
      </c>
      <c r="AM2" s="60">
        <v>4</v>
      </c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</row>
    <row r="3" spans="1:53" ht="35.15" customHeight="1" x14ac:dyDescent="0.35">
      <c r="A3" s="18" t="s">
        <v>14</v>
      </c>
      <c r="B3" s="18" t="s">
        <v>15</v>
      </c>
      <c r="C3" s="18" t="s">
        <v>312</v>
      </c>
      <c r="D3" s="20" t="s">
        <v>356</v>
      </c>
      <c r="E3" s="21" t="s">
        <v>357</v>
      </c>
      <c r="F3" s="19" t="s">
        <v>358</v>
      </c>
      <c r="G3" s="19" t="s">
        <v>359</v>
      </c>
      <c r="H3" s="19" t="s">
        <v>360</v>
      </c>
      <c r="I3" s="19" t="s">
        <v>361</v>
      </c>
      <c r="J3" s="19" t="s">
        <v>362</v>
      </c>
      <c r="K3" s="20" t="s">
        <v>363</v>
      </c>
      <c r="L3" s="21" t="s">
        <v>364</v>
      </c>
      <c r="M3" s="19" t="s">
        <v>365</v>
      </c>
      <c r="N3" s="19" t="s">
        <v>366</v>
      </c>
      <c r="O3" s="19" t="s">
        <v>367</v>
      </c>
      <c r="P3" s="19" t="s">
        <v>368</v>
      </c>
      <c r="Q3" s="19" t="s">
        <v>369</v>
      </c>
      <c r="R3" s="20" t="s">
        <v>370</v>
      </c>
      <c r="S3" s="21" t="s">
        <v>371</v>
      </c>
      <c r="T3" s="19" t="s">
        <v>372</v>
      </c>
      <c r="U3" s="19" t="s">
        <v>373</v>
      </c>
      <c r="V3" s="19" t="s">
        <v>374</v>
      </c>
      <c r="W3" s="19" t="s">
        <v>375</v>
      </c>
      <c r="X3" s="19" t="s">
        <v>376</v>
      </c>
      <c r="Y3" s="20" t="s">
        <v>377</v>
      </c>
      <c r="Z3" s="21" t="s">
        <v>378</v>
      </c>
      <c r="AA3" s="19" t="s">
        <v>379</v>
      </c>
      <c r="AB3" s="19" t="s">
        <v>380</v>
      </c>
      <c r="AC3" s="19" t="s">
        <v>381</v>
      </c>
      <c r="AD3" s="19" t="s">
        <v>382</v>
      </c>
      <c r="AE3" s="19" t="s">
        <v>383</v>
      </c>
      <c r="AF3" s="7" t="s">
        <v>344</v>
      </c>
      <c r="AG3" s="7" t="s">
        <v>345</v>
      </c>
      <c r="AH3" s="7" t="s">
        <v>29</v>
      </c>
      <c r="AI3" s="34" t="s">
        <v>346</v>
      </c>
      <c r="AJ3" s="34" t="s">
        <v>347</v>
      </c>
      <c r="AK3" s="61" t="s">
        <v>348</v>
      </c>
      <c r="AL3" s="42" t="s">
        <v>349</v>
      </c>
      <c r="AM3" s="43" t="s">
        <v>350</v>
      </c>
      <c r="AN3" s="40" t="s">
        <v>351</v>
      </c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</row>
    <row r="4" spans="1:53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</row>
    <row r="5" spans="1:53" ht="22" customHeight="1" x14ac:dyDescent="0.35">
      <c r="A5" s="8" t="s">
        <v>43</v>
      </c>
      <c r="B5" s="8" t="s">
        <v>44</v>
      </c>
      <c r="C5" s="8" t="s">
        <v>45</v>
      </c>
      <c r="D5" s="23" t="s">
        <v>7</v>
      </c>
      <c r="E5" s="24" t="s">
        <v>9</v>
      </c>
      <c r="F5" s="22" t="s">
        <v>5</v>
      </c>
      <c r="G5" s="22" t="s">
        <v>5</v>
      </c>
      <c r="H5" s="26" t="s">
        <v>3</v>
      </c>
      <c r="I5" s="26" t="s">
        <v>3</v>
      </c>
      <c r="J5" s="26" t="s">
        <v>3</v>
      </c>
      <c r="K5" s="27" t="s">
        <v>7</v>
      </c>
      <c r="L5" s="28" t="s">
        <v>11</v>
      </c>
      <c r="M5" s="26" t="s">
        <v>3</v>
      </c>
      <c r="N5" s="26" t="s">
        <v>3</v>
      </c>
      <c r="O5" s="26" t="s">
        <v>3</v>
      </c>
      <c r="P5" s="26" t="s">
        <v>3</v>
      </c>
      <c r="Q5" s="26" t="s">
        <v>3</v>
      </c>
      <c r="R5" s="23" t="s">
        <v>7</v>
      </c>
      <c r="S5" s="24" t="s">
        <v>9</v>
      </c>
      <c r="T5" s="26" t="s">
        <v>3</v>
      </c>
      <c r="U5" s="26" t="s">
        <v>3</v>
      </c>
      <c r="V5" s="26" t="s">
        <v>3</v>
      </c>
      <c r="W5" s="26" t="s">
        <v>3</v>
      </c>
      <c r="X5" s="26" t="s">
        <v>3</v>
      </c>
      <c r="Y5" s="27" t="s">
        <v>7</v>
      </c>
      <c r="Z5" s="28" t="s">
        <v>11</v>
      </c>
      <c r="AA5" s="26" t="s">
        <v>3</v>
      </c>
      <c r="AB5" s="26" t="s">
        <v>3</v>
      </c>
      <c r="AC5" s="26" t="s">
        <v>3</v>
      </c>
      <c r="AD5" s="26" t="s">
        <v>3</v>
      </c>
      <c r="AE5" s="26" t="s">
        <v>3</v>
      </c>
      <c r="AF5" s="8">
        <f t="shared" ref="AF5:AF19" si="0">COUNTIF(D5:AE5,"ON")</f>
        <v>18</v>
      </c>
      <c r="AG5" s="8">
        <f t="shared" ref="AG5:AG19" si="1">COUNTIF(D5:AE5,"OFF")</f>
        <v>2</v>
      </c>
      <c r="AH5" s="29">
        <f t="shared" ref="AH5:AH19" si="2">COUNTIF(D5:AE5,"OT")</f>
        <v>2</v>
      </c>
      <c r="AI5" s="62">
        <v>2</v>
      </c>
      <c r="AJ5" s="33">
        <f t="shared" ref="AJ5:AJ19" si="3">AF5+AH5+AI5*0.5</f>
        <v>21</v>
      </c>
      <c r="AK5" s="63">
        <f t="shared" ref="AK5:AK19" si="4">NETWORKDAYS(DATE(2025,2,1),EOMONTH(DATE(2025,2,1),0))*8</f>
        <v>160</v>
      </c>
      <c r="AL5" s="63">
        <f t="shared" ref="AL5:AL19" si="5">MAX(0,COUNTIF(J5,"ON")+COUNTIF(Q5,"ON")+COUNTIF(X5,"ON")+COUNTIF(AE5,"ON")-AI5)</f>
        <v>2</v>
      </c>
      <c r="AM5" s="63">
        <f t="shared" ref="AM5:AM19" si="6">AL5*$AM$2</f>
        <v>8</v>
      </c>
      <c r="AN5" s="53">
        <f t="shared" ref="AN5:AN19" si="7">AJ5-AM5/8</f>
        <v>20</v>
      </c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</row>
    <row r="6" spans="1:53" ht="22" customHeight="1" x14ac:dyDescent="0.35">
      <c r="A6" s="8" t="s">
        <v>46</v>
      </c>
      <c r="B6" s="8" t="s">
        <v>47</v>
      </c>
      <c r="C6" s="8" t="s">
        <v>45</v>
      </c>
      <c r="D6" s="23" t="s">
        <v>7</v>
      </c>
      <c r="E6" s="24" t="s">
        <v>9</v>
      </c>
      <c r="F6" s="22" t="s">
        <v>5</v>
      </c>
      <c r="G6" s="26" t="s">
        <v>3</v>
      </c>
      <c r="H6" s="26" t="s">
        <v>3</v>
      </c>
      <c r="I6" s="26" t="s">
        <v>3</v>
      </c>
      <c r="J6" s="26" t="s">
        <v>3</v>
      </c>
      <c r="K6" s="27" t="s">
        <v>7</v>
      </c>
      <c r="L6" s="28" t="s">
        <v>11</v>
      </c>
      <c r="M6" s="26" t="s">
        <v>3</v>
      </c>
      <c r="N6" s="26" t="s">
        <v>3</v>
      </c>
      <c r="O6" s="26" t="s">
        <v>3</v>
      </c>
      <c r="P6" s="26" t="s">
        <v>3</v>
      </c>
      <c r="Q6" s="26" t="s">
        <v>3</v>
      </c>
      <c r="R6" s="23" t="s">
        <v>7</v>
      </c>
      <c r="S6" s="24" t="s">
        <v>9</v>
      </c>
      <c r="T6" s="26" t="s">
        <v>3</v>
      </c>
      <c r="U6" s="26" t="s">
        <v>3</v>
      </c>
      <c r="V6" s="26" t="s">
        <v>3</v>
      </c>
      <c r="W6" s="26" t="s">
        <v>3</v>
      </c>
      <c r="X6" s="26" t="s">
        <v>3</v>
      </c>
      <c r="Y6" s="27" t="s">
        <v>7</v>
      </c>
      <c r="Z6" s="28" t="s">
        <v>11</v>
      </c>
      <c r="AA6" s="26" t="s">
        <v>3</v>
      </c>
      <c r="AB6" s="26" t="s">
        <v>3</v>
      </c>
      <c r="AC6" s="26" t="s">
        <v>3</v>
      </c>
      <c r="AD6" s="26" t="s">
        <v>3</v>
      </c>
      <c r="AE6" s="26" t="s">
        <v>3</v>
      </c>
      <c r="AF6" s="8">
        <f t="shared" si="0"/>
        <v>19</v>
      </c>
      <c r="AG6" s="8">
        <f t="shared" si="1"/>
        <v>1</v>
      </c>
      <c r="AH6" s="29">
        <f t="shared" si="2"/>
        <v>2</v>
      </c>
      <c r="AI6" s="62">
        <v>2</v>
      </c>
      <c r="AJ6" s="33">
        <f t="shared" si="3"/>
        <v>22</v>
      </c>
      <c r="AK6" s="63">
        <f t="shared" si="4"/>
        <v>160</v>
      </c>
      <c r="AL6" s="63">
        <f t="shared" si="5"/>
        <v>2</v>
      </c>
      <c r="AM6" s="63">
        <f t="shared" si="6"/>
        <v>8</v>
      </c>
      <c r="AN6" s="53">
        <f t="shared" si="7"/>
        <v>21</v>
      </c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</row>
    <row r="7" spans="1:53" ht="22" customHeight="1" x14ac:dyDescent="0.35">
      <c r="A7" s="8" t="s">
        <v>48</v>
      </c>
      <c r="B7" s="8" t="s">
        <v>49</v>
      </c>
      <c r="C7" s="8" t="s">
        <v>45</v>
      </c>
      <c r="D7" s="23" t="s">
        <v>7</v>
      </c>
      <c r="E7" s="24" t="s">
        <v>9</v>
      </c>
      <c r="F7" s="22" t="s">
        <v>5</v>
      </c>
      <c r="G7" s="26" t="s">
        <v>3</v>
      </c>
      <c r="H7" s="26" t="s">
        <v>3</v>
      </c>
      <c r="I7" s="26" t="s">
        <v>3</v>
      </c>
      <c r="J7" s="26" t="s">
        <v>3</v>
      </c>
      <c r="K7" s="23" t="s">
        <v>7</v>
      </c>
      <c r="L7" s="24" t="s">
        <v>9</v>
      </c>
      <c r="M7" s="22" t="s">
        <v>5</v>
      </c>
      <c r="N7" s="26" t="s">
        <v>3</v>
      </c>
      <c r="O7" s="26" t="s">
        <v>3</v>
      </c>
      <c r="P7" s="26" t="s">
        <v>3</v>
      </c>
      <c r="Q7" s="26" t="s">
        <v>3</v>
      </c>
      <c r="R7" s="27" t="s">
        <v>7</v>
      </c>
      <c r="S7" s="28" t="s">
        <v>11</v>
      </c>
      <c r="T7" s="26" t="s">
        <v>3</v>
      </c>
      <c r="U7" s="26" t="s">
        <v>3</v>
      </c>
      <c r="V7" s="26" t="s">
        <v>3</v>
      </c>
      <c r="W7" s="26" t="s">
        <v>3</v>
      </c>
      <c r="X7" s="26" t="s">
        <v>3</v>
      </c>
      <c r="Y7" s="23" t="s">
        <v>7</v>
      </c>
      <c r="Z7" s="24" t="s">
        <v>9</v>
      </c>
      <c r="AA7" s="26" t="s">
        <v>3</v>
      </c>
      <c r="AB7" s="26" t="s">
        <v>3</v>
      </c>
      <c r="AC7" s="26" t="s">
        <v>3</v>
      </c>
      <c r="AD7" s="26" t="s">
        <v>3</v>
      </c>
      <c r="AE7" s="26" t="s">
        <v>3</v>
      </c>
      <c r="AF7" s="8">
        <f t="shared" si="0"/>
        <v>18</v>
      </c>
      <c r="AG7" s="8">
        <f t="shared" si="1"/>
        <v>2</v>
      </c>
      <c r="AH7" s="29">
        <f t="shared" si="2"/>
        <v>1</v>
      </c>
      <c r="AI7" s="62">
        <v>1</v>
      </c>
      <c r="AJ7" s="33">
        <f t="shared" si="3"/>
        <v>19.5</v>
      </c>
      <c r="AK7" s="63">
        <f t="shared" si="4"/>
        <v>160</v>
      </c>
      <c r="AL7" s="63">
        <f t="shared" si="5"/>
        <v>3</v>
      </c>
      <c r="AM7" s="63">
        <f t="shared" si="6"/>
        <v>12</v>
      </c>
      <c r="AN7" s="53">
        <f t="shared" si="7"/>
        <v>18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</row>
    <row r="8" spans="1:53" ht="22" customHeight="1" x14ac:dyDescent="0.35">
      <c r="A8" s="8" t="s">
        <v>50</v>
      </c>
      <c r="B8" s="8" t="s">
        <v>51</v>
      </c>
      <c r="C8" s="8" t="s">
        <v>45</v>
      </c>
      <c r="D8" s="23" t="s">
        <v>7</v>
      </c>
      <c r="E8" s="24" t="s">
        <v>9</v>
      </c>
      <c r="F8" s="22" t="s">
        <v>5</v>
      </c>
      <c r="G8" s="26" t="s">
        <v>3</v>
      </c>
      <c r="H8" s="26" t="s">
        <v>3</v>
      </c>
      <c r="I8" s="26" t="s">
        <v>3</v>
      </c>
      <c r="J8" s="26" t="s">
        <v>3</v>
      </c>
      <c r="K8" s="23" t="s">
        <v>7</v>
      </c>
      <c r="L8" s="28" t="s">
        <v>11</v>
      </c>
      <c r="M8" s="26" t="s">
        <v>3</v>
      </c>
      <c r="N8" s="26" t="s">
        <v>3</v>
      </c>
      <c r="O8" s="26" t="s">
        <v>3</v>
      </c>
      <c r="P8" s="26" t="s">
        <v>3</v>
      </c>
      <c r="Q8" s="26" t="s">
        <v>3</v>
      </c>
      <c r="R8" s="23" t="s">
        <v>7</v>
      </c>
      <c r="S8" s="24" t="s">
        <v>9</v>
      </c>
      <c r="T8" s="26" t="s">
        <v>3</v>
      </c>
      <c r="U8" s="26" t="s">
        <v>3</v>
      </c>
      <c r="V8" s="26" t="s">
        <v>3</v>
      </c>
      <c r="W8" s="26" t="s">
        <v>3</v>
      </c>
      <c r="X8" s="26" t="s">
        <v>3</v>
      </c>
      <c r="Y8" s="27" t="s">
        <v>7</v>
      </c>
      <c r="Z8" s="28" t="s">
        <v>11</v>
      </c>
      <c r="AA8" s="26" t="s">
        <v>3</v>
      </c>
      <c r="AB8" s="26" t="s">
        <v>3</v>
      </c>
      <c r="AC8" s="26" t="s">
        <v>3</v>
      </c>
      <c r="AD8" s="26" t="s">
        <v>3</v>
      </c>
      <c r="AE8" s="26" t="s">
        <v>3</v>
      </c>
      <c r="AF8" s="8">
        <f t="shared" si="0"/>
        <v>19</v>
      </c>
      <c r="AG8" s="8">
        <f t="shared" si="1"/>
        <v>1</v>
      </c>
      <c r="AH8" s="29">
        <f t="shared" si="2"/>
        <v>2</v>
      </c>
      <c r="AI8" s="62">
        <v>1</v>
      </c>
      <c r="AJ8" s="33">
        <f t="shared" si="3"/>
        <v>21.5</v>
      </c>
      <c r="AK8" s="63">
        <f t="shared" si="4"/>
        <v>160</v>
      </c>
      <c r="AL8" s="63">
        <f t="shared" si="5"/>
        <v>3</v>
      </c>
      <c r="AM8" s="63">
        <f t="shared" si="6"/>
        <v>12</v>
      </c>
      <c r="AN8" s="53">
        <f t="shared" si="7"/>
        <v>20</v>
      </c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</row>
    <row r="9" spans="1:53" ht="22" customHeight="1" x14ac:dyDescent="0.35">
      <c r="A9" s="8" t="s">
        <v>52</v>
      </c>
      <c r="B9" s="8" t="s">
        <v>53</v>
      </c>
      <c r="C9" s="8" t="s">
        <v>45</v>
      </c>
      <c r="D9" s="27" t="s">
        <v>7</v>
      </c>
      <c r="E9" s="28" t="s">
        <v>11</v>
      </c>
      <c r="F9" s="26" t="s">
        <v>3</v>
      </c>
      <c r="G9" s="26" t="s">
        <v>3</v>
      </c>
      <c r="H9" s="26" t="s">
        <v>3</v>
      </c>
      <c r="I9" s="26" t="s">
        <v>3</v>
      </c>
      <c r="J9" s="26" t="s">
        <v>3</v>
      </c>
      <c r="K9" s="23" t="s">
        <v>7</v>
      </c>
      <c r="L9" s="24" t="s">
        <v>9</v>
      </c>
      <c r="M9" s="22" t="s">
        <v>5</v>
      </c>
      <c r="N9" s="26" t="s">
        <v>3</v>
      </c>
      <c r="O9" s="26" t="s">
        <v>3</v>
      </c>
      <c r="P9" s="26" t="s">
        <v>3</v>
      </c>
      <c r="Q9" s="26" t="s">
        <v>3</v>
      </c>
      <c r="R9" s="23" t="s">
        <v>7</v>
      </c>
      <c r="S9" s="24" t="s">
        <v>9</v>
      </c>
      <c r="T9" s="26" t="s">
        <v>3</v>
      </c>
      <c r="U9" s="26" t="s">
        <v>3</v>
      </c>
      <c r="V9" s="26" t="s">
        <v>3</v>
      </c>
      <c r="W9" s="26" t="s">
        <v>3</v>
      </c>
      <c r="X9" s="26" t="s">
        <v>3</v>
      </c>
      <c r="Y9" s="23" t="s">
        <v>7</v>
      </c>
      <c r="Z9" s="24" t="s">
        <v>9</v>
      </c>
      <c r="AA9" s="26" t="s">
        <v>3</v>
      </c>
      <c r="AB9" s="26" t="s">
        <v>3</v>
      </c>
      <c r="AC9" s="26" t="s">
        <v>3</v>
      </c>
      <c r="AD9" s="26" t="s">
        <v>3</v>
      </c>
      <c r="AE9" s="26" t="s">
        <v>3</v>
      </c>
      <c r="AF9" s="8">
        <f t="shared" si="0"/>
        <v>19</v>
      </c>
      <c r="AG9" s="8">
        <f t="shared" si="1"/>
        <v>1</v>
      </c>
      <c r="AH9" s="29">
        <f t="shared" si="2"/>
        <v>1</v>
      </c>
      <c r="AI9" s="62">
        <v>1</v>
      </c>
      <c r="AJ9" s="33">
        <f t="shared" si="3"/>
        <v>20.5</v>
      </c>
      <c r="AK9" s="63">
        <f t="shared" si="4"/>
        <v>160</v>
      </c>
      <c r="AL9" s="63">
        <f t="shared" si="5"/>
        <v>3</v>
      </c>
      <c r="AM9" s="63">
        <f t="shared" si="6"/>
        <v>12</v>
      </c>
      <c r="AN9" s="53">
        <f t="shared" si="7"/>
        <v>19</v>
      </c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</row>
    <row r="10" spans="1:53" ht="22" customHeight="1" x14ac:dyDescent="0.35">
      <c r="A10" s="8" t="s">
        <v>54</v>
      </c>
      <c r="B10" s="8" t="s">
        <v>55</v>
      </c>
      <c r="C10" s="8" t="s">
        <v>45</v>
      </c>
      <c r="D10" s="23" t="s">
        <v>7</v>
      </c>
      <c r="E10" s="24" t="s">
        <v>9</v>
      </c>
      <c r="F10" s="22" t="s">
        <v>5</v>
      </c>
      <c r="G10" s="26" t="s">
        <v>3</v>
      </c>
      <c r="H10" s="26" t="s">
        <v>3</v>
      </c>
      <c r="I10" s="26" t="s">
        <v>3</v>
      </c>
      <c r="J10" s="26" t="s">
        <v>3</v>
      </c>
      <c r="K10" s="27" t="s">
        <v>7</v>
      </c>
      <c r="L10" s="24" t="s">
        <v>9</v>
      </c>
      <c r="M10" s="26" t="s">
        <v>3</v>
      </c>
      <c r="N10" s="26" t="s">
        <v>3</v>
      </c>
      <c r="O10" s="26" t="s">
        <v>3</v>
      </c>
      <c r="P10" s="26" t="s">
        <v>3</v>
      </c>
      <c r="Q10" s="26" t="s">
        <v>3</v>
      </c>
      <c r="R10" s="23" t="s">
        <v>7</v>
      </c>
      <c r="S10" s="24" t="s">
        <v>9</v>
      </c>
      <c r="T10" s="26" t="s">
        <v>3</v>
      </c>
      <c r="U10" s="26" t="s">
        <v>3</v>
      </c>
      <c r="V10" s="26" t="s">
        <v>3</v>
      </c>
      <c r="W10" s="26" t="s">
        <v>3</v>
      </c>
      <c r="X10" s="26" t="s">
        <v>3</v>
      </c>
      <c r="Y10" s="27" t="s">
        <v>7</v>
      </c>
      <c r="Z10" s="24" t="s">
        <v>9</v>
      </c>
      <c r="AA10" s="26" t="s">
        <v>3</v>
      </c>
      <c r="AB10" s="26" t="s">
        <v>3</v>
      </c>
      <c r="AC10" s="26" t="s">
        <v>3</v>
      </c>
      <c r="AD10" s="26" t="s">
        <v>3</v>
      </c>
      <c r="AE10" s="26" t="s">
        <v>3</v>
      </c>
      <c r="AF10" s="8">
        <f t="shared" si="0"/>
        <v>19</v>
      </c>
      <c r="AG10" s="8">
        <f t="shared" si="1"/>
        <v>1</v>
      </c>
      <c r="AH10" s="8">
        <f t="shared" si="2"/>
        <v>0</v>
      </c>
      <c r="AI10" s="62">
        <v>2</v>
      </c>
      <c r="AJ10" s="33">
        <f t="shared" si="3"/>
        <v>20</v>
      </c>
      <c r="AK10" s="63">
        <f t="shared" si="4"/>
        <v>160</v>
      </c>
      <c r="AL10" s="63">
        <f t="shared" si="5"/>
        <v>2</v>
      </c>
      <c r="AM10" s="63">
        <f t="shared" si="6"/>
        <v>8</v>
      </c>
      <c r="AN10" s="53">
        <f t="shared" si="7"/>
        <v>19</v>
      </c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</row>
    <row r="11" spans="1:53" ht="22" customHeight="1" x14ac:dyDescent="0.35">
      <c r="A11" s="8" t="s">
        <v>56</v>
      </c>
      <c r="B11" s="8" t="s">
        <v>57</v>
      </c>
      <c r="C11" s="8" t="s">
        <v>45</v>
      </c>
      <c r="D11" s="27" t="s">
        <v>7</v>
      </c>
      <c r="E11" s="28" t="s">
        <v>11</v>
      </c>
      <c r="F11" s="26" t="s">
        <v>3</v>
      </c>
      <c r="G11" s="26" t="s">
        <v>3</v>
      </c>
      <c r="H11" s="26" t="s">
        <v>3</v>
      </c>
      <c r="I11" s="26" t="s">
        <v>3</v>
      </c>
      <c r="J11" s="26" t="s">
        <v>3</v>
      </c>
      <c r="K11" s="23" t="s">
        <v>7</v>
      </c>
      <c r="L11" s="24" t="s">
        <v>9</v>
      </c>
      <c r="M11" s="22" t="s">
        <v>5</v>
      </c>
      <c r="N11" s="26" t="s">
        <v>3</v>
      </c>
      <c r="O11" s="26" t="s">
        <v>3</v>
      </c>
      <c r="P11" s="26" t="s">
        <v>3</v>
      </c>
      <c r="Q11" s="26" t="s">
        <v>3</v>
      </c>
      <c r="R11" s="27" t="s">
        <v>7</v>
      </c>
      <c r="S11" s="28" t="s">
        <v>11</v>
      </c>
      <c r="T11" s="26" t="s">
        <v>3</v>
      </c>
      <c r="U11" s="26" t="s">
        <v>3</v>
      </c>
      <c r="V11" s="26" t="s">
        <v>3</v>
      </c>
      <c r="W11" s="22" t="s">
        <v>5</v>
      </c>
      <c r="X11" s="22" t="s">
        <v>5</v>
      </c>
      <c r="Y11" s="23" t="s">
        <v>7</v>
      </c>
      <c r="Z11" s="24" t="s">
        <v>9</v>
      </c>
      <c r="AA11" s="26" t="s">
        <v>3</v>
      </c>
      <c r="AB11" s="26" t="s">
        <v>3</v>
      </c>
      <c r="AC11" s="26" t="s">
        <v>3</v>
      </c>
      <c r="AD11" s="26" t="s">
        <v>3</v>
      </c>
      <c r="AE11" s="26" t="s">
        <v>3</v>
      </c>
      <c r="AF11" s="8">
        <f t="shared" si="0"/>
        <v>17</v>
      </c>
      <c r="AG11" s="8">
        <f t="shared" si="1"/>
        <v>3</v>
      </c>
      <c r="AH11" s="29">
        <f t="shared" si="2"/>
        <v>2</v>
      </c>
      <c r="AI11" s="62">
        <v>2</v>
      </c>
      <c r="AJ11" s="33">
        <f t="shared" si="3"/>
        <v>20</v>
      </c>
      <c r="AK11" s="63">
        <f t="shared" si="4"/>
        <v>160</v>
      </c>
      <c r="AL11" s="63">
        <f t="shared" si="5"/>
        <v>1</v>
      </c>
      <c r="AM11" s="63">
        <f t="shared" si="6"/>
        <v>4</v>
      </c>
      <c r="AN11" s="53">
        <f t="shared" si="7"/>
        <v>19.5</v>
      </c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</row>
    <row r="12" spans="1:53" ht="22" customHeight="1" x14ac:dyDescent="0.35">
      <c r="A12" s="8" t="s">
        <v>58</v>
      </c>
      <c r="B12" s="8" t="s">
        <v>59</v>
      </c>
      <c r="C12" s="8" t="s">
        <v>45</v>
      </c>
      <c r="D12" s="27" t="s">
        <v>7</v>
      </c>
      <c r="E12" s="28" t="s">
        <v>11</v>
      </c>
      <c r="F12" s="26" t="s">
        <v>3</v>
      </c>
      <c r="G12" s="26" t="s">
        <v>3</v>
      </c>
      <c r="H12" s="26" t="s">
        <v>3</v>
      </c>
      <c r="I12" s="26" t="s">
        <v>3</v>
      </c>
      <c r="J12" s="26" t="s">
        <v>3</v>
      </c>
      <c r="K12" s="27" t="s">
        <v>7</v>
      </c>
      <c r="L12" s="28" t="s">
        <v>11</v>
      </c>
      <c r="M12" s="26" t="s">
        <v>3</v>
      </c>
      <c r="N12" s="26" t="s">
        <v>3</v>
      </c>
      <c r="O12" s="26" t="s">
        <v>3</v>
      </c>
      <c r="P12" s="26" t="s">
        <v>3</v>
      </c>
      <c r="Q12" s="26" t="s">
        <v>3</v>
      </c>
      <c r="R12" s="23" t="s">
        <v>7</v>
      </c>
      <c r="S12" s="24" t="s">
        <v>9</v>
      </c>
      <c r="T12" s="26" t="s">
        <v>3</v>
      </c>
      <c r="U12" s="26" t="s">
        <v>3</v>
      </c>
      <c r="V12" s="26" t="s">
        <v>3</v>
      </c>
      <c r="W12" s="26" t="s">
        <v>3</v>
      </c>
      <c r="X12" s="26" t="s">
        <v>3</v>
      </c>
      <c r="Y12" s="27" t="s">
        <v>7</v>
      </c>
      <c r="Z12" s="28" t="s">
        <v>11</v>
      </c>
      <c r="AA12" s="26" t="s">
        <v>3</v>
      </c>
      <c r="AB12" s="26" t="s">
        <v>3</v>
      </c>
      <c r="AC12" s="26" t="s">
        <v>3</v>
      </c>
      <c r="AD12" s="26" t="s">
        <v>3</v>
      </c>
      <c r="AE12" s="26" t="s">
        <v>3</v>
      </c>
      <c r="AF12" s="8">
        <f t="shared" si="0"/>
        <v>20</v>
      </c>
      <c r="AG12" s="8">
        <f t="shared" si="1"/>
        <v>0</v>
      </c>
      <c r="AH12" s="29">
        <f t="shared" si="2"/>
        <v>3</v>
      </c>
      <c r="AI12" s="62">
        <v>3</v>
      </c>
      <c r="AJ12" s="33">
        <f t="shared" si="3"/>
        <v>24.5</v>
      </c>
      <c r="AK12" s="63">
        <f t="shared" si="4"/>
        <v>160</v>
      </c>
      <c r="AL12" s="63">
        <f t="shared" si="5"/>
        <v>1</v>
      </c>
      <c r="AM12" s="63">
        <f t="shared" si="6"/>
        <v>4</v>
      </c>
      <c r="AN12" s="53">
        <f t="shared" si="7"/>
        <v>24</v>
      </c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</row>
    <row r="13" spans="1:53" ht="22" customHeight="1" x14ac:dyDescent="0.35">
      <c r="A13" s="8" t="s">
        <v>60</v>
      </c>
      <c r="B13" s="8" t="s">
        <v>61</v>
      </c>
      <c r="C13" s="8" t="s">
        <v>45</v>
      </c>
      <c r="D13" s="23" t="s">
        <v>7</v>
      </c>
      <c r="E13" s="24" t="s">
        <v>9</v>
      </c>
      <c r="F13" s="22" t="s">
        <v>5</v>
      </c>
      <c r="G13" s="26" t="s">
        <v>3</v>
      </c>
      <c r="H13" s="26" t="s">
        <v>3</v>
      </c>
      <c r="I13" s="26" t="s">
        <v>3</v>
      </c>
      <c r="J13" s="26" t="s">
        <v>3</v>
      </c>
      <c r="K13" s="27" t="s">
        <v>7</v>
      </c>
      <c r="L13" s="28" t="s">
        <v>11</v>
      </c>
      <c r="M13" s="26" t="s">
        <v>3</v>
      </c>
      <c r="N13" s="26" t="s">
        <v>3</v>
      </c>
      <c r="O13" s="26" t="s">
        <v>3</v>
      </c>
      <c r="P13" s="26" t="s">
        <v>3</v>
      </c>
      <c r="Q13" s="26" t="s">
        <v>3</v>
      </c>
      <c r="R13" s="23" t="s">
        <v>7</v>
      </c>
      <c r="S13" s="24" t="s">
        <v>9</v>
      </c>
      <c r="T13" s="26" t="s">
        <v>3</v>
      </c>
      <c r="U13" s="26" t="s">
        <v>3</v>
      </c>
      <c r="V13" s="26" t="s">
        <v>3</v>
      </c>
      <c r="W13" s="26" t="s">
        <v>3</v>
      </c>
      <c r="X13" s="26" t="s">
        <v>3</v>
      </c>
      <c r="Y13" s="27" t="s">
        <v>7</v>
      </c>
      <c r="Z13" s="28" t="s">
        <v>11</v>
      </c>
      <c r="AA13" s="26" t="s">
        <v>3</v>
      </c>
      <c r="AB13" s="26" t="s">
        <v>3</v>
      </c>
      <c r="AC13" s="26" t="s">
        <v>3</v>
      </c>
      <c r="AD13" s="26" t="s">
        <v>3</v>
      </c>
      <c r="AE13" s="26" t="s">
        <v>3</v>
      </c>
      <c r="AF13" s="8">
        <f t="shared" si="0"/>
        <v>19</v>
      </c>
      <c r="AG13" s="8">
        <f t="shared" si="1"/>
        <v>1</v>
      </c>
      <c r="AH13" s="29">
        <f t="shared" si="2"/>
        <v>2</v>
      </c>
      <c r="AI13" s="62">
        <v>2</v>
      </c>
      <c r="AJ13" s="33">
        <f t="shared" si="3"/>
        <v>22</v>
      </c>
      <c r="AK13" s="63">
        <f t="shared" si="4"/>
        <v>160</v>
      </c>
      <c r="AL13" s="63">
        <f t="shared" si="5"/>
        <v>2</v>
      </c>
      <c r="AM13" s="63">
        <f t="shared" si="6"/>
        <v>8</v>
      </c>
      <c r="AN13" s="53">
        <f t="shared" si="7"/>
        <v>21</v>
      </c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</row>
    <row r="14" spans="1:53" ht="22" customHeight="1" x14ac:dyDescent="0.35">
      <c r="A14" s="8" t="s">
        <v>352</v>
      </c>
      <c r="B14" s="8" t="s">
        <v>353</v>
      </c>
      <c r="C14" s="8" t="s">
        <v>45</v>
      </c>
      <c r="D14" s="27" t="s">
        <v>7</v>
      </c>
      <c r="E14" s="28" t="s">
        <v>11</v>
      </c>
      <c r="F14" s="26" t="s">
        <v>3</v>
      </c>
      <c r="G14" s="26" t="s">
        <v>3</v>
      </c>
      <c r="H14" s="26" t="s">
        <v>3</v>
      </c>
      <c r="I14" s="26" t="s">
        <v>3</v>
      </c>
      <c r="J14" s="26" t="s">
        <v>3</v>
      </c>
      <c r="K14" s="23" t="s">
        <v>7</v>
      </c>
      <c r="L14" s="24" t="s">
        <v>9</v>
      </c>
      <c r="M14" s="22" t="s">
        <v>5</v>
      </c>
      <c r="N14" s="26" t="s">
        <v>3</v>
      </c>
      <c r="O14" s="26" t="s">
        <v>3</v>
      </c>
      <c r="P14" s="26" t="s">
        <v>3</v>
      </c>
      <c r="Q14" s="26" t="s">
        <v>3</v>
      </c>
      <c r="R14" s="27" t="s">
        <v>7</v>
      </c>
      <c r="S14" s="28" t="s">
        <v>11</v>
      </c>
      <c r="T14" s="26" t="s">
        <v>3</v>
      </c>
      <c r="U14" s="26" t="s">
        <v>3</v>
      </c>
      <c r="V14" s="26" t="s">
        <v>3</v>
      </c>
      <c r="W14" s="26" t="s">
        <v>3</v>
      </c>
      <c r="X14" s="26" t="s">
        <v>3</v>
      </c>
      <c r="Y14" s="23" t="s">
        <v>7</v>
      </c>
      <c r="Z14" s="24" t="s">
        <v>9</v>
      </c>
      <c r="AA14" s="26" t="s">
        <v>3</v>
      </c>
      <c r="AB14" s="26" t="s">
        <v>3</v>
      </c>
      <c r="AC14" s="26" t="s">
        <v>3</v>
      </c>
      <c r="AD14" s="26" t="s">
        <v>3</v>
      </c>
      <c r="AE14" s="26" t="s">
        <v>3</v>
      </c>
      <c r="AF14" s="8">
        <f t="shared" si="0"/>
        <v>19</v>
      </c>
      <c r="AG14" s="8">
        <f t="shared" si="1"/>
        <v>1</v>
      </c>
      <c r="AH14" s="29">
        <f t="shared" si="2"/>
        <v>2</v>
      </c>
      <c r="AI14" s="62">
        <v>2</v>
      </c>
      <c r="AJ14" s="33">
        <f t="shared" si="3"/>
        <v>22</v>
      </c>
      <c r="AK14" s="63">
        <f t="shared" si="4"/>
        <v>160</v>
      </c>
      <c r="AL14" s="63">
        <f t="shared" si="5"/>
        <v>2</v>
      </c>
      <c r="AM14" s="63">
        <f t="shared" si="6"/>
        <v>8</v>
      </c>
      <c r="AN14" s="53">
        <f t="shared" si="7"/>
        <v>21</v>
      </c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</row>
    <row r="15" spans="1:53" ht="22" customHeight="1" x14ac:dyDescent="0.35">
      <c r="A15" s="8" t="s">
        <v>62</v>
      </c>
      <c r="B15" s="8" t="s">
        <v>63</v>
      </c>
      <c r="C15" s="8" t="s">
        <v>45</v>
      </c>
      <c r="D15" s="23" t="s">
        <v>7</v>
      </c>
      <c r="E15" s="24" t="s">
        <v>9</v>
      </c>
      <c r="F15" s="22" t="s">
        <v>5</v>
      </c>
      <c r="G15" s="22" t="s">
        <v>5</v>
      </c>
      <c r="H15" s="22" t="s">
        <v>5</v>
      </c>
      <c r="I15" s="26" t="s">
        <v>3</v>
      </c>
      <c r="J15" s="22" t="s">
        <v>5</v>
      </c>
      <c r="K15" s="23" t="s">
        <v>7</v>
      </c>
      <c r="L15" s="24" t="s">
        <v>9</v>
      </c>
      <c r="M15" s="22" t="s">
        <v>5</v>
      </c>
      <c r="N15" s="22" t="s">
        <v>5</v>
      </c>
      <c r="O15" s="22" t="s">
        <v>5</v>
      </c>
      <c r="P15" s="22" t="s">
        <v>5</v>
      </c>
      <c r="Q15" s="22" t="s">
        <v>5</v>
      </c>
      <c r="R15" s="23" t="s">
        <v>7</v>
      </c>
      <c r="S15" s="24" t="s">
        <v>9</v>
      </c>
      <c r="T15" s="22" t="s">
        <v>5</v>
      </c>
      <c r="U15" s="22" t="s">
        <v>5</v>
      </c>
      <c r="V15" s="22" t="s">
        <v>5</v>
      </c>
      <c r="W15" s="26" t="s">
        <v>3</v>
      </c>
      <c r="X15" s="22" t="s">
        <v>5</v>
      </c>
      <c r="Y15" s="23" t="s">
        <v>7</v>
      </c>
      <c r="Z15" s="24" t="s">
        <v>9</v>
      </c>
      <c r="AA15" s="22" t="s">
        <v>5</v>
      </c>
      <c r="AB15" s="22" t="s">
        <v>5</v>
      </c>
      <c r="AC15" s="22" t="s">
        <v>5</v>
      </c>
      <c r="AD15" s="22" t="s">
        <v>5</v>
      </c>
      <c r="AE15" s="22" t="s">
        <v>5</v>
      </c>
      <c r="AF15" s="8">
        <f t="shared" si="0"/>
        <v>2</v>
      </c>
      <c r="AG15" s="25">
        <f t="shared" si="1"/>
        <v>18</v>
      </c>
      <c r="AH15" s="8">
        <f t="shared" si="2"/>
        <v>0</v>
      </c>
      <c r="AI15" s="62">
        <v>0</v>
      </c>
      <c r="AJ15" s="33">
        <f t="shared" si="3"/>
        <v>2</v>
      </c>
      <c r="AK15" s="63">
        <f t="shared" si="4"/>
        <v>160</v>
      </c>
      <c r="AL15" s="63">
        <f t="shared" si="5"/>
        <v>0</v>
      </c>
      <c r="AM15" s="63">
        <f t="shared" si="6"/>
        <v>0</v>
      </c>
      <c r="AN15" s="53">
        <f t="shared" si="7"/>
        <v>2</v>
      </c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</row>
    <row r="16" spans="1:53" ht="22" customHeight="1" x14ac:dyDescent="0.35">
      <c r="A16" s="8" t="s">
        <v>64</v>
      </c>
      <c r="B16" s="8" t="s">
        <v>63</v>
      </c>
      <c r="C16" s="8" t="s">
        <v>45</v>
      </c>
      <c r="D16" s="27" t="s">
        <v>7</v>
      </c>
      <c r="E16" s="28" t="s">
        <v>11</v>
      </c>
      <c r="F16" s="26" t="s">
        <v>3</v>
      </c>
      <c r="G16" s="26" t="s">
        <v>3</v>
      </c>
      <c r="H16" s="26" t="s">
        <v>3</v>
      </c>
      <c r="I16" s="26" t="s">
        <v>3</v>
      </c>
      <c r="J16" s="26" t="s">
        <v>3</v>
      </c>
      <c r="K16" s="23" t="s">
        <v>7</v>
      </c>
      <c r="L16" s="24" t="s">
        <v>9</v>
      </c>
      <c r="M16" s="22" t="s">
        <v>5</v>
      </c>
      <c r="N16" s="26" t="s">
        <v>3</v>
      </c>
      <c r="O16" s="26" t="s">
        <v>3</v>
      </c>
      <c r="P16" s="26" t="s">
        <v>3</v>
      </c>
      <c r="Q16" s="26" t="s">
        <v>3</v>
      </c>
      <c r="R16" s="27" t="s">
        <v>7</v>
      </c>
      <c r="S16" s="28" t="s">
        <v>11</v>
      </c>
      <c r="T16" s="26" t="s">
        <v>3</v>
      </c>
      <c r="U16" s="26" t="s">
        <v>3</v>
      </c>
      <c r="V16" s="26" t="s">
        <v>3</v>
      </c>
      <c r="W16" s="26" t="s">
        <v>3</v>
      </c>
      <c r="X16" s="22" t="s">
        <v>5</v>
      </c>
      <c r="Y16" s="23" t="s">
        <v>7</v>
      </c>
      <c r="Z16" s="24" t="s">
        <v>9</v>
      </c>
      <c r="AA16" s="22" t="s">
        <v>5</v>
      </c>
      <c r="AB16" s="22" t="s">
        <v>5</v>
      </c>
      <c r="AC16" s="22" t="s">
        <v>5</v>
      </c>
      <c r="AD16" s="22" t="s">
        <v>5</v>
      </c>
      <c r="AE16" s="22" t="s">
        <v>5</v>
      </c>
      <c r="AF16" s="8">
        <f t="shared" si="0"/>
        <v>13</v>
      </c>
      <c r="AG16" s="8">
        <f t="shared" si="1"/>
        <v>7</v>
      </c>
      <c r="AH16" s="29">
        <f t="shared" si="2"/>
        <v>2</v>
      </c>
      <c r="AI16" s="62">
        <v>2</v>
      </c>
      <c r="AJ16" s="33">
        <f t="shared" si="3"/>
        <v>16</v>
      </c>
      <c r="AK16" s="63">
        <f t="shared" si="4"/>
        <v>160</v>
      </c>
      <c r="AL16" s="63">
        <f t="shared" si="5"/>
        <v>0</v>
      </c>
      <c r="AM16" s="63">
        <f t="shared" si="6"/>
        <v>0</v>
      </c>
      <c r="AN16" s="53">
        <f t="shared" si="7"/>
        <v>16</v>
      </c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</row>
    <row r="17" spans="1:53" ht="22" customHeight="1" x14ac:dyDescent="0.35">
      <c r="A17" s="8" t="s">
        <v>65</v>
      </c>
      <c r="B17" s="8" t="s">
        <v>66</v>
      </c>
      <c r="C17" s="8" t="s">
        <v>45</v>
      </c>
      <c r="D17" s="27" t="s">
        <v>7</v>
      </c>
      <c r="E17" s="28" t="s">
        <v>11</v>
      </c>
      <c r="F17" s="26" t="s">
        <v>3</v>
      </c>
      <c r="G17" s="26" t="s">
        <v>3</v>
      </c>
      <c r="H17" s="26" t="s">
        <v>3</v>
      </c>
      <c r="I17" s="26" t="s">
        <v>3</v>
      </c>
      <c r="J17" s="26" t="s">
        <v>3</v>
      </c>
      <c r="K17" s="23" t="s">
        <v>7</v>
      </c>
      <c r="L17" s="24" t="s">
        <v>9</v>
      </c>
      <c r="M17" s="26" t="s">
        <v>3</v>
      </c>
      <c r="N17" s="26" t="s">
        <v>3</v>
      </c>
      <c r="O17" s="26" t="s">
        <v>3</v>
      </c>
      <c r="P17" s="26" t="s">
        <v>3</v>
      </c>
      <c r="Q17" s="26" t="s">
        <v>3</v>
      </c>
      <c r="R17" s="27" t="s">
        <v>7</v>
      </c>
      <c r="S17" s="28" t="s">
        <v>11</v>
      </c>
      <c r="T17" s="26" t="s">
        <v>3</v>
      </c>
      <c r="U17" s="26" t="s">
        <v>3</v>
      </c>
      <c r="V17" s="26" t="s">
        <v>3</v>
      </c>
      <c r="W17" s="26" t="s">
        <v>3</v>
      </c>
      <c r="X17" s="26" t="s">
        <v>3</v>
      </c>
      <c r="Y17" s="27" t="s">
        <v>7</v>
      </c>
      <c r="Z17" s="28" t="s">
        <v>11</v>
      </c>
      <c r="AA17" s="26" t="s">
        <v>3</v>
      </c>
      <c r="AB17" s="26" t="s">
        <v>3</v>
      </c>
      <c r="AC17" s="26" t="s">
        <v>3</v>
      </c>
      <c r="AD17" s="26" t="s">
        <v>3</v>
      </c>
      <c r="AE17" s="26" t="s">
        <v>3</v>
      </c>
      <c r="AF17" s="8">
        <f t="shared" si="0"/>
        <v>20</v>
      </c>
      <c r="AG17" s="8">
        <f t="shared" si="1"/>
        <v>0</v>
      </c>
      <c r="AH17" s="29">
        <f t="shared" si="2"/>
        <v>3</v>
      </c>
      <c r="AI17" s="62">
        <v>3</v>
      </c>
      <c r="AJ17" s="33">
        <f t="shared" si="3"/>
        <v>24.5</v>
      </c>
      <c r="AK17" s="63">
        <f t="shared" si="4"/>
        <v>160</v>
      </c>
      <c r="AL17" s="63">
        <f t="shared" si="5"/>
        <v>1</v>
      </c>
      <c r="AM17" s="63">
        <f t="shared" si="6"/>
        <v>4</v>
      </c>
      <c r="AN17" s="53">
        <f t="shared" si="7"/>
        <v>24</v>
      </c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</row>
    <row r="18" spans="1:53" ht="22" customHeight="1" x14ac:dyDescent="0.35">
      <c r="A18" s="8" t="s">
        <v>67</v>
      </c>
      <c r="B18" s="8" t="s">
        <v>68</v>
      </c>
      <c r="C18" s="8" t="s">
        <v>45</v>
      </c>
      <c r="D18" s="27" t="s">
        <v>7</v>
      </c>
      <c r="E18" s="28" t="s">
        <v>11</v>
      </c>
      <c r="F18" s="26" t="s">
        <v>3</v>
      </c>
      <c r="G18" s="26" t="s">
        <v>3</v>
      </c>
      <c r="H18" s="26" t="s">
        <v>3</v>
      </c>
      <c r="I18" s="26" t="s">
        <v>3</v>
      </c>
      <c r="J18" s="26" t="s">
        <v>3</v>
      </c>
      <c r="K18" s="23" t="s">
        <v>7</v>
      </c>
      <c r="L18" s="24" t="s">
        <v>9</v>
      </c>
      <c r="M18" s="22" t="s">
        <v>5</v>
      </c>
      <c r="N18" s="26" t="s">
        <v>3</v>
      </c>
      <c r="O18" s="26" t="s">
        <v>3</v>
      </c>
      <c r="P18" s="22" t="s">
        <v>5</v>
      </c>
      <c r="Q18" s="26" t="s">
        <v>3</v>
      </c>
      <c r="R18" s="27" t="s">
        <v>7</v>
      </c>
      <c r="S18" s="28" t="s">
        <v>11</v>
      </c>
      <c r="T18" s="26" t="s">
        <v>3</v>
      </c>
      <c r="U18" s="26" t="s">
        <v>3</v>
      </c>
      <c r="V18" s="26" t="s">
        <v>3</v>
      </c>
      <c r="W18" s="26" t="s">
        <v>3</v>
      </c>
      <c r="X18" s="26" t="s">
        <v>3</v>
      </c>
      <c r="Y18" s="23" t="s">
        <v>7</v>
      </c>
      <c r="Z18" s="24" t="s">
        <v>9</v>
      </c>
      <c r="AA18" s="26" t="s">
        <v>3</v>
      </c>
      <c r="AB18" s="26" t="s">
        <v>3</v>
      </c>
      <c r="AC18" s="26" t="s">
        <v>3</v>
      </c>
      <c r="AD18" s="26" t="s">
        <v>3</v>
      </c>
      <c r="AE18" s="26" t="s">
        <v>3</v>
      </c>
      <c r="AF18" s="8">
        <f t="shared" si="0"/>
        <v>18</v>
      </c>
      <c r="AG18" s="8">
        <f t="shared" si="1"/>
        <v>2</v>
      </c>
      <c r="AH18" s="29">
        <f t="shared" si="2"/>
        <v>2</v>
      </c>
      <c r="AI18" s="62">
        <v>2</v>
      </c>
      <c r="AJ18" s="33">
        <f t="shared" si="3"/>
        <v>21</v>
      </c>
      <c r="AK18" s="63">
        <f t="shared" si="4"/>
        <v>160</v>
      </c>
      <c r="AL18" s="63">
        <f t="shared" si="5"/>
        <v>2</v>
      </c>
      <c r="AM18" s="63">
        <f t="shared" si="6"/>
        <v>8</v>
      </c>
      <c r="AN18" s="53">
        <f t="shared" si="7"/>
        <v>20</v>
      </c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</row>
    <row r="19" spans="1:53" ht="22" customHeight="1" x14ac:dyDescent="0.35">
      <c r="A19" s="8" t="s">
        <v>69</v>
      </c>
      <c r="B19" s="8" t="s">
        <v>70</v>
      </c>
      <c r="C19" s="8" t="s">
        <v>45</v>
      </c>
      <c r="D19" s="23" t="s">
        <v>7</v>
      </c>
      <c r="E19" s="24" t="s">
        <v>9</v>
      </c>
      <c r="F19" s="22" t="s">
        <v>5</v>
      </c>
      <c r="G19" s="26" t="s">
        <v>3</v>
      </c>
      <c r="H19" s="26" t="s">
        <v>3</v>
      </c>
      <c r="I19" s="26" t="s">
        <v>3</v>
      </c>
      <c r="J19" s="26" t="s">
        <v>3</v>
      </c>
      <c r="K19" s="27" t="s">
        <v>7</v>
      </c>
      <c r="L19" s="24" t="s">
        <v>9</v>
      </c>
      <c r="M19" s="26" t="s">
        <v>3</v>
      </c>
      <c r="N19" s="26" t="s">
        <v>3</v>
      </c>
      <c r="O19" s="26" t="s">
        <v>3</v>
      </c>
      <c r="P19" s="26" t="s">
        <v>3</v>
      </c>
      <c r="Q19" s="26" t="s">
        <v>3</v>
      </c>
      <c r="R19" s="23" t="s">
        <v>7</v>
      </c>
      <c r="S19" s="24" t="s">
        <v>9</v>
      </c>
      <c r="T19" s="26" t="s">
        <v>3</v>
      </c>
      <c r="U19" s="26" t="s">
        <v>3</v>
      </c>
      <c r="V19" s="26" t="s">
        <v>3</v>
      </c>
      <c r="W19" s="26" t="s">
        <v>3</v>
      </c>
      <c r="X19" s="26" t="s">
        <v>3</v>
      </c>
      <c r="Y19" s="23" t="s">
        <v>7</v>
      </c>
      <c r="Z19" s="24" t="s">
        <v>9</v>
      </c>
      <c r="AA19" s="22" t="s">
        <v>5</v>
      </c>
      <c r="AB19" s="22" t="s">
        <v>5</v>
      </c>
      <c r="AC19" s="22" t="s">
        <v>5</v>
      </c>
      <c r="AD19" s="22" t="s">
        <v>5</v>
      </c>
      <c r="AE19" s="22" t="s">
        <v>5</v>
      </c>
      <c r="AF19" s="8">
        <f t="shared" si="0"/>
        <v>14</v>
      </c>
      <c r="AG19" s="8">
        <f t="shared" si="1"/>
        <v>6</v>
      </c>
      <c r="AH19" s="8">
        <f t="shared" si="2"/>
        <v>0</v>
      </c>
      <c r="AI19" s="62">
        <v>1</v>
      </c>
      <c r="AJ19" s="33">
        <f t="shared" si="3"/>
        <v>14.5</v>
      </c>
      <c r="AK19" s="63">
        <f t="shared" si="4"/>
        <v>160</v>
      </c>
      <c r="AL19" s="63">
        <f t="shared" si="5"/>
        <v>2</v>
      </c>
      <c r="AM19" s="63">
        <f t="shared" si="6"/>
        <v>8</v>
      </c>
      <c r="AN19" s="53">
        <f t="shared" si="7"/>
        <v>13.5</v>
      </c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</row>
    <row r="20" spans="1:53" x14ac:dyDescent="0.35"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</row>
    <row r="21" spans="1:53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</row>
    <row r="22" spans="1:53" ht="22" customHeight="1" x14ac:dyDescent="0.35">
      <c r="A22" s="8" t="s">
        <v>72</v>
      </c>
      <c r="B22" s="8" t="s">
        <v>73</v>
      </c>
      <c r="C22" s="8" t="s">
        <v>74</v>
      </c>
      <c r="D22" s="27" t="s">
        <v>7</v>
      </c>
      <c r="E22" s="28" t="s">
        <v>11</v>
      </c>
      <c r="F22" s="26" t="s">
        <v>3</v>
      </c>
      <c r="G22" s="26" t="s">
        <v>3</v>
      </c>
      <c r="H22" s="26" t="s">
        <v>3</v>
      </c>
      <c r="I22" s="26" t="s">
        <v>3</v>
      </c>
      <c r="J22" s="26" t="s">
        <v>3</v>
      </c>
      <c r="K22" s="23" t="s">
        <v>7</v>
      </c>
      <c r="L22" s="24" t="s">
        <v>9</v>
      </c>
      <c r="M22" s="22" t="s">
        <v>5</v>
      </c>
      <c r="N22" s="26" t="s">
        <v>3</v>
      </c>
      <c r="O22" s="26" t="s">
        <v>3</v>
      </c>
      <c r="P22" s="26" t="s">
        <v>3</v>
      </c>
      <c r="Q22" s="26" t="s">
        <v>3</v>
      </c>
      <c r="R22" s="27" t="s">
        <v>7</v>
      </c>
      <c r="S22" s="28" t="s">
        <v>11</v>
      </c>
      <c r="T22" s="26" t="s">
        <v>3</v>
      </c>
      <c r="U22" s="26" t="s">
        <v>3</v>
      </c>
      <c r="V22" s="26" t="s">
        <v>3</v>
      </c>
      <c r="W22" s="26" t="s">
        <v>3</v>
      </c>
      <c r="X22" s="26" t="s">
        <v>3</v>
      </c>
      <c r="Y22" s="23" t="s">
        <v>7</v>
      </c>
      <c r="Z22" s="24" t="s">
        <v>9</v>
      </c>
      <c r="AA22" s="26" t="s">
        <v>3</v>
      </c>
      <c r="AB22" s="26" t="s">
        <v>3</v>
      </c>
      <c r="AC22" s="26" t="s">
        <v>3</v>
      </c>
      <c r="AD22" s="26" t="s">
        <v>3</v>
      </c>
      <c r="AE22" s="26" t="s">
        <v>3</v>
      </c>
      <c r="AF22" s="8">
        <f t="shared" ref="AF22:AF35" si="8">COUNTIF(D22:AE22,"ON")</f>
        <v>19</v>
      </c>
      <c r="AG22" s="8">
        <f t="shared" ref="AG22:AG35" si="9">COUNTIF(D22:AE22,"OFF")</f>
        <v>1</v>
      </c>
      <c r="AH22" s="29">
        <f t="shared" ref="AH22:AH35" si="10">COUNTIF(D22:AE22,"OT")</f>
        <v>2</v>
      </c>
      <c r="AI22" s="62">
        <v>2</v>
      </c>
      <c r="AJ22" s="33">
        <f t="shared" ref="AJ22:AJ35" si="11">AF22+AH22+AI22*0.5</f>
        <v>22</v>
      </c>
      <c r="AK22" s="63">
        <f t="shared" ref="AK22:AK35" si="12">NETWORKDAYS(DATE(2025,2,1),EOMONTH(DATE(2025,2,1),0))*8</f>
        <v>160</v>
      </c>
      <c r="AL22" s="63">
        <f t="shared" ref="AL22:AL35" si="13">MAX(0,COUNTIF(J22,"ON")+COUNTIF(Q22,"ON")+COUNTIF(X22,"ON")+COUNTIF(AE22,"ON")-AI22)</f>
        <v>2</v>
      </c>
      <c r="AM22" s="63">
        <f t="shared" ref="AM22:AM35" si="14">AL22*$AM$2</f>
        <v>8</v>
      </c>
      <c r="AN22" s="53">
        <f t="shared" ref="AN22:AN35" si="15">AJ22-AM22/8</f>
        <v>21</v>
      </c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</row>
    <row r="23" spans="1:53" ht="22" customHeight="1" x14ac:dyDescent="0.35">
      <c r="A23" s="8" t="s">
        <v>75</v>
      </c>
      <c r="B23" s="8" t="s">
        <v>76</v>
      </c>
      <c r="C23" s="8" t="s">
        <v>74</v>
      </c>
      <c r="D23" s="27" t="s">
        <v>7</v>
      </c>
      <c r="E23" s="28" t="s">
        <v>11</v>
      </c>
      <c r="F23" s="26" t="s">
        <v>3</v>
      </c>
      <c r="G23" s="26" t="s">
        <v>3</v>
      </c>
      <c r="H23" s="26" t="s">
        <v>3</v>
      </c>
      <c r="I23" s="26" t="s">
        <v>3</v>
      </c>
      <c r="J23" s="26" t="s">
        <v>3</v>
      </c>
      <c r="K23" s="23" t="s">
        <v>7</v>
      </c>
      <c r="L23" s="24" t="s">
        <v>9</v>
      </c>
      <c r="M23" s="22" t="s">
        <v>5</v>
      </c>
      <c r="N23" s="26" t="s">
        <v>3</v>
      </c>
      <c r="O23" s="26" t="s">
        <v>3</v>
      </c>
      <c r="P23" s="26" t="s">
        <v>3</v>
      </c>
      <c r="Q23" s="26" t="s">
        <v>3</v>
      </c>
      <c r="R23" s="23" t="s">
        <v>7</v>
      </c>
      <c r="S23" s="24" t="s">
        <v>9</v>
      </c>
      <c r="T23" s="26" t="s">
        <v>3</v>
      </c>
      <c r="U23" s="26" t="s">
        <v>3</v>
      </c>
      <c r="V23" s="26" t="s">
        <v>3</v>
      </c>
      <c r="W23" s="26" t="s">
        <v>3</v>
      </c>
      <c r="X23" s="26" t="s">
        <v>3</v>
      </c>
      <c r="Y23" s="27" t="s">
        <v>7</v>
      </c>
      <c r="Z23" s="28" t="s">
        <v>11</v>
      </c>
      <c r="AA23" s="26" t="s">
        <v>3</v>
      </c>
      <c r="AB23" s="26" t="s">
        <v>3</v>
      </c>
      <c r="AC23" s="26" t="s">
        <v>3</v>
      </c>
      <c r="AD23" s="26" t="s">
        <v>3</v>
      </c>
      <c r="AE23" s="26" t="s">
        <v>3</v>
      </c>
      <c r="AF23" s="8">
        <f t="shared" si="8"/>
        <v>19</v>
      </c>
      <c r="AG23" s="8">
        <f t="shared" si="9"/>
        <v>1</v>
      </c>
      <c r="AH23" s="29">
        <f t="shared" si="10"/>
        <v>2</v>
      </c>
      <c r="AI23" s="62">
        <v>2</v>
      </c>
      <c r="AJ23" s="33">
        <f t="shared" si="11"/>
        <v>22</v>
      </c>
      <c r="AK23" s="63">
        <f t="shared" si="12"/>
        <v>160</v>
      </c>
      <c r="AL23" s="63">
        <f t="shared" si="13"/>
        <v>2</v>
      </c>
      <c r="AM23" s="63">
        <f t="shared" si="14"/>
        <v>8</v>
      </c>
      <c r="AN23" s="53">
        <f t="shared" si="15"/>
        <v>21</v>
      </c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</row>
    <row r="24" spans="1:53" ht="22" customHeight="1" x14ac:dyDescent="0.35">
      <c r="A24" s="8" t="s">
        <v>77</v>
      </c>
      <c r="B24" s="8" t="s">
        <v>78</v>
      </c>
      <c r="C24" s="8" t="s">
        <v>74</v>
      </c>
      <c r="D24" s="23" t="s">
        <v>7</v>
      </c>
      <c r="E24" s="24" t="s">
        <v>9</v>
      </c>
      <c r="F24" s="22" t="s">
        <v>5</v>
      </c>
      <c r="G24" s="26" t="s">
        <v>3</v>
      </c>
      <c r="H24" s="22" t="s">
        <v>5</v>
      </c>
      <c r="I24" s="26" t="s">
        <v>3</v>
      </c>
      <c r="J24" s="26" t="s">
        <v>3</v>
      </c>
      <c r="K24" s="27" t="s">
        <v>7</v>
      </c>
      <c r="L24" s="28" t="s">
        <v>11</v>
      </c>
      <c r="M24" s="26" t="s">
        <v>3</v>
      </c>
      <c r="N24" s="22" t="s">
        <v>5</v>
      </c>
      <c r="O24" s="22" t="s">
        <v>5</v>
      </c>
      <c r="P24" s="22" t="s">
        <v>5</v>
      </c>
      <c r="Q24" s="26" t="s">
        <v>3</v>
      </c>
      <c r="R24" s="23" t="s">
        <v>7</v>
      </c>
      <c r="S24" s="24" t="s">
        <v>9</v>
      </c>
      <c r="T24" s="26" t="s">
        <v>3</v>
      </c>
      <c r="U24" s="26" t="s">
        <v>3</v>
      </c>
      <c r="V24" s="26" t="s">
        <v>3</v>
      </c>
      <c r="W24" s="26" t="s">
        <v>3</v>
      </c>
      <c r="X24" s="26" t="s">
        <v>3</v>
      </c>
      <c r="Y24" s="27" t="s">
        <v>7</v>
      </c>
      <c r="Z24" s="28" t="s">
        <v>11</v>
      </c>
      <c r="AA24" s="26" t="s">
        <v>3</v>
      </c>
      <c r="AB24" s="26" t="s">
        <v>3</v>
      </c>
      <c r="AC24" s="26" t="s">
        <v>3</v>
      </c>
      <c r="AD24" s="26" t="s">
        <v>3</v>
      </c>
      <c r="AE24" s="26" t="s">
        <v>3</v>
      </c>
      <c r="AF24" s="8">
        <f t="shared" si="8"/>
        <v>15</v>
      </c>
      <c r="AG24" s="8">
        <f t="shared" si="9"/>
        <v>5</v>
      </c>
      <c r="AH24" s="29">
        <f t="shared" si="10"/>
        <v>2</v>
      </c>
      <c r="AI24" s="62">
        <v>2</v>
      </c>
      <c r="AJ24" s="33">
        <f t="shared" si="11"/>
        <v>18</v>
      </c>
      <c r="AK24" s="63">
        <f t="shared" si="12"/>
        <v>160</v>
      </c>
      <c r="AL24" s="63">
        <f t="shared" si="13"/>
        <v>2</v>
      </c>
      <c r="AM24" s="63">
        <f t="shared" si="14"/>
        <v>8</v>
      </c>
      <c r="AN24" s="53">
        <f t="shared" si="15"/>
        <v>17</v>
      </c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</row>
    <row r="25" spans="1:53" ht="22" customHeight="1" x14ac:dyDescent="0.35">
      <c r="A25" s="8" t="s">
        <v>79</v>
      </c>
      <c r="B25" s="8" t="s">
        <v>80</v>
      </c>
      <c r="C25" s="8" t="s">
        <v>74</v>
      </c>
      <c r="D25" s="27" t="s">
        <v>7</v>
      </c>
      <c r="E25" s="28" t="s">
        <v>11</v>
      </c>
      <c r="F25" s="26" t="s">
        <v>3</v>
      </c>
      <c r="G25" s="26" t="s">
        <v>3</v>
      </c>
      <c r="H25" s="26" t="s">
        <v>3</v>
      </c>
      <c r="I25" s="26" t="s">
        <v>3</v>
      </c>
      <c r="J25" s="26" t="s">
        <v>3</v>
      </c>
      <c r="K25" s="23" t="s">
        <v>7</v>
      </c>
      <c r="L25" s="24" t="s">
        <v>9</v>
      </c>
      <c r="M25" s="22" t="s">
        <v>5</v>
      </c>
      <c r="N25" s="26" t="s">
        <v>3</v>
      </c>
      <c r="O25" s="26" t="s">
        <v>3</v>
      </c>
      <c r="P25" s="26" t="s">
        <v>3</v>
      </c>
      <c r="Q25" s="26" t="s">
        <v>3</v>
      </c>
      <c r="R25" s="27" t="s">
        <v>7</v>
      </c>
      <c r="S25" s="28" t="s">
        <v>11</v>
      </c>
      <c r="T25" s="26" t="s">
        <v>3</v>
      </c>
      <c r="U25" s="26" t="s">
        <v>3</v>
      </c>
      <c r="V25" s="26" t="s">
        <v>3</v>
      </c>
      <c r="W25" s="26" t="s">
        <v>3</v>
      </c>
      <c r="X25" s="26" t="s">
        <v>3</v>
      </c>
      <c r="Y25" s="27" t="s">
        <v>7</v>
      </c>
      <c r="Z25" s="24" t="s">
        <v>9</v>
      </c>
      <c r="AA25" s="26" t="s">
        <v>3</v>
      </c>
      <c r="AB25" s="26" t="s">
        <v>3</v>
      </c>
      <c r="AC25" s="26" t="s">
        <v>3</v>
      </c>
      <c r="AD25" s="26" t="s">
        <v>3</v>
      </c>
      <c r="AE25" s="26" t="s">
        <v>3</v>
      </c>
      <c r="AF25" s="8">
        <f t="shared" si="8"/>
        <v>19</v>
      </c>
      <c r="AG25" s="8">
        <f t="shared" si="9"/>
        <v>1</v>
      </c>
      <c r="AH25" s="29">
        <f t="shared" si="10"/>
        <v>2</v>
      </c>
      <c r="AI25" s="62">
        <v>3</v>
      </c>
      <c r="AJ25" s="33">
        <f t="shared" si="11"/>
        <v>22.5</v>
      </c>
      <c r="AK25" s="63">
        <f t="shared" si="12"/>
        <v>160</v>
      </c>
      <c r="AL25" s="63">
        <f t="shared" si="13"/>
        <v>1</v>
      </c>
      <c r="AM25" s="63">
        <f t="shared" si="14"/>
        <v>4</v>
      </c>
      <c r="AN25" s="53">
        <f t="shared" si="15"/>
        <v>22</v>
      </c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</row>
    <row r="26" spans="1:53" ht="22" customHeight="1" x14ac:dyDescent="0.35">
      <c r="A26" s="8" t="s">
        <v>81</v>
      </c>
      <c r="B26" s="8" t="s">
        <v>82</v>
      </c>
      <c r="C26" s="8" t="s">
        <v>74</v>
      </c>
      <c r="D26" s="27" t="s">
        <v>7</v>
      </c>
      <c r="E26" s="28" t="s">
        <v>11</v>
      </c>
      <c r="F26" s="26" t="s">
        <v>3</v>
      </c>
      <c r="G26" s="26" t="s">
        <v>3</v>
      </c>
      <c r="H26" s="26" t="s">
        <v>3</v>
      </c>
      <c r="I26" s="26" t="s">
        <v>3</v>
      </c>
      <c r="J26" s="26" t="s">
        <v>3</v>
      </c>
      <c r="K26" s="23" t="s">
        <v>7</v>
      </c>
      <c r="L26" s="24" t="s">
        <v>9</v>
      </c>
      <c r="M26" s="26" t="s">
        <v>3</v>
      </c>
      <c r="N26" s="26" t="s">
        <v>3</v>
      </c>
      <c r="O26" s="26" t="s">
        <v>3</v>
      </c>
      <c r="P26" s="26" t="s">
        <v>3</v>
      </c>
      <c r="Q26" s="26" t="s">
        <v>3</v>
      </c>
      <c r="R26" s="27" t="s">
        <v>7</v>
      </c>
      <c r="S26" s="28" t="s">
        <v>11</v>
      </c>
      <c r="T26" s="26" t="s">
        <v>3</v>
      </c>
      <c r="U26" s="26" t="s">
        <v>3</v>
      </c>
      <c r="V26" s="26" t="s">
        <v>3</v>
      </c>
      <c r="W26" s="26" t="s">
        <v>3</v>
      </c>
      <c r="X26" s="26" t="s">
        <v>3</v>
      </c>
      <c r="Y26" s="23" t="s">
        <v>7</v>
      </c>
      <c r="Z26" s="24" t="s">
        <v>9</v>
      </c>
      <c r="AA26" s="26" t="s">
        <v>3</v>
      </c>
      <c r="AB26" s="26" t="s">
        <v>3</v>
      </c>
      <c r="AC26" s="26" t="s">
        <v>3</v>
      </c>
      <c r="AD26" s="26" t="s">
        <v>3</v>
      </c>
      <c r="AE26" s="26" t="s">
        <v>3</v>
      </c>
      <c r="AF26" s="8">
        <f t="shared" si="8"/>
        <v>20</v>
      </c>
      <c r="AG26" s="8">
        <f t="shared" si="9"/>
        <v>0</v>
      </c>
      <c r="AH26" s="29">
        <f t="shared" si="10"/>
        <v>2</v>
      </c>
      <c r="AI26" s="62">
        <v>2</v>
      </c>
      <c r="AJ26" s="33">
        <f t="shared" si="11"/>
        <v>23</v>
      </c>
      <c r="AK26" s="63">
        <f t="shared" si="12"/>
        <v>160</v>
      </c>
      <c r="AL26" s="63">
        <f t="shared" si="13"/>
        <v>2</v>
      </c>
      <c r="AM26" s="63">
        <f t="shared" si="14"/>
        <v>8</v>
      </c>
      <c r="AN26" s="53">
        <f t="shared" si="15"/>
        <v>22</v>
      </c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</row>
    <row r="27" spans="1:53" ht="22" customHeight="1" x14ac:dyDescent="0.35">
      <c r="A27" s="8" t="s">
        <v>83</v>
      </c>
      <c r="B27" s="8" t="s">
        <v>84</v>
      </c>
      <c r="C27" s="8" t="s">
        <v>74</v>
      </c>
      <c r="D27" s="23" t="s">
        <v>7</v>
      </c>
      <c r="E27" s="24" t="s">
        <v>9</v>
      </c>
      <c r="F27" s="22" t="s">
        <v>5</v>
      </c>
      <c r="G27" s="26" t="s">
        <v>3</v>
      </c>
      <c r="H27" s="26" t="s">
        <v>3</v>
      </c>
      <c r="I27" s="26" t="s">
        <v>3</v>
      </c>
      <c r="J27" s="26" t="s">
        <v>3</v>
      </c>
      <c r="K27" s="27" t="s">
        <v>7</v>
      </c>
      <c r="L27" s="28" t="s">
        <v>11</v>
      </c>
      <c r="M27" s="26" t="s">
        <v>3</v>
      </c>
      <c r="N27" s="26" t="s">
        <v>3</v>
      </c>
      <c r="O27" s="26" t="s">
        <v>3</v>
      </c>
      <c r="P27" s="26" t="s">
        <v>3</v>
      </c>
      <c r="Q27" s="26" t="s">
        <v>3</v>
      </c>
      <c r="R27" s="27" t="s">
        <v>7</v>
      </c>
      <c r="S27" s="28" t="s">
        <v>11</v>
      </c>
      <c r="T27" s="26" t="s">
        <v>3</v>
      </c>
      <c r="U27" s="26" t="s">
        <v>3</v>
      </c>
      <c r="V27" s="26" t="s">
        <v>3</v>
      </c>
      <c r="W27" s="26" t="s">
        <v>3</v>
      </c>
      <c r="X27" s="26" t="s">
        <v>3</v>
      </c>
      <c r="Y27" s="27" t="s">
        <v>7</v>
      </c>
      <c r="Z27" s="28" t="s">
        <v>11</v>
      </c>
      <c r="AA27" s="26" t="s">
        <v>3</v>
      </c>
      <c r="AB27" s="26" t="s">
        <v>3</v>
      </c>
      <c r="AC27" s="26" t="s">
        <v>3</v>
      </c>
      <c r="AD27" s="26" t="s">
        <v>3</v>
      </c>
      <c r="AE27" s="26" t="s">
        <v>3</v>
      </c>
      <c r="AF27" s="8">
        <f t="shared" si="8"/>
        <v>19</v>
      </c>
      <c r="AG27" s="8">
        <f t="shared" si="9"/>
        <v>1</v>
      </c>
      <c r="AH27" s="29">
        <f t="shared" si="10"/>
        <v>3</v>
      </c>
      <c r="AI27" s="62">
        <v>3</v>
      </c>
      <c r="AJ27" s="33">
        <f t="shared" si="11"/>
        <v>23.5</v>
      </c>
      <c r="AK27" s="63">
        <f t="shared" si="12"/>
        <v>160</v>
      </c>
      <c r="AL27" s="63">
        <f t="shared" si="13"/>
        <v>1</v>
      </c>
      <c r="AM27" s="63">
        <f t="shared" si="14"/>
        <v>4</v>
      </c>
      <c r="AN27" s="53">
        <f t="shared" si="15"/>
        <v>23</v>
      </c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</row>
    <row r="28" spans="1:53" ht="22" customHeight="1" x14ac:dyDescent="0.35">
      <c r="A28" s="8" t="s">
        <v>85</v>
      </c>
      <c r="B28" s="8" t="s">
        <v>86</v>
      </c>
      <c r="C28" s="8" t="s">
        <v>74</v>
      </c>
      <c r="D28" s="23" t="s">
        <v>7</v>
      </c>
      <c r="E28" s="24" t="s">
        <v>9</v>
      </c>
      <c r="F28" s="26" t="s">
        <v>3</v>
      </c>
      <c r="G28" s="26" t="s">
        <v>3</v>
      </c>
      <c r="H28" s="26" t="s">
        <v>3</v>
      </c>
      <c r="I28" s="26" t="s">
        <v>3</v>
      </c>
      <c r="J28" s="26" t="s">
        <v>3</v>
      </c>
      <c r="K28" s="27" t="s">
        <v>7</v>
      </c>
      <c r="L28" s="28" t="s">
        <v>11</v>
      </c>
      <c r="M28" s="26" t="s">
        <v>3</v>
      </c>
      <c r="N28" s="26" t="s">
        <v>3</v>
      </c>
      <c r="O28" s="26" t="s">
        <v>3</v>
      </c>
      <c r="P28" s="26" t="s">
        <v>3</v>
      </c>
      <c r="Q28" s="26" t="s">
        <v>3</v>
      </c>
      <c r="R28" s="27" t="s">
        <v>7</v>
      </c>
      <c r="S28" s="24" t="s">
        <v>9</v>
      </c>
      <c r="T28" s="26" t="s">
        <v>3</v>
      </c>
      <c r="U28" s="26" t="s">
        <v>3</v>
      </c>
      <c r="V28" s="26" t="s">
        <v>3</v>
      </c>
      <c r="W28" s="26" t="s">
        <v>3</v>
      </c>
      <c r="X28" s="26" t="s">
        <v>3</v>
      </c>
      <c r="Y28" s="27" t="s">
        <v>7</v>
      </c>
      <c r="Z28" s="28" t="s">
        <v>11</v>
      </c>
      <c r="AA28" s="26" t="s">
        <v>3</v>
      </c>
      <c r="AB28" s="26" t="s">
        <v>3</v>
      </c>
      <c r="AC28" s="26" t="s">
        <v>3</v>
      </c>
      <c r="AD28" s="26" t="s">
        <v>3</v>
      </c>
      <c r="AE28" s="26" t="s">
        <v>3</v>
      </c>
      <c r="AF28" s="8">
        <f t="shared" si="8"/>
        <v>20</v>
      </c>
      <c r="AG28" s="8">
        <f t="shared" si="9"/>
        <v>0</v>
      </c>
      <c r="AH28" s="29">
        <f t="shared" si="10"/>
        <v>2</v>
      </c>
      <c r="AI28" s="62">
        <v>3</v>
      </c>
      <c r="AJ28" s="33">
        <f t="shared" si="11"/>
        <v>23.5</v>
      </c>
      <c r="AK28" s="63">
        <f t="shared" si="12"/>
        <v>160</v>
      </c>
      <c r="AL28" s="63">
        <f t="shared" si="13"/>
        <v>1</v>
      </c>
      <c r="AM28" s="63">
        <f t="shared" si="14"/>
        <v>4</v>
      </c>
      <c r="AN28" s="53">
        <f t="shared" si="15"/>
        <v>23</v>
      </c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</row>
    <row r="29" spans="1:53" ht="22" customHeight="1" x14ac:dyDescent="0.35">
      <c r="A29" s="8" t="s">
        <v>87</v>
      </c>
      <c r="B29" s="8" t="s">
        <v>88</v>
      </c>
      <c r="C29" s="8" t="s">
        <v>74</v>
      </c>
      <c r="D29" s="27" t="s">
        <v>7</v>
      </c>
      <c r="E29" s="28" t="s">
        <v>11</v>
      </c>
      <c r="F29" s="26" t="s">
        <v>3</v>
      </c>
      <c r="G29" s="26" t="s">
        <v>3</v>
      </c>
      <c r="H29" s="26" t="s">
        <v>3</v>
      </c>
      <c r="I29" s="26" t="s">
        <v>3</v>
      </c>
      <c r="J29" s="26" t="s">
        <v>3</v>
      </c>
      <c r="K29" s="23" t="s">
        <v>7</v>
      </c>
      <c r="L29" s="24" t="s">
        <v>9</v>
      </c>
      <c r="M29" s="22" t="s">
        <v>5</v>
      </c>
      <c r="N29" s="22" t="s">
        <v>5</v>
      </c>
      <c r="O29" s="22" t="s">
        <v>5</v>
      </c>
      <c r="P29" s="22" t="s">
        <v>5</v>
      </c>
      <c r="Q29" s="22" t="s">
        <v>5</v>
      </c>
      <c r="R29" s="23" t="s">
        <v>7</v>
      </c>
      <c r="S29" s="24" t="s">
        <v>9</v>
      </c>
      <c r="T29" s="22" t="s">
        <v>5</v>
      </c>
      <c r="U29" s="22" t="s">
        <v>5</v>
      </c>
      <c r="V29" s="22" t="s">
        <v>5</v>
      </c>
      <c r="W29" s="22" t="s">
        <v>5</v>
      </c>
      <c r="X29" s="22" t="s">
        <v>5</v>
      </c>
      <c r="Y29" s="23" t="s">
        <v>7</v>
      </c>
      <c r="Z29" s="24" t="s">
        <v>9</v>
      </c>
      <c r="AA29" s="22" t="s">
        <v>5</v>
      </c>
      <c r="AB29" s="22" t="s">
        <v>5</v>
      </c>
      <c r="AC29" s="22" t="s">
        <v>5</v>
      </c>
      <c r="AD29" s="22" t="s">
        <v>5</v>
      </c>
      <c r="AE29" s="26" t="s">
        <v>3</v>
      </c>
      <c r="AF29" s="8">
        <f t="shared" si="8"/>
        <v>6</v>
      </c>
      <c r="AG29" s="25">
        <f t="shared" si="9"/>
        <v>14</v>
      </c>
      <c r="AH29" s="29">
        <f t="shared" si="10"/>
        <v>1</v>
      </c>
      <c r="AI29" s="62">
        <v>1</v>
      </c>
      <c r="AJ29" s="33">
        <f t="shared" si="11"/>
        <v>7.5</v>
      </c>
      <c r="AK29" s="63">
        <f t="shared" si="12"/>
        <v>160</v>
      </c>
      <c r="AL29" s="63">
        <f t="shared" si="13"/>
        <v>1</v>
      </c>
      <c r="AM29" s="63">
        <f t="shared" si="14"/>
        <v>4</v>
      </c>
      <c r="AN29" s="53">
        <f t="shared" si="15"/>
        <v>7</v>
      </c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</row>
    <row r="30" spans="1:53" ht="22" customHeight="1" x14ac:dyDescent="0.35">
      <c r="A30" s="8" t="s">
        <v>89</v>
      </c>
      <c r="B30" s="8" t="s">
        <v>90</v>
      </c>
      <c r="C30" s="8" t="s">
        <v>74</v>
      </c>
      <c r="D30" s="23" t="s">
        <v>7</v>
      </c>
      <c r="E30" s="24" t="s">
        <v>9</v>
      </c>
      <c r="F30" s="22" t="s">
        <v>5</v>
      </c>
      <c r="G30" s="26" t="s">
        <v>3</v>
      </c>
      <c r="H30" s="26" t="s">
        <v>3</v>
      </c>
      <c r="I30" s="26" t="s">
        <v>3</v>
      </c>
      <c r="J30" s="26" t="s">
        <v>3</v>
      </c>
      <c r="K30" s="27" t="s">
        <v>7</v>
      </c>
      <c r="L30" s="28" t="s">
        <v>11</v>
      </c>
      <c r="M30" s="26" t="s">
        <v>3</v>
      </c>
      <c r="N30" s="26" t="s">
        <v>3</v>
      </c>
      <c r="O30" s="22" t="s">
        <v>5</v>
      </c>
      <c r="P30" s="22" t="s">
        <v>5</v>
      </c>
      <c r="Q30" s="26" t="s">
        <v>3</v>
      </c>
      <c r="R30" s="27" t="s">
        <v>7</v>
      </c>
      <c r="S30" s="28" t="s">
        <v>11</v>
      </c>
      <c r="T30" s="26" t="s">
        <v>3</v>
      </c>
      <c r="U30" s="26" t="s">
        <v>3</v>
      </c>
      <c r="V30" s="26" t="s">
        <v>3</v>
      </c>
      <c r="W30" s="26" t="s">
        <v>3</v>
      </c>
      <c r="X30" s="26" t="s">
        <v>3</v>
      </c>
      <c r="Y30" s="23" t="s">
        <v>7</v>
      </c>
      <c r="Z30" s="24" t="s">
        <v>9</v>
      </c>
      <c r="AA30" s="26" t="s">
        <v>3</v>
      </c>
      <c r="AB30" s="26" t="s">
        <v>3</v>
      </c>
      <c r="AC30" s="26" t="s">
        <v>3</v>
      </c>
      <c r="AD30" s="26" t="s">
        <v>3</v>
      </c>
      <c r="AE30" s="26" t="s">
        <v>3</v>
      </c>
      <c r="AF30" s="8">
        <f t="shared" si="8"/>
        <v>17</v>
      </c>
      <c r="AG30" s="8">
        <f t="shared" si="9"/>
        <v>3</v>
      </c>
      <c r="AH30" s="29">
        <f t="shared" si="10"/>
        <v>2</v>
      </c>
      <c r="AI30" s="62">
        <v>2</v>
      </c>
      <c r="AJ30" s="33">
        <f t="shared" si="11"/>
        <v>20</v>
      </c>
      <c r="AK30" s="63">
        <f t="shared" si="12"/>
        <v>160</v>
      </c>
      <c r="AL30" s="63">
        <f t="shared" si="13"/>
        <v>2</v>
      </c>
      <c r="AM30" s="63">
        <f t="shared" si="14"/>
        <v>8</v>
      </c>
      <c r="AN30" s="53">
        <f t="shared" si="15"/>
        <v>19</v>
      </c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</row>
    <row r="31" spans="1:53" ht="22" customHeight="1" x14ac:dyDescent="0.35">
      <c r="A31" s="8" t="s">
        <v>91</v>
      </c>
      <c r="B31" s="8" t="s">
        <v>92</v>
      </c>
      <c r="C31" s="8" t="s">
        <v>74</v>
      </c>
      <c r="D31" s="27" t="s">
        <v>7</v>
      </c>
      <c r="E31" s="28" t="s">
        <v>11</v>
      </c>
      <c r="F31" s="26" t="s">
        <v>3</v>
      </c>
      <c r="G31" s="26" t="s">
        <v>3</v>
      </c>
      <c r="H31" s="26" t="s">
        <v>3</v>
      </c>
      <c r="I31" s="26" t="s">
        <v>3</v>
      </c>
      <c r="J31" s="26" t="s">
        <v>3</v>
      </c>
      <c r="K31" s="23" t="s">
        <v>7</v>
      </c>
      <c r="L31" s="24" t="s">
        <v>9</v>
      </c>
      <c r="M31" s="22" t="s">
        <v>5</v>
      </c>
      <c r="N31" s="22" t="s">
        <v>5</v>
      </c>
      <c r="O31" s="22" t="s">
        <v>5</v>
      </c>
      <c r="P31" s="22" t="s">
        <v>5</v>
      </c>
      <c r="Q31" s="22" t="s">
        <v>5</v>
      </c>
      <c r="R31" s="23" t="s">
        <v>7</v>
      </c>
      <c r="S31" s="24" t="s">
        <v>9</v>
      </c>
      <c r="T31" s="22" t="s">
        <v>5</v>
      </c>
      <c r="U31" s="22" t="s">
        <v>5</v>
      </c>
      <c r="V31" s="22" t="s">
        <v>5</v>
      </c>
      <c r="W31" s="22" t="s">
        <v>5</v>
      </c>
      <c r="X31" s="22" t="s">
        <v>5</v>
      </c>
      <c r="Y31" s="23" t="s">
        <v>7</v>
      </c>
      <c r="Z31" s="24" t="s">
        <v>9</v>
      </c>
      <c r="AA31" s="22" t="s">
        <v>5</v>
      </c>
      <c r="AB31" s="22" t="s">
        <v>5</v>
      </c>
      <c r="AC31" s="26" t="s">
        <v>3</v>
      </c>
      <c r="AD31" s="26" t="s">
        <v>3</v>
      </c>
      <c r="AE31" s="26" t="s">
        <v>3</v>
      </c>
      <c r="AF31" s="8">
        <f t="shared" si="8"/>
        <v>8</v>
      </c>
      <c r="AG31" s="25">
        <f t="shared" si="9"/>
        <v>12</v>
      </c>
      <c r="AH31" s="29">
        <f t="shared" si="10"/>
        <v>1</v>
      </c>
      <c r="AI31" s="62">
        <v>1</v>
      </c>
      <c r="AJ31" s="33">
        <f t="shared" si="11"/>
        <v>9.5</v>
      </c>
      <c r="AK31" s="63">
        <f t="shared" si="12"/>
        <v>160</v>
      </c>
      <c r="AL31" s="63">
        <f t="shared" si="13"/>
        <v>1</v>
      </c>
      <c r="AM31" s="63">
        <f t="shared" si="14"/>
        <v>4</v>
      </c>
      <c r="AN31" s="53">
        <f t="shared" si="15"/>
        <v>9</v>
      </c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</row>
    <row r="32" spans="1:53" ht="22" customHeight="1" x14ac:dyDescent="0.35">
      <c r="A32" s="8" t="s">
        <v>93</v>
      </c>
      <c r="B32" s="8" t="s">
        <v>94</v>
      </c>
      <c r="C32" s="8" t="s">
        <v>74</v>
      </c>
      <c r="D32" s="23" t="s">
        <v>7</v>
      </c>
      <c r="E32" s="24" t="s">
        <v>9</v>
      </c>
      <c r="F32" s="22" t="s">
        <v>5</v>
      </c>
      <c r="G32" s="26" t="s">
        <v>3</v>
      </c>
      <c r="H32" s="26" t="s">
        <v>3</v>
      </c>
      <c r="I32" s="26" t="s">
        <v>3</v>
      </c>
      <c r="J32" s="26" t="s">
        <v>3</v>
      </c>
      <c r="K32" s="27" t="s">
        <v>7</v>
      </c>
      <c r="L32" s="28" t="s">
        <v>11</v>
      </c>
      <c r="M32" s="26" t="s">
        <v>3</v>
      </c>
      <c r="N32" s="26" t="s">
        <v>3</v>
      </c>
      <c r="O32" s="26" t="s">
        <v>3</v>
      </c>
      <c r="P32" s="26" t="s">
        <v>3</v>
      </c>
      <c r="Q32" s="26" t="s">
        <v>3</v>
      </c>
      <c r="R32" s="27" t="s">
        <v>7</v>
      </c>
      <c r="S32" s="24" t="s">
        <v>9</v>
      </c>
      <c r="T32" s="22" t="s">
        <v>5</v>
      </c>
      <c r="U32" s="22" t="s">
        <v>5</v>
      </c>
      <c r="V32" s="22" t="s">
        <v>5</v>
      </c>
      <c r="W32" s="22" t="s">
        <v>5</v>
      </c>
      <c r="X32" s="26" t="s">
        <v>3</v>
      </c>
      <c r="Y32" s="27" t="s">
        <v>7</v>
      </c>
      <c r="Z32" s="28" t="s">
        <v>11</v>
      </c>
      <c r="AA32" s="26" t="s">
        <v>3</v>
      </c>
      <c r="AB32" s="26" t="s">
        <v>3</v>
      </c>
      <c r="AC32" s="26" t="s">
        <v>3</v>
      </c>
      <c r="AD32" s="26" t="s">
        <v>3</v>
      </c>
      <c r="AE32" s="26" t="s">
        <v>3</v>
      </c>
      <c r="AF32" s="8">
        <f t="shared" si="8"/>
        <v>15</v>
      </c>
      <c r="AG32" s="8">
        <f t="shared" si="9"/>
        <v>5</v>
      </c>
      <c r="AH32" s="29">
        <f t="shared" si="10"/>
        <v>2</v>
      </c>
      <c r="AI32" s="62">
        <v>3</v>
      </c>
      <c r="AJ32" s="33">
        <f t="shared" si="11"/>
        <v>18.5</v>
      </c>
      <c r="AK32" s="63">
        <f t="shared" si="12"/>
        <v>160</v>
      </c>
      <c r="AL32" s="63">
        <f t="shared" si="13"/>
        <v>1</v>
      </c>
      <c r="AM32" s="63">
        <f t="shared" si="14"/>
        <v>4</v>
      </c>
      <c r="AN32" s="53">
        <f t="shared" si="15"/>
        <v>18</v>
      </c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</row>
    <row r="33" spans="1:53" ht="22" customHeight="1" x14ac:dyDescent="0.35">
      <c r="A33" s="8" t="s">
        <v>95</v>
      </c>
      <c r="B33" s="8" t="s">
        <v>96</v>
      </c>
      <c r="C33" s="8" t="s">
        <v>74</v>
      </c>
      <c r="D33" s="23" t="s">
        <v>7</v>
      </c>
      <c r="E33" s="24" t="s">
        <v>9</v>
      </c>
      <c r="F33" s="22" t="s">
        <v>5</v>
      </c>
      <c r="G33" s="22" t="s">
        <v>5</v>
      </c>
      <c r="H33" s="22" t="s">
        <v>5</v>
      </c>
      <c r="I33" s="22" t="s">
        <v>5</v>
      </c>
      <c r="J33" s="22" t="s">
        <v>5</v>
      </c>
      <c r="K33" s="23" t="s">
        <v>7</v>
      </c>
      <c r="L33" s="24" t="s">
        <v>9</v>
      </c>
      <c r="M33" s="22" t="s">
        <v>5</v>
      </c>
      <c r="N33" s="22" t="s">
        <v>5</v>
      </c>
      <c r="O33" s="22" t="s">
        <v>5</v>
      </c>
      <c r="P33" s="22" t="s">
        <v>5</v>
      </c>
      <c r="Q33" s="22" t="s">
        <v>5</v>
      </c>
      <c r="R33" s="23" t="s">
        <v>7</v>
      </c>
      <c r="S33" s="24" t="s">
        <v>9</v>
      </c>
      <c r="T33" s="22" t="s">
        <v>5</v>
      </c>
      <c r="U33" s="22" t="s">
        <v>5</v>
      </c>
      <c r="V33" s="22" t="s">
        <v>5</v>
      </c>
      <c r="W33" s="22" t="s">
        <v>5</v>
      </c>
      <c r="X33" s="22" t="s">
        <v>5</v>
      </c>
      <c r="Y33" s="23" t="s">
        <v>7</v>
      </c>
      <c r="Z33" s="24" t="s">
        <v>9</v>
      </c>
      <c r="AA33" s="22" t="s">
        <v>5</v>
      </c>
      <c r="AB33" s="22" t="s">
        <v>5</v>
      </c>
      <c r="AC33" s="22" t="s">
        <v>5</v>
      </c>
      <c r="AD33" s="22" t="s">
        <v>5</v>
      </c>
      <c r="AE33" s="22" t="s">
        <v>5</v>
      </c>
      <c r="AF33" s="8">
        <f t="shared" si="8"/>
        <v>0</v>
      </c>
      <c r="AG33" s="25">
        <f t="shared" si="9"/>
        <v>20</v>
      </c>
      <c r="AH33" s="8">
        <f t="shared" si="10"/>
        <v>0</v>
      </c>
      <c r="AI33" s="62">
        <v>0</v>
      </c>
      <c r="AJ33" s="33">
        <f t="shared" si="11"/>
        <v>0</v>
      </c>
      <c r="AK33" s="63">
        <f t="shared" si="12"/>
        <v>160</v>
      </c>
      <c r="AL33" s="63">
        <f t="shared" si="13"/>
        <v>0</v>
      </c>
      <c r="AM33" s="63">
        <f t="shared" si="14"/>
        <v>0</v>
      </c>
      <c r="AN33" s="53">
        <f t="shared" si="15"/>
        <v>0</v>
      </c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</row>
    <row r="34" spans="1:53" ht="22" customHeight="1" x14ac:dyDescent="0.35">
      <c r="A34" s="8" t="s">
        <v>97</v>
      </c>
      <c r="B34" s="8" t="s">
        <v>98</v>
      </c>
      <c r="C34" s="8" t="s">
        <v>74</v>
      </c>
      <c r="D34" s="23" t="s">
        <v>7</v>
      </c>
      <c r="E34" s="24" t="s">
        <v>9</v>
      </c>
      <c r="F34" s="22" t="s">
        <v>5</v>
      </c>
      <c r="G34" s="22" t="s">
        <v>5</v>
      </c>
      <c r="H34" s="22" t="s">
        <v>5</v>
      </c>
      <c r="I34" s="22" t="s">
        <v>5</v>
      </c>
      <c r="J34" s="22" t="s">
        <v>5</v>
      </c>
      <c r="K34" s="23" t="s">
        <v>7</v>
      </c>
      <c r="L34" s="24" t="s">
        <v>9</v>
      </c>
      <c r="M34" s="22" t="s">
        <v>5</v>
      </c>
      <c r="N34" s="22" t="s">
        <v>5</v>
      </c>
      <c r="O34" s="22" t="s">
        <v>5</v>
      </c>
      <c r="P34" s="22" t="s">
        <v>5</v>
      </c>
      <c r="Q34" s="22" t="s">
        <v>5</v>
      </c>
      <c r="R34" s="23" t="s">
        <v>7</v>
      </c>
      <c r="S34" s="24" t="s">
        <v>9</v>
      </c>
      <c r="T34" s="22" t="s">
        <v>5</v>
      </c>
      <c r="U34" s="22" t="s">
        <v>5</v>
      </c>
      <c r="V34" s="22" t="s">
        <v>5</v>
      </c>
      <c r="W34" s="22" t="s">
        <v>5</v>
      </c>
      <c r="X34" s="22" t="s">
        <v>5</v>
      </c>
      <c r="Y34" s="23" t="s">
        <v>7</v>
      </c>
      <c r="Z34" s="24" t="s">
        <v>9</v>
      </c>
      <c r="AA34" s="22" t="s">
        <v>5</v>
      </c>
      <c r="AB34" s="22" t="s">
        <v>5</v>
      </c>
      <c r="AC34" s="22" t="s">
        <v>5</v>
      </c>
      <c r="AD34" s="22" t="s">
        <v>5</v>
      </c>
      <c r="AE34" s="22" t="s">
        <v>5</v>
      </c>
      <c r="AF34" s="8">
        <f t="shared" si="8"/>
        <v>0</v>
      </c>
      <c r="AG34" s="25">
        <f t="shared" si="9"/>
        <v>20</v>
      </c>
      <c r="AH34" s="8">
        <f t="shared" si="10"/>
        <v>0</v>
      </c>
      <c r="AI34" s="62">
        <v>0</v>
      </c>
      <c r="AJ34" s="33">
        <f t="shared" si="11"/>
        <v>0</v>
      </c>
      <c r="AK34" s="63">
        <f t="shared" si="12"/>
        <v>160</v>
      </c>
      <c r="AL34" s="63">
        <f t="shared" si="13"/>
        <v>0</v>
      </c>
      <c r="AM34" s="63">
        <f t="shared" si="14"/>
        <v>0</v>
      </c>
      <c r="AN34" s="53">
        <f t="shared" si="15"/>
        <v>0</v>
      </c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</row>
    <row r="35" spans="1:53" ht="22" customHeight="1" x14ac:dyDescent="0.35">
      <c r="A35" s="8" t="s">
        <v>99</v>
      </c>
      <c r="B35" s="8" t="s">
        <v>100</v>
      </c>
      <c r="C35" s="8" t="s">
        <v>74</v>
      </c>
      <c r="D35" s="27" t="s">
        <v>7</v>
      </c>
      <c r="E35" s="24" t="s">
        <v>9</v>
      </c>
      <c r="F35" s="26" t="s">
        <v>3</v>
      </c>
      <c r="G35" s="26" t="s">
        <v>3</v>
      </c>
      <c r="H35" s="26" t="s">
        <v>3</v>
      </c>
      <c r="I35" s="26" t="s">
        <v>3</v>
      </c>
      <c r="J35" s="26" t="s">
        <v>3</v>
      </c>
      <c r="K35" s="27" t="s">
        <v>7</v>
      </c>
      <c r="L35" s="24" t="s">
        <v>9</v>
      </c>
      <c r="M35" s="26" t="s">
        <v>3</v>
      </c>
      <c r="N35" s="26" t="s">
        <v>3</v>
      </c>
      <c r="O35" s="26" t="s">
        <v>3</v>
      </c>
      <c r="P35" s="26" t="s">
        <v>3</v>
      </c>
      <c r="Q35" s="26" t="s">
        <v>3</v>
      </c>
      <c r="R35" s="27" t="s">
        <v>7</v>
      </c>
      <c r="S35" s="24" t="s">
        <v>9</v>
      </c>
      <c r="T35" s="26" t="s">
        <v>3</v>
      </c>
      <c r="U35" s="26" t="s">
        <v>3</v>
      </c>
      <c r="V35" s="26" t="s">
        <v>3</v>
      </c>
      <c r="W35" s="26" t="s">
        <v>3</v>
      </c>
      <c r="X35" s="26" t="s">
        <v>3</v>
      </c>
      <c r="Y35" s="27" t="s">
        <v>7</v>
      </c>
      <c r="Z35" s="24" t="s">
        <v>9</v>
      </c>
      <c r="AA35" s="26" t="s">
        <v>3</v>
      </c>
      <c r="AB35" s="26" t="s">
        <v>3</v>
      </c>
      <c r="AC35" s="26" t="s">
        <v>3</v>
      </c>
      <c r="AD35" s="26" t="s">
        <v>3</v>
      </c>
      <c r="AE35" s="26" t="s">
        <v>3</v>
      </c>
      <c r="AF35" s="8">
        <f t="shared" si="8"/>
        <v>20</v>
      </c>
      <c r="AG35" s="8">
        <f t="shared" si="9"/>
        <v>0</v>
      </c>
      <c r="AH35" s="8">
        <f t="shared" si="10"/>
        <v>0</v>
      </c>
      <c r="AI35" s="62">
        <v>4</v>
      </c>
      <c r="AJ35" s="33">
        <f t="shared" si="11"/>
        <v>22</v>
      </c>
      <c r="AK35" s="63">
        <f t="shared" si="12"/>
        <v>160</v>
      </c>
      <c r="AL35" s="63">
        <f t="shared" si="13"/>
        <v>0</v>
      </c>
      <c r="AM35" s="63">
        <f t="shared" si="14"/>
        <v>0</v>
      </c>
      <c r="AN35" s="53">
        <f t="shared" si="15"/>
        <v>22</v>
      </c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</row>
    <row r="36" spans="1:53" x14ac:dyDescent="0.35"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spans="1:53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spans="1:53" ht="22" customHeight="1" x14ac:dyDescent="0.35">
      <c r="A38" s="8" t="s">
        <v>102</v>
      </c>
      <c r="B38" s="8" t="s">
        <v>103</v>
      </c>
      <c r="C38" s="8" t="s">
        <v>104</v>
      </c>
      <c r="D38" s="27" t="s">
        <v>7</v>
      </c>
      <c r="E38" s="28" t="s">
        <v>11</v>
      </c>
      <c r="F38" s="26" t="s">
        <v>3</v>
      </c>
      <c r="G38" s="26" t="s">
        <v>3</v>
      </c>
      <c r="H38" s="26" t="s">
        <v>3</v>
      </c>
      <c r="I38" s="26" t="s">
        <v>3</v>
      </c>
      <c r="J38" s="26" t="s">
        <v>3</v>
      </c>
      <c r="K38" s="27" t="s">
        <v>7</v>
      </c>
      <c r="L38" s="28" t="s">
        <v>11</v>
      </c>
      <c r="M38" s="26" t="s">
        <v>3</v>
      </c>
      <c r="N38" s="26" t="s">
        <v>3</v>
      </c>
      <c r="O38" s="22" t="s">
        <v>5</v>
      </c>
      <c r="P38" s="26" t="s">
        <v>3</v>
      </c>
      <c r="Q38" s="26" t="s">
        <v>3</v>
      </c>
      <c r="R38" s="27" t="s">
        <v>7</v>
      </c>
      <c r="S38" s="28" t="s">
        <v>11</v>
      </c>
      <c r="T38" s="26" t="s">
        <v>3</v>
      </c>
      <c r="U38" s="26" t="s">
        <v>3</v>
      </c>
      <c r="V38" s="26" t="s">
        <v>3</v>
      </c>
      <c r="W38" s="26" t="s">
        <v>3</v>
      </c>
      <c r="X38" s="26" t="s">
        <v>3</v>
      </c>
      <c r="Y38" s="27" t="s">
        <v>7</v>
      </c>
      <c r="Z38" s="28" t="s">
        <v>11</v>
      </c>
      <c r="AA38" s="26" t="s">
        <v>3</v>
      </c>
      <c r="AB38" s="26" t="s">
        <v>3</v>
      </c>
      <c r="AC38" s="26" t="s">
        <v>3</v>
      </c>
      <c r="AD38" s="26" t="s">
        <v>3</v>
      </c>
      <c r="AE38" s="26" t="s">
        <v>3</v>
      </c>
      <c r="AF38" s="8">
        <f t="shared" ref="AF38:AF74" si="16">COUNTIF(D38:AE38,"ON")</f>
        <v>19</v>
      </c>
      <c r="AG38" s="8">
        <f t="shared" ref="AG38:AG74" si="17">COUNTIF(D38:AE38,"OFF")</f>
        <v>1</v>
      </c>
      <c r="AH38" s="29">
        <f t="shared" ref="AH38:AH74" si="18">COUNTIF(D38:AE38,"OT")</f>
        <v>4</v>
      </c>
      <c r="AI38" s="62">
        <v>4</v>
      </c>
      <c r="AJ38" s="33">
        <f t="shared" ref="AJ38:AJ74" si="19">AF38+AH38+AI38*0.5</f>
        <v>25</v>
      </c>
      <c r="AK38" s="63">
        <f t="shared" ref="AK38:AK74" si="20">NETWORKDAYS(DATE(2025,2,1),EOMONTH(DATE(2025,2,1),0))*8</f>
        <v>160</v>
      </c>
      <c r="AL38" s="63">
        <f t="shared" ref="AL38:AL74" si="21">MAX(0,COUNTIF(J38,"ON")+COUNTIF(Q38,"ON")+COUNTIF(X38,"ON")+COUNTIF(AE38,"ON")-AI38)</f>
        <v>0</v>
      </c>
      <c r="AM38" s="63">
        <f t="shared" ref="AM38:AM74" si="22">AL38*$AM$2</f>
        <v>0</v>
      </c>
      <c r="AN38" s="53">
        <f t="shared" ref="AN38:AN74" si="23">AJ38-AM38/8</f>
        <v>25</v>
      </c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spans="1:53" ht="22" customHeight="1" x14ac:dyDescent="0.35">
      <c r="A39" s="8" t="s">
        <v>105</v>
      </c>
      <c r="B39" s="8" t="s">
        <v>106</v>
      </c>
      <c r="C39" s="8" t="s">
        <v>104</v>
      </c>
      <c r="D39" s="27" t="s">
        <v>7</v>
      </c>
      <c r="E39" s="28" t="s">
        <v>11</v>
      </c>
      <c r="F39" s="26" t="s">
        <v>3</v>
      </c>
      <c r="G39" s="26" t="s">
        <v>3</v>
      </c>
      <c r="H39" s="26" t="s">
        <v>3</v>
      </c>
      <c r="I39" s="26" t="s">
        <v>3</v>
      </c>
      <c r="J39" s="26" t="s">
        <v>3</v>
      </c>
      <c r="K39" s="27" t="s">
        <v>7</v>
      </c>
      <c r="L39" s="28" t="s">
        <v>11</v>
      </c>
      <c r="M39" s="26" t="s">
        <v>3</v>
      </c>
      <c r="N39" s="26" t="s">
        <v>3</v>
      </c>
      <c r="O39" s="22" t="s">
        <v>5</v>
      </c>
      <c r="P39" s="22" t="s">
        <v>5</v>
      </c>
      <c r="Q39" s="22" t="s">
        <v>5</v>
      </c>
      <c r="R39" s="27" t="s">
        <v>7</v>
      </c>
      <c r="S39" s="28" t="s">
        <v>11</v>
      </c>
      <c r="T39" s="22" t="s">
        <v>5</v>
      </c>
      <c r="U39" s="26" t="s">
        <v>3</v>
      </c>
      <c r="V39" s="26" t="s">
        <v>3</v>
      </c>
      <c r="W39" s="26" t="s">
        <v>3</v>
      </c>
      <c r="X39" s="26" t="s">
        <v>3</v>
      </c>
      <c r="Y39" s="27" t="s">
        <v>7</v>
      </c>
      <c r="Z39" s="28" t="s">
        <v>11</v>
      </c>
      <c r="AA39" s="26" t="s">
        <v>3</v>
      </c>
      <c r="AB39" s="26" t="s">
        <v>3</v>
      </c>
      <c r="AC39" s="26" t="s">
        <v>3</v>
      </c>
      <c r="AD39" s="26" t="s">
        <v>3</v>
      </c>
      <c r="AE39" s="26" t="s">
        <v>3</v>
      </c>
      <c r="AF39" s="8">
        <f t="shared" si="16"/>
        <v>16</v>
      </c>
      <c r="AG39" s="8">
        <f t="shared" si="17"/>
        <v>4</v>
      </c>
      <c r="AH39" s="29">
        <f t="shared" si="18"/>
        <v>4</v>
      </c>
      <c r="AI39" s="62">
        <v>4</v>
      </c>
      <c r="AJ39" s="33">
        <f t="shared" si="19"/>
        <v>22</v>
      </c>
      <c r="AK39" s="63">
        <f t="shared" si="20"/>
        <v>160</v>
      </c>
      <c r="AL39" s="63">
        <f t="shared" si="21"/>
        <v>0</v>
      </c>
      <c r="AM39" s="63">
        <f t="shared" si="22"/>
        <v>0</v>
      </c>
      <c r="AN39" s="53">
        <f t="shared" si="23"/>
        <v>22</v>
      </c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spans="1:53" ht="22" customHeight="1" x14ac:dyDescent="0.35">
      <c r="A40" s="8" t="s">
        <v>107</v>
      </c>
      <c r="B40" s="8" t="s">
        <v>108</v>
      </c>
      <c r="C40" s="8" t="s">
        <v>104</v>
      </c>
      <c r="D40" s="27" t="s">
        <v>7</v>
      </c>
      <c r="E40" s="24" t="s">
        <v>9</v>
      </c>
      <c r="F40" s="26" t="s">
        <v>3</v>
      </c>
      <c r="G40" s="26" t="s">
        <v>3</v>
      </c>
      <c r="H40" s="26" t="s">
        <v>3</v>
      </c>
      <c r="I40" s="26" t="s">
        <v>3</v>
      </c>
      <c r="J40" s="26" t="s">
        <v>3</v>
      </c>
      <c r="K40" s="27" t="s">
        <v>7</v>
      </c>
      <c r="L40" s="28" t="s">
        <v>11</v>
      </c>
      <c r="M40" s="26" t="s">
        <v>3</v>
      </c>
      <c r="N40" s="26" t="s">
        <v>3</v>
      </c>
      <c r="O40" s="26" t="s">
        <v>3</v>
      </c>
      <c r="P40" s="26" t="s">
        <v>3</v>
      </c>
      <c r="Q40" s="26" t="s">
        <v>3</v>
      </c>
      <c r="R40" s="27" t="s">
        <v>7</v>
      </c>
      <c r="S40" s="28" t="s">
        <v>11</v>
      </c>
      <c r="T40" s="26" t="s">
        <v>3</v>
      </c>
      <c r="U40" s="26" t="s">
        <v>3</v>
      </c>
      <c r="V40" s="26" t="s">
        <v>3</v>
      </c>
      <c r="W40" s="26" t="s">
        <v>3</v>
      </c>
      <c r="X40" s="26" t="s">
        <v>3</v>
      </c>
      <c r="Y40" s="27" t="s">
        <v>7</v>
      </c>
      <c r="Z40" s="28" t="s">
        <v>11</v>
      </c>
      <c r="AA40" s="26" t="s">
        <v>3</v>
      </c>
      <c r="AB40" s="26" t="s">
        <v>3</v>
      </c>
      <c r="AC40" s="26" t="s">
        <v>3</v>
      </c>
      <c r="AD40" s="26" t="s">
        <v>3</v>
      </c>
      <c r="AE40" s="26" t="s">
        <v>3</v>
      </c>
      <c r="AF40" s="8">
        <f t="shared" si="16"/>
        <v>20</v>
      </c>
      <c r="AG40" s="8">
        <f t="shared" si="17"/>
        <v>0</v>
      </c>
      <c r="AH40" s="29">
        <f t="shared" si="18"/>
        <v>3</v>
      </c>
      <c r="AI40" s="62">
        <v>4</v>
      </c>
      <c r="AJ40" s="33">
        <f t="shared" si="19"/>
        <v>25</v>
      </c>
      <c r="AK40" s="63">
        <f t="shared" si="20"/>
        <v>160</v>
      </c>
      <c r="AL40" s="63">
        <f t="shared" si="21"/>
        <v>0</v>
      </c>
      <c r="AM40" s="63">
        <f t="shared" si="22"/>
        <v>0</v>
      </c>
      <c r="AN40" s="53">
        <f t="shared" si="23"/>
        <v>25</v>
      </c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spans="1:53" ht="22" customHeight="1" x14ac:dyDescent="0.35">
      <c r="A41" s="8" t="s">
        <v>109</v>
      </c>
      <c r="B41" s="8" t="s">
        <v>110</v>
      </c>
      <c r="C41" s="8" t="s">
        <v>104</v>
      </c>
      <c r="D41" s="23" t="s">
        <v>7</v>
      </c>
      <c r="E41" s="24" t="s">
        <v>9</v>
      </c>
      <c r="F41" s="26" t="s">
        <v>3</v>
      </c>
      <c r="G41" s="26" t="s">
        <v>3</v>
      </c>
      <c r="H41" s="26" t="s">
        <v>3</v>
      </c>
      <c r="I41" s="26" t="s">
        <v>3</v>
      </c>
      <c r="J41" s="26" t="s">
        <v>3</v>
      </c>
      <c r="K41" s="23" t="s">
        <v>7</v>
      </c>
      <c r="L41" s="24" t="s">
        <v>9</v>
      </c>
      <c r="M41" s="22" t="s">
        <v>5</v>
      </c>
      <c r="N41" s="26" t="s">
        <v>3</v>
      </c>
      <c r="O41" s="26" t="s">
        <v>3</v>
      </c>
      <c r="P41" s="26" t="s">
        <v>3</v>
      </c>
      <c r="Q41" s="26" t="s">
        <v>3</v>
      </c>
      <c r="R41" s="27" t="s">
        <v>7</v>
      </c>
      <c r="S41" s="24" t="s">
        <v>9</v>
      </c>
      <c r="T41" s="26" t="s">
        <v>3</v>
      </c>
      <c r="U41" s="26" t="s">
        <v>3</v>
      </c>
      <c r="V41" s="26" t="s">
        <v>3</v>
      </c>
      <c r="W41" s="26" t="s">
        <v>3</v>
      </c>
      <c r="X41" s="26" t="s">
        <v>3</v>
      </c>
      <c r="Y41" s="27" t="s">
        <v>7</v>
      </c>
      <c r="Z41" s="28" t="s">
        <v>11</v>
      </c>
      <c r="AA41" s="26" t="s">
        <v>3</v>
      </c>
      <c r="AB41" s="26" t="s">
        <v>3</v>
      </c>
      <c r="AC41" s="26" t="s">
        <v>3</v>
      </c>
      <c r="AD41" s="26" t="s">
        <v>3</v>
      </c>
      <c r="AE41" s="26" t="s">
        <v>3</v>
      </c>
      <c r="AF41" s="8">
        <f t="shared" si="16"/>
        <v>19</v>
      </c>
      <c r="AG41" s="8">
        <f t="shared" si="17"/>
        <v>1</v>
      </c>
      <c r="AH41" s="29">
        <f t="shared" si="18"/>
        <v>1</v>
      </c>
      <c r="AI41" s="62">
        <v>2</v>
      </c>
      <c r="AJ41" s="33">
        <f t="shared" si="19"/>
        <v>21</v>
      </c>
      <c r="AK41" s="63">
        <f t="shared" si="20"/>
        <v>160</v>
      </c>
      <c r="AL41" s="63">
        <f t="shared" si="21"/>
        <v>2</v>
      </c>
      <c r="AM41" s="63">
        <f t="shared" si="22"/>
        <v>8</v>
      </c>
      <c r="AN41" s="53">
        <f t="shared" si="23"/>
        <v>20</v>
      </c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spans="1:53" ht="22" customHeight="1" x14ac:dyDescent="0.35">
      <c r="A42" s="8" t="s">
        <v>111</v>
      </c>
      <c r="B42" s="8" t="s">
        <v>112</v>
      </c>
      <c r="C42" s="8" t="s">
        <v>104</v>
      </c>
      <c r="D42" s="23" t="s">
        <v>7</v>
      </c>
      <c r="E42" s="24" t="s">
        <v>9</v>
      </c>
      <c r="F42" s="22" t="s">
        <v>5</v>
      </c>
      <c r="G42" s="22" t="s">
        <v>5</v>
      </c>
      <c r="H42" s="22" t="s">
        <v>5</v>
      </c>
      <c r="I42" s="22" t="s">
        <v>5</v>
      </c>
      <c r="J42" s="22" t="s">
        <v>5</v>
      </c>
      <c r="K42" s="23" t="s">
        <v>7</v>
      </c>
      <c r="L42" s="24" t="s">
        <v>9</v>
      </c>
      <c r="M42" s="22" t="s">
        <v>5</v>
      </c>
      <c r="N42" s="22" t="s">
        <v>5</v>
      </c>
      <c r="O42" s="26" t="s">
        <v>3</v>
      </c>
      <c r="P42" s="26" t="s">
        <v>3</v>
      </c>
      <c r="Q42" s="26" t="s">
        <v>3</v>
      </c>
      <c r="R42" s="27" t="s">
        <v>7</v>
      </c>
      <c r="S42" s="28" t="s">
        <v>11</v>
      </c>
      <c r="T42" s="26" t="s">
        <v>3</v>
      </c>
      <c r="U42" s="26" t="s">
        <v>3</v>
      </c>
      <c r="V42" s="26" t="s">
        <v>3</v>
      </c>
      <c r="W42" s="26" t="s">
        <v>3</v>
      </c>
      <c r="X42" s="26" t="s">
        <v>3</v>
      </c>
      <c r="Y42" s="27" t="s">
        <v>7</v>
      </c>
      <c r="Z42" s="28" t="s">
        <v>11</v>
      </c>
      <c r="AA42" s="26" t="s">
        <v>3</v>
      </c>
      <c r="AB42" s="26" t="s">
        <v>3</v>
      </c>
      <c r="AC42" s="26" t="s">
        <v>3</v>
      </c>
      <c r="AD42" s="26" t="s">
        <v>3</v>
      </c>
      <c r="AE42" s="26" t="s">
        <v>3</v>
      </c>
      <c r="AF42" s="8">
        <f t="shared" si="16"/>
        <v>13</v>
      </c>
      <c r="AG42" s="8">
        <f t="shared" si="17"/>
        <v>7</v>
      </c>
      <c r="AH42" s="29">
        <f t="shared" si="18"/>
        <v>2</v>
      </c>
      <c r="AI42" s="62">
        <v>2</v>
      </c>
      <c r="AJ42" s="33">
        <f t="shared" si="19"/>
        <v>16</v>
      </c>
      <c r="AK42" s="63">
        <f t="shared" si="20"/>
        <v>160</v>
      </c>
      <c r="AL42" s="63">
        <f t="shared" si="21"/>
        <v>1</v>
      </c>
      <c r="AM42" s="63">
        <f t="shared" si="22"/>
        <v>4</v>
      </c>
      <c r="AN42" s="53">
        <f t="shared" si="23"/>
        <v>15.5</v>
      </c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spans="1:53" ht="22" customHeight="1" x14ac:dyDescent="0.35">
      <c r="A43" s="8" t="s">
        <v>113</v>
      </c>
      <c r="B43" s="8" t="s">
        <v>114</v>
      </c>
      <c r="C43" s="8" t="s">
        <v>104</v>
      </c>
      <c r="D43" s="23" t="s">
        <v>7</v>
      </c>
      <c r="E43" s="24" t="s">
        <v>9</v>
      </c>
      <c r="F43" s="22" t="s">
        <v>5</v>
      </c>
      <c r="G43" s="26" t="s">
        <v>3</v>
      </c>
      <c r="H43" s="26" t="s">
        <v>3</v>
      </c>
      <c r="I43" s="26" t="s">
        <v>3</v>
      </c>
      <c r="J43" s="26" t="s">
        <v>3</v>
      </c>
      <c r="K43" s="27" t="s">
        <v>7</v>
      </c>
      <c r="L43" s="24" t="s">
        <v>9</v>
      </c>
      <c r="M43" s="26" t="s">
        <v>3</v>
      </c>
      <c r="N43" s="26" t="s">
        <v>3</v>
      </c>
      <c r="O43" s="26" t="s">
        <v>3</v>
      </c>
      <c r="P43" s="26" t="s">
        <v>3</v>
      </c>
      <c r="Q43" s="26" t="s">
        <v>3</v>
      </c>
      <c r="R43" s="27" t="s">
        <v>7</v>
      </c>
      <c r="S43" s="28" t="s">
        <v>11</v>
      </c>
      <c r="T43" s="26" t="s">
        <v>3</v>
      </c>
      <c r="U43" s="26" t="s">
        <v>3</v>
      </c>
      <c r="V43" s="26" t="s">
        <v>3</v>
      </c>
      <c r="W43" s="26" t="s">
        <v>3</v>
      </c>
      <c r="X43" s="26" t="s">
        <v>3</v>
      </c>
      <c r="Y43" s="27" t="s">
        <v>7</v>
      </c>
      <c r="Z43" s="28" t="s">
        <v>11</v>
      </c>
      <c r="AA43" s="26" t="s">
        <v>3</v>
      </c>
      <c r="AB43" s="26" t="s">
        <v>3</v>
      </c>
      <c r="AC43" s="26" t="s">
        <v>3</v>
      </c>
      <c r="AD43" s="26" t="s">
        <v>3</v>
      </c>
      <c r="AE43" s="26" t="s">
        <v>3</v>
      </c>
      <c r="AF43" s="8">
        <f t="shared" si="16"/>
        <v>19</v>
      </c>
      <c r="AG43" s="8">
        <f t="shared" si="17"/>
        <v>1</v>
      </c>
      <c r="AH43" s="29">
        <f t="shared" si="18"/>
        <v>2</v>
      </c>
      <c r="AI43" s="62">
        <v>3</v>
      </c>
      <c r="AJ43" s="33">
        <f t="shared" si="19"/>
        <v>22.5</v>
      </c>
      <c r="AK43" s="63">
        <f t="shared" si="20"/>
        <v>160</v>
      </c>
      <c r="AL43" s="63">
        <f t="shared" si="21"/>
        <v>1</v>
      </c>
      <c r="AM43" s="63">
        <f t="shared" si="22"/>
        <v>4</v>
      </c>
      <c r="AN43" s="53">
        <f t="shared" si="23"/>
        <v>22</v>
      </c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3" ht="22" customHeight="1" x14ac:dyDescent="0.35">
      <c r="A44" s="8" t="s">
        <v>115</v>
      </c>
      <c r="B44" s="8" t="s">
        <v>116</v>
      </c>
      <c r="C44" s="8" t="s">
        <v>104</v>
      </c>
      <c r="D44" s="23" t="s">
        <v>7</v>
      </c>
      <c r="E44" s="24" t="s">
        <v>9</v>
      </c>
      <c r="F44" s="22" t="s">
        <v>5</v>
      </c>
      <c r="G44" s="26" t="s">
        <v>3</v>
      </c>
      <c r="H44" s="22" t="s">
        <v>5</v>
      </c>
      <c r="I44" s="22" t="s">
        <v>5</v>
      </c>
      <c r="J44" s="22" t="s">
        <v>5</v>
      </c>
      <c r="K44" s="23" t="s">
        <v>7</v>
      </c>
      <c r="L44" s="24" t="s">
        <v>9</v>
      </c>
      <c r="M44" s="22" t="s">
        <v>5</v>
      </c>
      <c r="N44" s="22" t="s">
        <v>5</v>
      </c>
      <c r="O44" s="26" t="s">
        <v>3</v>
      </c>
      <c r="P44" s="26" t="s">
        <v>3</v>
      </c>
      <c r="Q44" s="26" t="s">
        <v>3</v>
      </c>
      <c r="R44" s="27" t="s">
        <v>7</v>
      </c>
      <c r="S44" s="28" t="s">
        <v>11</v>
      </c>
      <c r="T44" s="26" t="s">
        <v>3</v>
      </c>
      <c r="U44" s="26" t="s">
        <v>3</v>
      </c>
      <c r="V44" s="26" t="s">
        <v>3</v>
      </c>
      <c r="W44" s="26" t="s">
        <v>3</v>
      </c>
      <c r="X44" s="26" t="s">
        <v>3</v>
      </c>
      <c r="Y44" s="27" t="s">
        <v>7</v>
      </c>
      <c r="Z44" s="28" t="s">
        <v>11</v>
      </c>
      <c r="AA44" s="26" t="s">
        <v>3</v>
      </c>
      <c r="AB44" s="26" t="s">
        <v>3</v>
      </c>
      <c r="AC44" s="26" t="s">
        <v>3</v>
      </c>
      <c r="AD44" s="26" t="s">
        <v>3</v>
      </c>
      <c r="AE44" s="26" t="s">
        <v>3</v>
      </c>
      <c r="AF44" s="8">
        <f t="shared" si="16"/>
        <v>14</v>
      </c>
      <c r="AG44" s="8">
        <f t="shared" si="17"/>
        <v>6</v>
      </c>
      <c r="AH44" s="29">
        <f t="shared" si="18"/>
        <v>2</v>
      </c>
      <c r="AI44" s="62">
        <v>2</v>
      </c>
      <c r="AJ44" s="33">
        <f t="shared" si="19"/>
        <v>17</v>
      </c>
      <c r="AK44" s="63">
        <f t="shared" si="20"/>
        <v>160</v>
      </c>
      <c r="AL44" s="63">
        <f t="shared" si="21"/>
        <v>1</v>
      </c>
      <c r="AM44" s="63">
        <f t="shared" si="22"/>
        <v>4</v>
      </c>
      <c r="AN44" s="53">
        <f t="shared" si="23"/>
        <v>16.5</v>
      </c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spans="1:53" ht="22" customHeight="1" x14ac:dyDescent="0.35">
      <c r="A45" s="8" t="s">
        <v>117</v>
      </c>
      <c r="B45" s="8" t="s">
        <v>118</v>
      </c>
      <c r="C45" s="8" t="s">
        <v>104</v>
      </c>
      <c r="D45" s="27" t="s">
        <v>7</v>
      </c>
      <c r="E45" s="28" t="s">
        <v>11</v>
      </c>
      <c r="F45" s="26" t="s">
        <v>3</v>
      </c>
      <c r="G45" s="26" t="s">
        <v>3</v>
      </c>
      <c r="H45" s="26" t="s">
        <v>3</v>
      </c>
      <c r="I45" s="26" t="s">
        <v>3</v>
      </c>
      <c r="J45" s="26" t="s">
        <v>3</v>
      </c>
      <c r="K45" s="27" t="s">
        <v>7</v>
      </c>
      <c r="L45" s="28" t="s">
        <v>11</v>
      </c>
      <c r="M45" s="26" t="s">
        <v>3</v>
      </c>
      <c r="N45" s="26" t="s">
        <v>3</v>
      </c>
      <c r="O45" s="26" t="s">
        <v>3</v>
      </c>
      <c r="P45" s="26" t="s">
        <v>3</v>
      </c>
      <c r="Q45" s="26" t="s">
        <v>3</v>
      </c>
      <c r="R45" s="27" t="s">
        <v>7</v>
      </c>
      <c r="S45" s="28" t="s">
        <v>11</v>
      </c>
      <c r="T45" s="26" t="s">
        <v>3</v>
      </c>
      <c r="U45" s="26" t="s">
        <v>3</v>
      </c>
      <c r="V45" s="26" t="s">
        <v>3</v>
      </c>
      <c r="W45" s="26" t="s">
        <v>3</v>
      </c>
      <c r="X45" s="26" t="s">
        <v>3</v>
      </c>
      <c r="Y45" s="27" t="s">
        <v>7</v>
      </c>
      <c r="Z45" s="28" t="s">
        <v>11</v>
      </c>
      <c r="AA45" s="26" t="s">
        <v>3</v>
      </c>
      <c r="AB45" s="26" t="s">
        <v>3</v>
      </c>
      <c r="AC45" s="26" t="s">
        <v>3</v>
      </c>
      <c r="AD45" s="26" t="s">
        <v>3</v>
      </c>
      <c r="AE45" s="26" t="s">
        <v>3</v>
      </c>
      <c r="AF45" s="8">
        <f t="shared" si="16"/>
        <v>20</v>
      </c>
      <c r="AG45" s="8">
        <f t="shared" si="17"/>
        <v>0</v>
      </c>
      <c r="AH45" s="29">
        <f t="shared" si="18"/>
        <v>4</v>
      </c>
      <c r="AI45" s="62">
        <v>4</v>
      </c>
      <c r="AJ45" s="33">
        <f t="shared" si="19"/>
        <v>26</v>
      </c>
      <c r="AK45" s="63">
        <f t="shared" si="20"/>
        <v>160</v>
      </c>
      <c r="AL45" s="63">
        <f t="shared" si="21"/>
        <v>0</v>
      </c>
      <c r="AM45" s="63">
        <f t="shared" si="22"/>
        <v>0</v>
      </c>
      <c r="AN45" s="53">
        <f t="shared" si="23"/>
        <v>26</v>
      </c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spans="1:53" ht="22" customHeight="1" x14ac:dyDescent="0.35">
      <c r="A46" s="8" t="s">
        <v>119</v>
      </c>
      <c r="B46" s="8" t="s">
        <v>120</v>
      </c>
      <c r="C46" s="8" t="s">
        <v>104</v>
      </c>
      <c r="D46" s="23" t="s">
        <v>7</v>
      </c>
      <c r="E46" s="24" t="s">
        <v>9</v>
      </c>
      <c r="F46" s="22" t="s">
        <v>5</v>
      </c>
      <c r="G46" s="22" t="s">
        <v>5</v>
      </c>
      <c r="H46" s="22" t="s">
        <v>5</v>
      </c>
      <c r="I46" s="22" t="s">
        <v>5</v>
      </c>
      <c r="J46" s="26" t="s">
        <v>3</v>
      </c>
      <c r="K46" s="27" t="s">
        <v>7</v>
      </c>
      <c r="L46" s="28" t="s">
        <v>11</v>
      </c>
      <c r="M46" s="26" t="s">
        <v>3</v>
      </c>
      <c r="N46" s="26" t="s">
        <v>3</v>
      </c>
      <c r="O46" s="26" t="s">
        <v>3</v>
      </c>
      <c r="P46" s="26" t="s">
        <v>3</v>
      </c>
      <c r="Q46" s="26" t="s">
        <v>3</v>
      </c>
      <c r="R46" s="27" t="s">
        <v>7</v>
      </c>
      <c r="S46" s="28" t="s">
        <v>11</v>
      </c>
      <c r="T46" s="26" t="s">
        <v>3</v>
      </c>
      <c r="U46" s="26" t="s">
        <v>3</v>
      </c>
      <c r="V46" s="26" t="s">
        <v>3</v>
      </c>
      <c r="W46" s="26" t="s">
        <v>3</v>
      </c>
      <c r="X46" s="26" t="s">
        <v>3</v>
      </c>
      <c r="Y46" s="27" t="s">
        <v>7</v>
      </c>
      <c r="Z46" s="28" t="s">
        <v>11</v>
      </c>
      <c r="AA46" s="26" t="s">
        <v>3</v>
      </c>
      <c r="AB46" s="26" t="s">
        <v>3</v>
      </c>
      <c r="AC46" s="26" t="s">
        <v>3</v>
      </c>
      <c r="AD46" s="26" t="s">
        <v>3</v>
      </c>
      <c r="AE46" s="26" t="s">
        <v>3</v>
      </c>
      <c r="AF46" s="8">
        <f t="shared" si="16"/>
        <v>16</v>
      </c>
      <c r="AG46" s="8">
        <f t="shared" si="17"/>
        <v>4</v>
      </c>
      <c r="AH46" s="29">
        <f t="shared" si="18"/>
        <v>3</v>
      </c>
      <c r="AI46" s="62">
        <v>3</v>
      </c>
      <c r="AJ46" s="33">
        <f t="shared" si="19"/>
        <v>20.5</v>
      </c>
      <c r="AK46" s="63">
        <f t="shared" si="20"/>
        <v>160</v>
      </c>
      <c r="AL46" s="63">
        <f t="shared" si="21"/>
        <v>1</v>
      </c>
      <c r="AM46" s="63">
        <f t="shared" si="22"/>
        <v>4</v>
      </c>
      <c r="AN46" s="53">
        <f t="shared" si="23"/>
        <v>20</v>
      </c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spans="1:53" ht="22" customHeight="1" x14ac:dyDescent="0.35">
      <c r="A47" s="8" t="s">
        <v>121</v>
      </c>
      <c r="B47" s="8" t="s">
        <v>122</v>
      </c>
      <c r="C47" s="8" t="s">
        <v>104</v>
      </c>
      <c r="D47" s="27" t="s">
        <v>7</v>
      </c>
      <c r="E47" s="28" t="s">
        <v>11</v>
      </c>
      <c r="F47" s="26" t="s">
        <v>3</v>
      </c>
      <c r="G47" s="26" t="s">
        <v>3</v>
      </c>
      <c r="H47" s="26" t="s">
        <v>3</v>
      </c>
      <c r="I47" s="26" t="s">
        <v>3</v>
      </c>
      <c r="J47" s="26" t="s">
        <v>3</v>
      </c>
      <c r="K47" s="27" t="s">
        <v>7</v>
      </c>
      <c r="L47" s="28" t="s">
        <v>11</v>
      </c>
      <c r="M47" s="26" t="s">
        <v>3</v>
      </c>
      <c r="N47" s="26" t="s">
        <v>3</v>
      </c>
      <c r="O47" s="22" t="s">
        <v>5</v>
      </c>
      <c r="P47" s="26" t="s">
        <v>3</v>
      </c>
      <c r="Q47" s="26" t="s">
        <v>3</v>
      </c>
      <c r="R47" s="27" t="s">
        <v>7</v>
      </c>
      <c r="S47" s="28" t="s">
        <v>11</v>
      </c>
      <c r="T47" s="22" t="s">
        <v>5</v>
      </c>
      <c r="U47" s="26" t="s">
        <v>3</v>
      </c>
      <c r="V47" s="26" t="s">
        <v>3</v>
      </c>
      <c r="W47" s="26" t="s">
        <v>3</v>
      </c>
      <c r="X47" s="26" t="s">
        <v>3</v>
      </c>
      <c r="Y47" s="27" t="s">
        <v>7</v>
      </c>
      <c r="Z47" s="28" t="s">
        <v>11</v>
      </c>
      <c r="AA47" s="26" t="s">
        <v>3</v>
      </c>
      <c r="AB47" s="26" t="s">
        <v>3</v>
      </c>
      <c r="AC47" s="26" t="s">
        <v>3</v>
      </c>
      <c r="AD47" s="26" t="s">
        <v>3</v>
      </c>
      <c r="AE47" s="26" t="s">
        <v>3</v>
      </c>
      <c r="AF47" s="8">
        <f t="shared" si="16"/>
        <v>18</v>
      </c>
      <c r="AG47" s="8">
        <f t="shared" si="17"/>
        <v>2</v>
      </c>
      <c r="AH47" s="29">
        <f t="shared" si="18"/>
        <v>4</v>
      </c>
      <c r="AI47" s="62">
        <v>4</v>
      </c>
      <c r="AJ47" s="33">
        <f t="shared" si="19"/>
        <v>24</v>
      </c>
      <c r="AK47" s="63">
        <f t="shared" si="20"/>
        <v>160</v>
      </c>
      <c r="AL47" s="63">
        <f t="shared" si="21"/>
        <v>0</v>
      </c>
      <c r="AM47" s="63">
        <f t="shared" si="22"/>
        <v>0</v>
      </c>
      <c r="AN47" s="53">
        <f t="shared" si="23"/>
        <v>24</v>
      </c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spans="1:53" ht="22" customHeight="1" x14ac:dyDescent="0.35">
      <c r="A48" s="8" t="s">
        <v>123</v>
      </c>
      <c r="B48" s="8" t="s">
        <v>124</v>
      </c>
      <c r="C48" s="8" t="s">
        <v>104</v>
      </c>
      <c r="D48" s="27" t="s">
        <v>7</v>
      </c>
      <c r="E48" s="28" t="s">
        <v>11</v>
      </c>
      <c r="F48" s="26" t="s">
        <v>3</v>
      </c>
      <c r="G48" s="26" t="s">
        <v>3</v>
      </c>
      <c r="H48" s="26" t="s">
        <v>3</v>
      </c>
      <c r="I48" s="26" t="s">
        <v>3</v>
      </c>
      <c r="J48" s="26" t="s">
        <v>3</v>
      </c>
      <c r="K48" s="27" t="s">
        <v>7</v>
      </c>
      <c r="L48" s="28" t="s">
        <v>11</v>
      </c>
      <c r="M48" s="26" t="s">
        <v>3</v>
      </c>
      <c r="N48" s="26" t="s">
        <v>3</v>
      </c>
      <c r="O48" s="26" t="s">
        <v>3</v>
      </c>
      <c r="P48" s="26" t="s">
        <v>3</v>
      </c>
      <c r="Q48" s="26" t="s">
        <v>3</v>
      </c>
      <c r="R48" s="27" t="s">
        <v>7</v>
      </c>
      <c r="S48" s="28" t="s">
        <v>11</v>
      </c>
      <c r="T48" s="26" t="s">
        <v>3</v>
      </c>
      <c r="U48" s="26" t="s">
        <v>3</v>
      </c>
      <c r="V48" s="26" t="s">
        <v>3</v>
      </c>
      <c r="W48" s="26" t="s">
        <v>3</v>
      </c>
      <c r="X48" s="26" t="s">
        <v>3</v>
      </c>
      <c r="Y48" s="27" t="s">
        <v>7</v>
      </c>
      <c r="Z48" s="28" t="s">
        <v>11</v>
      </c>
      <c r="AA48" s="26" t="s">
        <v>3</v>
      </c>
      <c r="AB48" s="26" t="s">
        <v>3</v>
      </c>
      <c r="AC48" s="26" t="s">
        <v>3</v>
      </c>
      <c r="AD48" s="26" t="s">
        <v>3</v>
      </c>
      <c r="AE48" s="26" t="s">
        <v>3</v>
      </c>
      <c r="AF48" s="8">
        <f t="shared" si="16"/>
        <v>20</v>
      </c>
      <c r="AG48" s="8">
        <f t="shared" si="17"/>
        <v>0</v>
      </c>
      <c r="AH48" s="29">
        <f t="shared" si="18"/>
        <v>4</v>
      </c>
      <c r="AI48" s="62">
        <v>4</v>
      </c>
      <c r="AJ48" s="33">
        <f t="shared" si="19"/>
        <v>26</v>
      </c>
      <c r="AK48" s="63">
        <f t="shared" si="20"/>
        <v>160</v>
      </c>
      <c r="AL48" s="63">
        <f t="shared" si="21"/>
        <v>0</v>
      </c>
      <c r="AM48" s="63">
        <f t="shared" si="22"/>
        <v>0</v>
      </c>
      <c r="AN48" s="53">
        <f t="shared" si="23"/>
        <v>26</v>
      </c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spans="1:53" ht="22" customHeight="1" x14ac:dyDescent="0.35">
      <c r="A49" s="8" t="s">
        <v>125</v>
      </c>
      <c r="B49" s="8" t="s">
        <v>126</v>
      </c>
      <c r="C49" s="8" t="s">
        <v>104</v>
      </c>
      <c r="D49" s="23" t="s">
        <v>7</v>
      </c>
      <c r="E49" s="24" t="s">
        <v>9</v>
      </c>
      <c r="F49" s="22" t="s">
        <v>5</v>
      </c>
      <c r="G49" s="22" t="s">
        <v>5</v>
      </c>
      <c r="H49" s="22" t="s">
        <v>5</v>
      </c>
      <c r="I49" s="22" t="s">
        <v>5</v>
      </c>
      <c r="J49" s="22" t="s">
        <v>5</v>
      </c>
      <c r="K49" s="23" t="s">
        <v>7</v>
      </c>
      <c r="L49" s="24" t="s">
        <v>9</v>
      </c>
      <c r="M49" s="26" t="s">
        <v>3</v>
      </c>
      <c r="N49" s="26" t="s">
        <v>3</v>
      </c>
      <c r="O49" s="26" t="s">
        <v>3</v>
      </c>
      <c r="P49" s="26" t="s">
        <v>3</v>
      </c>
      <c r="Q49" s="26" t="s">
        <v>3</v>
      </c>
      <c r="R49" s="27" t="s">
        <v>7</v>
      </c>
      <c r="S49" s="28" t="s">
        <v>11</v>
      </c>
      <c r="T49" s="26" t="s">
        <v>3</v>
      </c>
      <c r="U49" s="26" t="s">
        <v>3</v>
      </c>
      <c r="V49" s="26" t="s">
        <v>3</v>
      </c>
      <c r="W49" s="26" t="s">
        <v>3</v>
      </c>
      <c r="X49" s="26" t="s">
        <v>3</v>
      </c>
      <c r="Y49" s="27" t="s">
        <v>7</v>
      </c>
      <c r="Z49" s="28" t="s">
        <v>11</v>
      </c>
      <c r="AA49" s="26" t="s">
        <v>3</v>
      </c>
      <c r="AB49" s="26" t="s">
        <v>3</v>
      </c>
      <c r="AC49" s="26" t="s">
        <v>3</v>
      </c>
      <c r="AD49" s="26" t="s">
        <v>3</v>
      </c>
      <c r="AE49" s="26" t="s">
        <v>3</v>
      </c>
      <c r="AF49" s="8">
        <f t="shared" si="16"/>
        <v>15</v>
      </c>
      <c r="AG49" s="8">
        <f t="shared" si="17"/>
        <v>5</v>
      </c>
      <c r="AH49" s="29">
        <f t="shared" si="18"/>
        <v>2</v>
      </c>
      <c r="AI49" s="62">
        <v>2</v>
      </c>
      <c r="AJ49" s="33">
        <f t="shared" si="19"/>
        <v>18</v>
      </c>
      <c r="AK49" s="63">
        <f t="shared" si="20"/>
        <v>160</v>
      </c>
      <c r="AL49" s="63">
        <f t="shared" si="21"/>
        <v>1</v>
      </c>
      <c r="AM49" s="63">
        <f t="shared" si="22"/>
        <v>4</v>
      </c>
      <c r="AN49" s="53">
        <f t="shared" si="23"/>
        <v>17.5</v>
      </c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spans="1:53" ht="22" customHeight="1" x14ac:dyDescent="0.35">
      <c r="A50" s="8" t="s">
        <v>127</v>
      </c>
      <c r="B50" s="8" t="s">
        <v>128</v>
      </c>
      <c r="C50" s="8" t="s">
        <v>104</v>
      </c>
      <c r="D50" s="27" t="s">
        <v>7</v>
      </c>
      <c r="E50" s="28" t="s">
        <v>11</v>
      </c>
      <c r="F50" s="26" t="s">
        <v>3</v>
      </c>
      <c r="G50" s="22" t="s">
        <v>5</v>
      </c>
      <c r="H50" s="26" t="s">
        <v>3</v>
      </c>
      <c r="I50" s="26" t="s">
        <v>3</v>
      </c>
      <c r="J50" s="26" t="s">
        <v>3</v>
      </c>
      <c r="K50" s="27" t="s">
        <v>7</v>
      </c>
      <c r="L50" s="28" t="s">
        <v>11</v>
      </c>
      <c r="M50" s="26" t="s">
        <v>3</v>
      </c>
      <c r="N50" s="26" t="s">
        <v>3</v>
      </c>
      <c r="O50" s="26" t="s">
        <v>3</v>
      </c>
      <c r="P50" s="22" t="s">
        <v>5</v>
      </c>
      <c r="Q50" s="26" t="s">
        <v>3</v>
      </c>
      <c r="R50" s="27" t="s">
        <v>7</v>
      </c>
      <c r="S50" s="28" t="s">
        <v>11</v>
      </c>
      <c r="T50" s="26" t="s">
        <v>3</v>
      </c>
      <c r="U50" s="26" t="s">
        <v>3</v>
      </c>
      <c r="V50" s="26" t="s">
        <v>3</v>
      </c>
      <c r="W50" s="22" t="s">
        <v>5</v>
      </c>
      <c r="X50" s="22" t="s">
        <v>5</v>
      </c>
      <c r="Y50" s="27" t="s">
        <v>7</v>
      </c>
      <c r="Z50" s="28" t="s">
        <v>11</v>
      </c>
      <c r="AA50" s="26" t="s">
        <v>3</v>
      </c>
      <c r="AB50" s="26" t="s">
        <v>3</v>
      </c>
      <c r="AC50" s="26" t="s">
        <v>3</v>
      </c>
      <c r="AD50" s="26" t="s">
        <v>3</v>
      </c>
      <c r="AE50" s="26" t="s">
        <v>3</v>
      </c>
      <c r="AF50" s="8">
        <f t="shared" si="16"/>
        <v>16</v>
      </c>
      <c r="AG50" s="8">
        <f t="shared" si="17"/>
        <v>4</v>
      </c>
      <c r="AH50" s="29">
        <f t="shared" si="18"/>
        <v>4</v>
      </c>
      <c r="AI50" s="62">
        <v>4</v>
      </c>
      <c r="AJ50" s="33">
        <f t="shared" si="19"/>
        <v>22</v>
      </c>
      <c r="AK50" s="63">
        <f t="shared" si="20"/>
        <v>160</v>
      </c>
      <c r="AL50" s="63">
        <f t="shared" si="21"/>
        <v>0</v>
      </c>
      <c r="AM50" s="63">
        <f t="shared" si="22"/>
        <v>0</v>
      </c>
      <c r="AN50" s="53">
        <f t="shared" si="23"/>
        <v>22</v>
      </c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spans="1:53" ht="22" customHeight="1" x14ac:dyDescent="0.35">
      <c r="A51" s="8" t="s">
        <v>129</v>
      </c>
      <c r="B51" s="8" t="s">
        <v>130</v>
      </c>
      <c r="C51" s="8" t="s">
        <v>104</v>
      </c>
      <c r="D51" s="27" t="s">
        <v>7</v>
      </c>
      <c r="E51" s="28" t="s">
        <v>11</v>
      </c>
      <c r="F51" s="26" t="s">
        <v>3</v>
      </c>
      <c r="G51" s="26" t="s">
        <v>3</v>
      </c>
      <c r="H51" s="26" t="s">
        <v>3</v>
      </c>
      <c r="I51" s="26" t="s">
        <v>3</v>
      </c>
      <c r="J51" s="26" t="s">
        <v>3</v>
      </c>
      <c r="K51" s="27" t="s">
        <v>7</v>
      </c>
      <c r="L51" s="28" t="s">
        <v>11</v>
      </c>
      <c r="M51" s="26" t="s">
        <v>3</v>
      </c>
      <c r="N51" s="26" t="s">
        <v>3</v>
      </c>
      <c r="O51" s="26" t="s">
        <v>3</v>
      </c>
      <c r="P51" s="26" t="s">
        <v>3</v>
      </c>
      <c r="Q51" s="26" t="s">
        <v>3</v>
      </c>
      <c r="R51" s="27" t="s">
        <v>7</v>
      </c>
      <c r="S51" s="28" t="s">
        <v>11</v>
      </c>
      <c r="T51" s="22" t="s">
        <v>5</v>
      </c>
      <c r="U51" s="26" t="s">
        <v>3</v>
      </c>
      <c r="V51" s="26" t="s">
        <v>3</v>
      </c>
      <c r="W51" s="22" t="s">
        <v>5</v>
      </c>
      <c r="X51" s="22" t="s">
        <v>5</v>
      </c>
      <c r="Y51" s="23" t="s">
        <v>7</v>
      </c>
      <c r="Z51" s="24" t="s">
        <v>9</v>
      </c>
      <c r="AA51" s="22" t="s">
        <v>5</v>
      </c>
      <c r="AB51" s="22" t="s">
        <v>5</v>
      </c>
      <c r="AC51" s="26" t="s">
        <v>3</v>
      </c>
      <c r="AD51" s="26" t="s">
        <v>3</v>
      </c>
      <c r="AE51" s="26" t="s">
        <v>3</v>
      </c>
      <c r="AF51" s="8">
        <f t="shared" si="16"/>
        <v>15</v>
      </c>
      <c r="AG51" s="8">
        <f t="shared" si="17"/>
        <v>5</v>
      </c>
      <c r="AH51" s="29">
        <f t="shared" si="18"/>
        <v>3</v>
      </c>
      <c r="AI51" s="62">
        <v>3</v>
      </c>
      <c r="AJ51" s="33">
        <f t="shared" si="19"/>
        <v>19.5</v>
      </c>
      <c r="AK51" s="63">
        <f t="shared" si="20"/>
        <v>160</v>
      </c>
      <c r="AL51" s="63">
        <f t="shared" si="21"/>
        <v>0</v>
      </c>
      <c r="AM51" s="63">
        <f t="shared" si="22"/>
        <v>0</v>
      </c>
      <c r="AN51" s="53">
        <f t="shared" si="23"/>
        <v>19.5</v>
      </c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spans="1:53" ht="22" customHeight="1" x14ac:dyDescent="0.35">
      <c r="A52" s="8" t="s">
        <v>131</v>
      </c>
      <c r="B52" s="8" t="s">
        <v>132</v>
      </c>
      <c r="C52" s="8" t="s">
        <v>104</v>
      </c>
      <c r="D52" s="23" t="s">
        <v>7</v>
      </c>
      <c r="E52" s="28" t="s">
        <v>11</v>
      </c>
      <c r="F52" s="26" t="s">
        <v>3</v>
      </c>
      <c r="G52" s="26" t="s">
        <v>3</v>
      </c>
      <c r="H52" s="26" t="s">
        <v>3</v>
      </c>
      <c r="I52" s="26" t="s">
        <v>3</v>
      </c>
      <c r="J52" s="26" t="s">
        <v>3</v>
      </c>
      <c r="K52" s="27" t="s">
        <v>7</v>
      </c>
      <c r="L52" s="24" t="s">
        <v>9</v>
      </c>
      <c r="M52" s="26" t="s">
        <v>3</v>
      </c>
      <c r="N52" s="26" t="s">
        <v>3</v>
      </c>
      <c r="O52" s="26" t="s">
        <v>3</v>
      </c>
      <c r="P52" s="26" t="s">
        <v>3</v>
      </c>
      <c r="Q52" s="26" t="s">
        <v>3</v>
      </c>
      <c r="R52" s="27" t="s">
        <v>7</v>
      </c>
      <c r="S52" s="28" t="s">
        <v>11</v>
      </c>
      <c r="T52" s="26" t="s">
        <v>3</v>
      </c>
      <c r="U52" s="26" t="s">
        <v>3</v>
      </c>
      <c r="V52" s="26" t="s">
        <v>3</v>
      </c>
      <c r="W52" s="26" t="s">
        <v>3</v>
      </c>
      <c r="X52" s="26" t="s">
        <v>3</v>
      </c>
      <c r="Y52" s="27" t="s">
        <v>7</v>
      </c>
      <c r="Z52" s="28" t="s">
        <v>11</v>
      </c>
      <c r="AA52" s="26" t="s">
        <v>3</v>
      </c>
      <c r="AB52" s="26" t="s">
        <v>3</v>
      </c>
      <c r="AC52" s="26" t="s">
        <v>3</v>
      </c>
      <c r="AD52" s="26" t="s">
        <v>3</v>
      </c>
      <c r="AE52" s="26" t="s">
        <v>3</v>
      </c>
      <c r="AF52" s="8">
        <f t="shared" si="16"/>
        <v>20</v>
      </c>
      <c r="AG52" s="8">
        <f t="shared" si="17"/>
        <v>0</v>
      </c>
      <c r="AH52" s="29">
        <f t="shared" si="18"/>
        <v>3</v>
      </c>
      <c r="AI52" s="62">
        <v>3</v>
      </c>
      <c r="AJ52" s="33">
        <f t="shared" si="19"/>
        <v>24.5</v>
      </c>
      <c r="AK52" s="63">
        <f t="shared" si="20"/>
        <v>160</v>
      </c>
      <c r="AL52" s="63">
        <f t="shared" si="21"/>
        <v>1</v>
      </c>
      <c r="AM52" s="63">
        <f t="shared" si="22"/>
        <v>4</v>
      </c>
      <c r="AN52" s="53">
        <f t="shared" si="23"/>
        <v>24</v>
      </c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spans="1:53" ht="22" customHeight="1" x14ac:dyDescent="0.35">
      <c r="A53" s="8" t="s">
        <v>133</v>
      </c>
      <c r="B53" s="8" t="s">
        <v>134</v>
      </c>
      <c r="C53" s="8" t="s">
        <v>104</v>
      </c>
      <c r="D53" s="23" t="s">
        <v>7</v>
      </c>
      <c r="E53" s="24" t="s">
        <v>9</v>
      </c>
      <c r="F53" s="26" t="s">
        <v>3</v>
      </c>
      <c r="G53" s="26" t="s">
        <v>3</v>
      </c>
      <c r="H53" s="26" t="s">
        <v>3</v>
      </c>
      <c r="I53" s="26" t="s">
        <v>3</v>
      </c>
      <c r="J53" s="26" t="s">
        <v>3</v>
      </c>
      <c r="K53" s="27" t="s">
        <v>7</v>
      </c>
      <c r="L53" s="28" t="s">
        <v>11</v>
      </c>
      <c r="M53" s="26" t="s">
        <v>3</v>
      </c>
      <c r="N53" s="26" t="s">
        <v>3</v>
      </c>
      <c r="O53" s="26" t="s">
        <v>3</v>
      </c>
      <c r="P53" s="26" t="s">
        <v>3</v>
      </c>
      <c r="Q53" s="26" t="s">
        <v>3</v>
      </c>
      <c r="R53" s="27" t="s">
        <v>7</v>
      </c>
      <c r="S53" s="28" t="s">
        <v>11</v>
      </c>
      <c r="T53" s="22" t="s">
        <v>5</v>
      </c>
      <c r="U53" s="22" t="s">
        <v>5</v>
      </c>
      <c r="V53" s="26" t="s">
        <v>3</v>
      </c>
      <c r="W53" s="26" t="s">
        <v>3</v>
      </c>
      <c r="X53" s="26" t="s">
        <v>3</v>
      </c>
      <c r="Y53" s="27" t="s">
        <v>7</v>
      </c>
      <c r="Z53" s="28" t="s">
        <v>11</v>
      </c>
      <c r="AA53" s="26" t="s">
        <v>3</v>
      </c>
      <c r="AB53" s="26" t="s">
        <v>3</v>
      </c>
      <c r="AC53" s="26" t="s">
        <v>3</v>
      </c>
      <c r="AD53" s="26" t="s">
        <v>3</v>
      </c>
      <c r="AE53" s="26" t="s">
        <v>3</v>
      </c>
      <c r="AF53" s="8">
        <f t="shared" si="16"/>
        <v>18</v>
      </c>
      <c r="AG53" s="8">
        <f t="shared" si="17"/>
        <v>2</v>
      </c>
      <c r="AH53" s="29">
        <f t="shared" si="18"/>
        <v>3</v>
      </c>
      <c r="AI53" s="62">
        <v>3</v>
      </c>
      <c r="AJ53" s="33">
        <f t="shared" si="19"/>
        <v>22.5</v>
      </c>
      <c r="AK53" s="63">
        <f t="shared" si="20"/>
        <v>160</v>
      </c>
      <c r="AL53" s="63">
        <f t="shared" si="21"/>
        <v>1</v>
      </c>
      <c r="AM53" s="63">
        <f t="shared" si="22"/>
        <v>4</v>
      </c>
      <c r="AN53" s="53">
        <f t="shared" si="23"/>
        <v>22</v>
      </c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spans="1:53" ht="22" customHeight="1" x14ac:dyDescent="0.35">
      <c r="A54" s="8" t="s">
        <v>135</v>
      </c>
      <c r="B54" s="8" t="s">
        <v>136</v>
      </c>
      <c r="C54" s="8" t="s">
        <v>104</v>
      </c>
      <c r="D54" s="27" t="s">
        <v>7</v>
      </c>
      <c r="E54" s="28" t="s">
        <v>11</v>
      </c>
      <c r="F54" s="26" t="s">
        <v>3</v>
      </c>
      <c r="G54" s="26" t="s">
        <v>3</v>
      </c>
      <c r="H54" s="26" t="s">
        <v>3</v>
      </c>
      <c r="I54" s="26" t="s">
        <v>3</v>
      </c>
      <c r="J54" s="26" t="s">
        <v>3</v>
      </c>
      <c r="K54" s="27" t="s">
        <v>7</v>
      </c>
      <c r="L54" s="28" t="s">
        <v>11</v>
      </c>
      <c r="M54" s="26" t="s">
        <v>3</v>
      </c>
      <c r="N54" s="26" t="s">
        <v>3</v>
      </c>
      <c r="O54" s="26" t="s">
        <v>3</v>
      </c>
      <c r="P54" s="26" t="s">
        <v>3</v>
      </c>
      <c r="Q54" s="26" t="s">
        <v>3</v>
      </c>
      <c r="R54" s="27" t="s">
        <v>7</v>
      </c>
      <c r="S54" s="28" t="s">
        <v>11</v>
      </c>
      <c r="T54" s="26" t="s">
        <v>3</v>
      </c>
      <c r="U54" s="26" t="s">
        <v>3</v>
      </c>
      <c r="V54" s="26" t="s">
        <v>3</v>
      </c>
      <c r="W54" s="26" t="s">
        <v>3</v>
      </c>
      <c r="X54" s="26" t="s">
        <v>3</v>
      </c>
      <c r="Y54" s="27" t="s">
        <v>7</v>
      </c>
      <c r="Z54" s="28" t="s">
        <v>11</v>
      </c>
      <c r="AA54" s="26" t="s">
        <v>3</v>
      </c>
      <c r="AB54" s="26" t="s">
        <v>3</v>
      </c>
      <c r="AC54" s="26" t="s">
        <v>3</v>
      </c>
      <c r="AD54" s="26" t="s">
        <v>3</v>
      </c>
      <c r="AE54" s="26" t="s">
        <v>3</v>
      </c>
      <c r="AF54" s="8">
        <f t="shared" si="16"/>
        <v>20</v>
      </c>
      <c r="AG54" s="8">
        <f t="shared" si="17"/>
        <v>0</v>
      </c>
      <c r="AH54" s="29">
        <f t="shared" si="18"/>
        <v>4</v>
      </c>
      <c r="AI54" s="62">
        <v>4</v>
      </c>
      <c r="AJ54" s="33">
        <f t="shared" si="19"/>
        <v>26</v>
      </c>
      <c r="AK54" s="63">
        <f t="shared" si="20"/>
        <v>160</v>
      </c>
      <c r="AL54" s="63">
        <f t="shared" si="21"/>
        <v>0</v>
      </c>
      <c r="AM54" s="63">
        <f t="shared" si="22"/>
        <v>0</v>
      </c>
      <c r="AN54" s="53">
        <f t="shared" si="23"/>
        <v>26</v>
      </c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</row>
    <row r="55" spans="1:53" ht="22" customHeight="1" x14ac:dyDescent="0.35">
      <c r="A55" s="8" t="s">
        <v>137</v>
      </c>
      <c r="B55" s="8" t="s">
        <v>138</v>
      </c>
      <c r="C55" s="8" t="s">
        <v>104</v>
      </c>
      <c r="D55" s="23" t="s">
        <v>7</v>
      </c>
      <c r="E55" s="24" t="s">
        <v>9</v>
      </c>
      <c r="F55" s="22" t="s">
        <v>5</v>
      </c>
      <c r="G55" s="22" t="s">
        <v>5</v>
      </c>
      <c r="H55" s="22" t="s">
        <v>5</v>
      </c>
      <c r="I55" s="22" t="s">
        <v>5</v>
      </c>
      <c r="J55" s="22" t="s">
        <v>5</v>
      </c>
      <c r="K55" s="23" t="s">
        <v>7</v>
      </c>
      <c r="L55" s="24" t="s">
        <v>9</v>
      </c>
      <c r="M55" s="22" t="s">
        <v>5</v>
      </c>
      <c r="N55" s="22" t="s">
        <v>5</v>
      </c>
      <c r="O55" s="26" t="s">
        <v>3</v>
      </c>
      <c r="P55" s="26" t="s">
        <v>3</v>
      </c>
      <c r="Q55" s="26" t="s">
        <v>3</v>
      </c>
      <c r="R55" s="27" t="s">
        <v>7</v>
      </c>
      <c r="S55" s="28" t="s">
        <v>11</v>
      </c>
      <c r="T55" s="26" t="s">
        <v>3</v>
      </c>
      <c r="U55" s="26" t="s">
        <v>3</v>
      </c>
      <c r="V55" s="26" t="s">
        <v>3</v>
      </c>
      <c r="W55" s="26" t="s">
        <v>3</v>
      </c>
      <c r="X55" s="26" t="s">
        <v>3</v>
      </c>
      <c r="Y55" s="27" t="s">
        <v>7</v>
      </c>
      <c r="Z55" s="28" t="s">
        <v>11</v>
      </c>
      <c r="AA55" s="26" t="s">
        <v>3</v>
      </c>
      <c r="AB55" s="22" t="s">
        <v>5</v>
      </c>
      <c r="AC55" s="22" t="s">
        <v>5</v>
      </c>
      <c r="AD55" s="26" t="s">
        <v>3</v>
      </c>
      <c r="AE55" s="26" t="s">
        <v>3</v>
      </c>
      <c r="AF55" s="8">
        <f t="shared" si="16"/>
        <v>11</v>
      </c>
      <c r="AG55" s="8">
        <f t="shared" si="17"/>
        <v>9</v>
      </c>
      <c r="AH55" s="29">
        <f t="shared" si="18"/>
        <v>2</v>
      </c>
      <c r="AI55" s="62">
        <v>2</v>
      </c>
      <c r="AJ55" s="33">
        <f t="shared" si="19"/>
        <v>14</v>
      </c>
      <c r="AK55" s="63">
        <f t="shared" si="20"/>
        <v>160</v>
      </c>
      <c r="AL55" s="63">
        <f t="shared" si="21"/>
        <v>1</v>
      </c>
      <c r="AM55" s="63">
        <f t="shared" si="22"/>
        <v>4</v>
      </c>
      <c r="AN55" s="53">
        <f t="shared" si="23"/>
        <v>13.5</v>
      </c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</row>
    <row r="56" spans="1:53" ht="22" customHeight="1" x14ac:dyDescent="0.35">
      <c r="A56" s="8" t="s">
        <v>139</v>
      </c>
      <c r="B56" s="8" t="s">
        <v>140</v>
      </c>
      <c r="C56" s="8" t="s">
        <v>104</v>
      </c>
      <c r="D56" s="27" t="s">
        <v>7</v>
      </c>
      <c r="E56" s="28" t="s">
        <v>11</v>
      </c>
      <c r="F56" s="26" t="s">
        <v>3</v>
      </c>
      <c r="G56" s="26" t="s">
        <v>3</v>
      </c>
      <c r="H56" s="26" t="s">
        <v>3</v>
      </c>
      <c r="I56" s="26" t="s">
        <v>3</v>
      </c>
      <c r="J56" s="26" t="s">
        <v>3</v>
      </c>
      <c r="K56" s="27" t="s">
        <v>7</v>
      </c>
      <c r="L56" s="28" t="s">
        <v>11</v>
      </c>
      <c r="M56" s="26" t="s">
        <v>3</v>
      </c>
      <c r="N56" s="26" t="s">
        <v>3</v>
      </c>
      <c r="O56" s="22" t="s">
        <v>5</v>
      </c>
      <c r="P56" s="22" t="s">
        <v>5</v>
      </c>
      <c r="Q56" s="22" t="s">
        <v>5</v>
      </c>
      <c r="R56" s="27" t="s">
        <v>7</v>
      </c>
      <c r="S56" s="28" t="s">
        <v>11</v>
      </c>
      <c r="T56" s="22" t="s">
        <v>5</v>
      </c>
      <c r="U56" s="26" t="s">
        <v>3</v>
      </c>
      <c r="V56" s="26" t="s">
        <v>3</v>
      </c>
      <c r="W56" s="26" t="s">
        <v>3</v>
      </c>
      <c r="X56" s="26" t="s">
        <v>3</v>
      </c>
      <c r="Y56" s="27" t="s">
        <v>7</v>
      </c>
      <c r="Z56" s="28" t="s">
        <v>11</v>
      </c>
      <c r="AA56" s="26" t="s">
        <v>3</v>
      </c>
      <c r="AB56" s="26" t="s">
        <v>3</v>
      </c>
      <c r="AC56" s="26" t="s">
        <v>3</v>
      </c>
      <c r="AD56" s="26" t="s">
        <v>3</v>
      </c>
      <c r="AE56" s="26" t="s">
        <v>3</v>
      </c>
      <c r="AF56" s="8">
        <f t="shared" si="16"/>
        <v>16</v>
      </c>
      <c r="AG56" s="8">
        <f t="shared" si="17"/>
        <v>4</v>
      </c>
      <c r="AH56" s="29">
        <f t="shared" si="18"/>
        <v>4</v>
      </c>
      <c r="AI56" s="62">
        <v>4</v>
      </c>
      <c r="AJ56" s="33">
        <f t="shared" si="19"/>
        <v>22</v>
      </c>
      <c r="AK56" s="63">
        <f t="shared" si="20"/>
        <v>160</v>
      </c>
      <c r="AL56" s="63">
        <f t="shared" si="21"/>
        <v>0</v>
      </c>
      <c r="AM56" s="63">
        <f t="shared" si="22"/>
        <v>0</v>
      </c>
      <c r="AN56" s="53">
        <f t="shared" si="23"/>
        <v>22</v>
      </c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</row>
    <row r="57" spans="1:53" ht="22" customHeight="1" x14ac:dyDescent="0.35">
      <c r="A57" s="8" t="s">
        <v>141</v>
      </c>
      <c r="B57" s="8" t="s">
        <v>142</v>
      </c>
      <c r="C57" s="8" t="s">
        <v>104</v>
      </c>
      <c r="D57" s="27" t="s">
        <v>7</v>
      </c>
      <c r="E57" s="28" t="s">
        <v>11</v>
      </c>
      <c r="F57" s="26" t="s">
        <v>3</v>
      </c>
      <c r="G57" s="26" t="s">
        <v>3</v>
      </c>
      <c r="H57" s="22" t="s">
        <v>5</v>
      </c>
      <c r="I57" s="26" t="s">
        <v>3</v>
      </c>
      <c r="J57" s="26" t="s">
        <v>3</v>
      </c>
      <c r="K57" s="27" t="s">
        <v>7</v>
      </c>
      <c r="L57" s="28" t="s">
        <v>11</v>
      </c>
      <c r="M57" s="26" t="s">
        <v>3</v>
      </c>
      <c r="N57" s="22" t="s">
        <v>5</v>
      </c>
      <c r="O57" s="22" t="s">
        <v>5</v>
      </c>
      <c r="P57" s="22" t="s">
        <v>5</v>
      </c>
      <c r="Q57" s="26" t="s">
        <v>3</v>
      </c>
      <c r="R57" s="27" t="s">
        <v>7</v>
      </c>
      <c r="S57" s="24" t="s">
        <v>9</v>
      </c>
      <c r="T57" s="26" t="s">
        <v>3</v>
      </c>
      <c r="U57" s="26" t="s">
        <v>3</v>
      </c>
      <c r="V57" s="26" t="s">
        <v>3</v>
      </c>
      <c r="W57" s="26" t="s">
        <v>3</v>
      </c>
      <c r="X57" s="26" t="s">
        <v>3</v>
      </c>
      <c r="Y57" s="27" t="s">
        <v>7</v>
      </c>
      <c r="Z57" s="24" t="s">
        <v>9</v>
      </c>
      <c r="AA57" s="26" t="s">
        <v>3</v>
      </c>
      <c r="AB57" s="26" t="s">
        <v>3</v>
      </c>
      <c r="AC57" s="26" t="s">
        <v>3</v>
      </c>
      <c r="AD57" s="26" t="s">
        <v>3</v>
      </c>
      <c r="AE57" s="26" t="s">
        <v>3</v>
      </c>
      <c r="AF57" s="8">
        <f t="shared" si="16"/>
        <v>16</v>
      </c>
      <c r="AG57" s="8">
        <f t="shared" si="17"/>
        <v>4</v>
      </c>
      <c r="AH57" s="29">
        <f t="shared" si="18"/>
        <v>2</v>
      </c>
      <c r="AI57" s="62">
        <v>4</v>
      </c>
      <c r="AJ57" s="33">
        <f t="shared" si="19"/>
        <v>20</v>
      </c>
      <c r="AK57" s="63">
        <f t="shared" si="20"/>
        <v>160</v>
      </c>
      <c r="AL57" s="63">
        <f t="shared" si="21"/>
        <v>0</v>
      </c>
      <c r="AM57" s="63">
        <f t="shared" si="22"/>
        <v>0</v>
      </c>
      <c r="AN57" s="53">
        <f t="shared" si="23"/>
        <v>20</v>
      </c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</row>
    <row r="58" spans="1:53" ht="22" customHeight="1" x14ac:dyDescent="0.35">
      <c r="A58" s="8" t="s">
        <v>143</v>
      </c>
      <c r="B58" s="8" t="s">
        <v>144</v>
      </c>
      <c r="C58" s="8" t="s">
        <v>104</v>
      </c>
      <c r="D58" s="23" t="s">
        <v>7</v>
      </c>
      <c r="E58" s="24" t="s">
        <v>9</v>
      </c>
      <c r="F58" s="22" t="s">
        <v>5</v>
      </c>
      <c r="G58" s="22" t="s">
        <v>5</v>
      </c>
      <c r="H58" s="26" t="s">
        <v>3</v>
      </c>
      <c r="I58" s="26" t="s">
        <v>3</v>
      </c>
      <c r="J58" s="26" t="s">
        <v>3</v>
      </c>
      <c r="K58" s="27" t="s">
        <v>7</v>
      </c>
      <c r="L58" s="24" t="s">
        <v>9</v>
      </c>
      <c r="M58" s="26" t="s">
        <v>3</v>
      </c>
      <c r="N58" s="26" t="s">
        <v>3</v>
      </c>
      <c r="O58" s="26" t="s">
        <v>3</v>
      </c>
      <c r="P58" s="26" t="s">
        <v>3</v>
      </c>
      <c r="Q58" s="26" t="s">
        <v>3</v>
      </c>
      <c r="R58" s="27" t="s">
        <v>7</v>
      </c>
      <c r="S58" s="28" t="s">
        <v>11</v>
      </c>
      <c r="T58" s="26" t="s">
        <v>3</v>
      </c>
      <c r="U58" s="26" t="s">
        <v>3</v>
      </c>
      <c r="V58" s="26" t="s">
        <v>3</v>
      </c>
      <c r="W58" s="26" t="s">
        <v>3</v>
      </c>
      <c r="X58" s="26" t="s">
        <v>3</v>
      </c>
      <c r="Y58" s="27" t="s">
        <v>7</v>
      </c>
      <c r="Z58" s="28" t="s">
        <v>11</v>
      </c>
      <c r="AA58" s="26" t="s">
        <v>3</v>
      </c>
      <c r="AB58" s="26" t="s">
        <v>3</v>
      </c>
      <c r="AC58" s="26" t="s">
        <v>3</v>
      </c>
      <c r="AD58" s="26" t="s">
        <v>3</v>
      </c>
      <c r="AE58" s="26" t="s">
        <v>3</v>
      </c>
      <c r="AF58" s="8">
        <f t="shared" si="16"/>
        <v>18</v>
      </c>
      <c r="AG58" s="8">
        <f t="shared" si="17"/>
        <v>2</v>
      </c>
      <c r="AH58" s="29">
        <f t="shared" si="18"/>
        <v>2</v>
      </c>
      <c r="AI58" s="62">
        <v>3</v>
      </c>
      <c r="AJ58" s="33">
        <f t="shared" si="19"/>
        <v>21.5</v>
      </c>
      <c r="AK58" s="63">
        <f t="shared" si="20"/>
        <v>160</v>
      </c>
      <c r="AL58" s="63">
        <f t="shared" si="21"/>
        <v>1</v>
      </c>
      <c r="AM58" s="63">
        <f t="shared" si="22"/>
        <v>4</v>
      </c>
      <c r="AN58" s="53">
        <f t="shared" si="23"/>
        <v>21</v>
      </c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</row>
    <row r="59" spans="1:53" ht="22" customHeight="1" x14ac:dyDescent="0.35">
      <c r="A59" s="8" t="s">
        <v>145</v>
      </c>
      <c r="B59" s="8" t="s">
        <v>146</v>
      </c>
      <c r="C59" s="8" t="s">
        <v>104</v>
      </c>
      <c r="D59" s="27" t="s">
        <v>7</v>
      </c>
      <c r="E59" s="28" t="s">
        <v>11</v>
      </c>
      <c r="F59" s="26" t="s">
        <v>3</v>
      </c>
      <c r="G59" s="26" t="s">
        <v>3</v>
      </c>
      <c r="H59" s="26" t="s">
        <v>3</v>
      </c>
      <c r="I59" s="26" t="s">
        <v>3</v>
      </c>
      <c r="J59" s="26" t="s">
        <v>3</v>
      </c>
      <c r="K59" s="27" t="s">
        <v>7</v>
      </c>
      <c r="L59" s="28" t="s">
        <v>11</v>
      </c>
      <c r="M59" s="26" t="s">
        <v>3</v>
      </c>
      <c r="N59" s="26" t="s">
        <v>3</v>
      </c>
      <c r="O59" s="26" t="s">
        <v>3</v>
      </c>
      <c r="P59" s="26" t="s">
        <v>3</v>
      </c>
      <c r="Q59" s="26" t="s">
        <v>3</v>
      </c>
      <c r="R59" s="27" t="s">
        <v>7</v>
      </c>
      <c r="S59" s="28" t="s">
        <v>11</v>
      </c>
      <c r="T59" s="22" t="s">
        <v>5</v>
      </c>
      <c r="U59" s="26" t="s">
        <v>3</v>
      </c>
      <c r="V59" s="26" t="s">
        <v>3</v>
      </c>
      <c r="W59" s="26" t="s">
        <v>3</v>
      </c>
      <c r="X59" s="26" t="s">
        <v>3</v>
      </c>
      <c r="Y59" s="27" t="s">
        <v>7</v>
      </c>
      <c r="Z59" s="28" t="s">
        <v>11</v>
      </c>
      <c r="AA59" s="26" t="s">
        <v>3</v>
      </c>
      <c r="AB59" s="26" t="s">
        <v>3</v>
      </c>
      <c r="AC59" s="26" t="s">
        <v>3</v>
      </c>
      <c r="AD59" s="26" t="s">
        <v>3</v>
      </c>
      <c r="AE59" s="26" t="s">
        <v>3</v>
      </c>
      <c r="AF59" s="8">
        <f t="shared" si="16"/>
        <v>19</v>
      </c>
      <c r="AG59" s="8">
        <f t="shared" si="17"/>
        <v>1</v>
      </c>
      <c r="AH59" s="29">
        <f t="shared" si="18"/>
        <v>4</v>
      </c>
      <c r="AI59" s="62">
        <v>4</v>
      </c>
      <c r="AJ59" s="33">
        <f t="shared" si="19"/>
        <v>25</v>
      </c>
      <c r="AK59" s="63">
        <f t="shared" si="20"/>
        <v>160</v>
      </c>
      <c r="AL59" s="63">
        <f t="shared" si="21"/>
        <v>0</v>
      </c>
      <c r="AM59" s="63">
        <f t="shared" si="22"/>
        <v>0</v>
      </c>
      <c r="AN59" s="53">
        <f t="shared" si="23"/>
        <v>25</v>
      </c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</row>
    <row r="60" spans="1:53" ht="22" customHeight="1" x14ac:dyDescent="0.35">
      <c r="A60" s="8" t="s">
        <v>147</v>
      </c>
      <c r="B60" s="8" t="s">
        <v>148</v>
      </c>
      <c r="C60" s="8" t="s">
        <v>104</v>
      </c>
      <c r="D60" s="27" t="s">
        <v>7</v>
      </c>
      <c r="E60" s="28" t="s">
        <v>11</v>
      </c>
      <c r="F60" s="26" t="s">
        <v>3</v>
      </c>
      <c r="G60" s="26" t="s">
        <v>3</v>
      </c>
      <c r="H60" s="26" t="s">
        <v>3</v>
      </c>
      <c r="I60" s="26" t="s">
        <v>3</v>
      </c>
      <c r="J60" s="26" t="s">
        <v>3</v>
      </c>
      <c r="K60" s="27" t="s">
        <v>7</v>
      </c>
      <c r="L60" s="24" t="s">
        <v>9</v>
      </c>
      <c r="M60" s="22" t="s">
        <v>5</v>
      </c>
      <c r="N60" s="22" t="s">
        <v>5</v>
      </c>
      <c r="O60" s="26" t="s">
        <v>3</v>
      </c>
      <c r="P60" s="26" t="s">
        <v>3</v>
      </c>
      <c r="Q60" s="26" t="s">
        <v>3</v>
      </c>
      <c r="R60" s="27" t="s">
        <v>7</v>
      </c>
      <c r="S60" s="28" t="s">
        <v>11</v>
      </c>
      <c r="T60" s="26" t="s">
        <v>3</v>
      </c>
      <c r="U60" s="26" t="s">
        <v>3</v>
      </c>
      <c r="V60" s="26" t="s">
        <v>3</v>
      </c>
      <c r="W60" s="26" t="s">
        <v>3</v>
      </c>
      <c r="X60" s="26" t="s">
        <v>3</v>
      </c>
      <c r="Y60" s="27" t="s">
        <v>7</v>
      </c>
      <c r="Z60" s="28" t="s">
        <v>11</v>
      </c>
      <c r="AA60" s="26" t="s">
        <v>3</v>
      </c>
      <c r="AB60" s="26" t="s">
        <v>3</v>
      </c>
      <c r="AC60" s="26" t="s">
        <v>3</v>
      </c>
      <c r="AD60" s="26" t="s">
        <v>3</v>
      </c>
      <c r="AE60" s="26" t="s">
        <v>3</v>
      </c>
      <c r="AF60" s="8">
        <f t="shared" si="16"/>
        <v>18</v>
      </c>
      <c r="AG60" s="8">
        <f t="shared" si="17"/>
        <v>2</v>
      </c>
      <c r="AH60" s="29">
        <f t="shared" si="18"/>
        <v>3</v>
      </c>
      <c r="AI60" s="62">
        <v>4</v>
      </c>
      <c r="AJ60" s="33">
        <f t="shared" si="19"/>
        <v>23</v>
      </c>
      <c r="AK60" s="63">
        <f t="shared" si="20"/>
        <v>160</v>
      </c>
      <c r="AL60" s="63">
        <f t="shared" si="21"/>
        <v>0</v>
      </c>
      <c r="AM60" s="63">
        <f t="shared" si="22"/>
        <v>0</v>
      </c>
      <c r="AN60" s="53">
        <f t="shared" si="23"/>
        <v>23</v>
      </c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</row>
    <row r="61" spans="1:53" ht="22" customHeight="1" x14ac:dyDescent="0.35">
      <c r="A61" s="8" t="s">
        <v>149</v>
      </c>
      <c r="B61" s="8" t="s">
        <v>150</v>
      </c>
      <c r="C61" s="8" t="s">
        <v>104</v>
      </c>
      <c r="D61" s="23" t="s">
        <v>7</v>
      </c>
      <c r="E61" s="24" t="s">
        <v>9</v>
      </c>
      <c r="F61" s="22" t="s">
        <v>5</v>
      </c>
      <c r="G61" s="22" t="s">
        <v>5</v>
      </c>
      <c r="H61" s="22" t="s">
        <v>5</v>
      </c>
      <c r="I61" s="22" t="s">
        <v>5</v>
      </c>
      <c r="J61" s="26" t="s">
        <v>3</v>
      </c>
      <c r="K61" s="27" t="s">
        <v>7</v>
      </c>
      <c r="L61" s="28" t="s">
        <v>11</v>
      </c>
      <c r="M61" s="26" t="s">
        <v>3</v>
      </c>
      <c r="N61" s="26" t="s">
        <v>3</v>
      </c>
      <c r="O61" s="26" t="s">
        <v>3</v>
      </c>
      <c r="P61" s="26" t="s">
        <v>3</v>
      </c>
      <c r="Q61" s="26" t="s">
        <v>3</v>
      </c>
      <c r="R61" s="27" t="s">
        <v>7</v>
      </c>
      <c r="S61" s="28" t="s">
        <v>11</v>
      </c>
      <c r="T61" s="26" t="s">
        <v>3</v>
      </c>
      <c r="U61" s="26" t="s">
        <v>3</v>
      </c>
      <c r="V61" s="26" t="s">
        <v>3</v>
      </c>
      <c r="W61" s="26" t="s">
        <v>3</v>
      </c>
      <c r="X61" s="26" t="s">
        <v>3</v>
      </c>
      <c r="Y61" s="27" t="s">
        <v>7</v>
      </c>
      <c r="Z61" s="28" t="s">
        <v>11</v>
      </c>
      <c r="AA61" s="26" t="s">
        <v>3</v>
      </c>
      <c r="AB61" s="26" t="s">
        <v>3</v>
      </c>
      <c r="AC61" s="26" t="s">
        <v>3</v>
      </c>
      <c r="AD61" s="26" t="s">
        <v>3</v>
      </c>
      <c r="AE61" s="26" t="s">
        <v>3</v>
      </c>
      <c r="AF61" s="8">
        <f t="shared" si="16"/>
        <v>16</v>
      </c>
      <c r="AG61" s="8">
        <f t="shared" si="17"/>
        <v>4</v>
      </c>
      <c r="AH61" s="29">
        <f t="shared" si="18"/>
        <v>3</v>
      </c>
      <c r="AI61" s="62">
        <v>3</v>
      </c>
      <c r="AJ61" s="33">
        <f t="shared" si="19"/>
        <v>20.5</v>
      </c>
      <c r="AK61" s="63">
        <f t="shared" si="20"/>
        <v>160</v>
      </c>
      <c r="AL61" s="63">
        <f t="shared" si="21"/>
        <v>1</v>
      </c>
      <c r="AM61" s="63">
        <f t="shared" si="22"/>
        <v>4</v>
      </c>
      <c r="AN61" s="53">
        <f t="shared" si="23"/>
        <v>20</v>
      </c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</row>
    <row r="62" spans="1:53" ht="22" customHeight="1" x14ac:dyDescent="0.35">
      <c r="A62" s="8" t="s">
        <v>151</v>
      </c>
      <c r="B62" s="8" t="s">
        <v>152</v>
      </c>
      <c r="C62" s="8" t="s">
        <v>104</v>
      </c>
      <c r="D62" s="23" t="s">
        <v>7</v>
      </c>
      <c r="E62" s="24" t="s">
        <v>9</v>
      </c>
      <c r="F62" s="22" t="s">
        <v>5</v>
      </c>
      <c r="G62" s="22" t="s">
        <v>5</v>
      </c>
      <c r="H62" s="22" t="s">
        <v>5</v>
      </c>
      <c r="I62" s="22" t="s">
        <v>5</v>
      </c>
      <c r="J62" s="26" t="s">
        <v>3</v>
      </c>
      <c r="K62" s="27" t="s">
        <v>7</v>
      </c>
      <c r="L62" s="28" t="s">
        <v>11</v>
      </c>
      <c r="M62" s="26" t="s">
        <v>3</v>
      </c>
      <c r="N62" s="26" t="s">
        <v>3</v>
      </c>
      <c r="O62" s="26" t="s">
        <v>3</v>
      </c>
      <c r="P62" s="26" t="s">
        <v>3</v>
      </c>
      <c r="Q62" s="26" t="s">
        <v>3</v>
      </c>
      <c r="R62" s="27" t="s">
        <v>7</v>
      </c>
      <c r="S62" s="28" t="s">
        <v>11</v>
      </c>
      <c r="T62" s="22" t="s">
        <v>5</v>
      </c>
      <c r="U62" s="26" t="s">
        <v>3</v>
      </c>
      <c r="V62" s="26" t="s">
        <v>3</v>
      </c>
      <c r="W62" s="26" t="s">
        <v>3</v>
      </c>
      <c r="X62" s="26" t="s">
        <v>3</v>
      </c>
      <c r="Y62" s="27" t="s">
        <v>7</v>
      </c>
      <c r="Z62" s="28" t="s">
        <v>11</v>
      </c>
      <c r="AA62" s="26" t="s">
        <v>3</v>
      </c>
      <c r="AB62" s="26" t="s">
        <v>3</v>
      </c>
      <c r="AC62" s="26" t="s">
        <v>3</v>
      </c>
      <c r="AD62" s="26" t="s">
        <v>3</v>
      </c>
      <c r="AE62" s="26" t="s">
        <v>3</v>
      </c>
      <c r="AF62" s="8">
        <f t="shared" si="16"/>
        <v>15</v>
      </c>
      <c r="AG62" s="8">
        <f t="shared" si="17"/>
        <v>5</v>
      </c>
      <c r="AH62" s="29">
        <f t="shared" si="18"/>
        <v>3</v>
      </c>
      <c r="AI62" s="62">
        <v>3</v>
      </c>
      <c r="AJ62" s="33">
        <f t="shared" si="19"/>
        <v>19.5</v>
      </c>
      <c r="AK62" s="63">
        <f t="shared" si="20"/>
        <v>160</v>
      </c>
      <c r="AL62" s="63">
        <f t="shared" si="21"/>
        <v>1</v>
      </c>
      <c r="AM62" s="63">
        <f t="shared" si="22"/>
        <v>4</v>
      </c>
      <c r="AN62" s="53">
        <f t="shared" si="23"/>
        <v>19</v>
      </c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</row>
    <row r="63" spans="1:53" ht="22" customHeight="1" x14ac:dyDescent="0.35">
      <c r="A63" s="8" t="s">
        <v>153</v>
      </c>
      <c r="B63" s="8" t="s">
        <v>154</v>
      </c>
      <c r="C63" s="8" t="s">
        <v>104</v>
      </c>
      <c r="D63" s="27" t="s">
        <v>7</v>
      </c>
      <c r="E63" s="28" t="s">
        <v>11</v>
      </c>
      <c r="F63" s="26" t="s">
        <v>3</v>
      </c>
      <c r="G63" s="26" t="s">
        <v>3</v>
      </c>
      <c r="H63" s="26" t="s">
        <v>3</v>
      </c>
      <c r="I63" s="26" t="s">
        <v>3</v>
      </c>
      <c r="J63" s="26" t="s">
        <v>3</v>
      </c>
      <c r="K63" s="27" t="s">
        <v>7</v>
      </c>
      <c r="L63" s="28" t="s">
        <v>11</v>
      </c>
      <c r="M63" s="26" t="s">
        <v>3</v>
      </c>
      <c r="N63" s="26" t="s">
        <v>3</v>
      </c>
      <c r="O63" s="26" t="s">
        <v>3</v>
      </c>
      <c r="P63" s="26" t="s">
        <v>3</v>
      </c>
      <c r="Q63" s="26" t="s">
        <v>3</v>
      </c>
      <c r="R63" s="27" t="s">
        <v>7</v>
      </c>
      <c r="S63" s="28" t="s">
        <v>11</v>
      </c>
      <c r="T63" s="26" t="s">
        <v>3</v>
      </c>
      <c r="U63" s="26" t="s">
        <v>3</v>
      </c>
      <c r="V63" s="26" t="s">
        <v>3</v>
      </c>
      <c r="W63" s="26" t="s">
        <v>3</v>
      </c>
      <c r="X63" s="26" t="s">
        <v>3</v>
      </c>
      <c r="Y63" s="27" t="s">
        <v>7</v>
      </c>
      <c r="Z63" s="28" t="s">
        <v>11</v>
      </c>
      <c r="AA63" s="26" t="s">
        <v>3</v>
      </c>
      <c r="AB63" s="26" t="s">
        <v>3</v>
      </c>
      <c r="AC63" s="26" t="s">
        <v>3</v>
      </c>
      <c r="AD63" s="26" t="s">
        <v>3</v>
      </c>
      <c r="AE63" s="26" t="s">
        <v>3</v>
      </c>
      <c r="AF63" s="8">
        <f t="shared" si="16"/>
        <v>20</v>
      </c>
      <c r="AG63" s="8">
        <f t="shared" si="17"/>
        <v>0</v>
      </c>
      <c r="AH63" s="29">
        <f t="shared" si="18"/>
        <v>4</v>
      </c>
      <c r="AI63" s="62">
        <v>4</v>
      </c>
      <c r="AJ63" s="33">
        <f t="shared" si="19"/>
        <v>26</v>
      </c>
      <c r="AK63" s="63">
        <f t="shared" si="20"/>
        <v>160</v>
      </c>
      <c r="AL63" s="63">
        <f t="shared" si="21"/>
        <v>0</v>
      </c>
      <c r="AM63" s="63">
        <f t="shared" si="22"/>
        <v>0</v>
      </c>
      <c r="AN63" s="53">
        <f t="shared" si="23"/>
        <v>26</v>
      </c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</row>
    <row r="64" spans="1:53" ht="22" customHeight="1" x14ac:dyDescent="0.35">
      <c r="A64" s="8" t="s">
        <v>155</v>
      </c>
      <c r="B64" s="8" t="s">
        <v>156</v>
      </c>
      <c r="C64" s="8" t="s">
        <v>104</v>
      </c>
      <c r="D64" s="27" t="s">
        <v>7</v>
      </c>
      <c r="E64" s="28" t="s">
        <v>11</v>
      </c>
      <c r="F64" s="26" t="s">
        <v>3</v>
      </c>
      <c r="G64" s="26" t="s">
        <v>3</v>
      </c>
      <c r="H64" s="26" t="s">
        <v>3</v>
      </c>
      <c r="I64" s="26" t="s">
        <v>3</v>
      </c>
      <c r="J64" s="26" t="s">
        <v>3</v>
      </c>
      <c r="K64" s="27" t="s">
        <v>7</v>
      </c>
      <c r="L64" s="28" t="s">
        <v>11</v>
      </c>
      <c r="M64" s="26" t="s">
        <v>3</v>
      </c>
      <c r="N64" s="26" t="s">
        <v>3</v>
      </c>
      <c r="O64" s="26" t="s">
        <v>3</v>
      </c>
      <c r="P64" s="26" t="s">
        <v>3</v>
      </c>
      <c r="Q64" s="26" t="s">
        <v>3</v>
      </c>
      <c r="R64" s="27" t="s">
        <v>7</v>
      </c>
      <c r="S64" s="28" t="s">
        <v>11</v>
      </c>
      <c r="T64" s="22" t="s">
        <v>5</v>
      </c>
      <c r="U64" s="26" t="s">
        <v>3</v>
      </c>
      <c r="V64" s="26" t="s">
        <v>3</v>
      </c>
      <c r="W64" s="26" t="s">
        <v>3</v>
      </c>
      <c r="X64" s="26" t="s">
        <v>3</v>
      </c>
      <c r="Y64" s="27" t="s">
        <v>7</v>
      </c>
      <c r="Z64" s="28" t="s">
        <v>11</v>
      </c>
      <c r="AA64" s="26" t="s">
        <v>3</v>
      </c>
      <c r="AB64" s="22" t="s">
        <v>5</v>
      </c>
      <c r="AC64" s="26" t="s">
        <v>3</v>
      </c>
      <c r="AD64" s="26" t="s">
        <v>3</v>
      </c>
      <c r="AE64" s="26" t="s">
        <v>3</v>
      </c>
      <c r="AF64" s="8">
        <f t="shared" si="16"/>
        <v>18</v>
      </c>
      <c r="AG64" s="8">
        <f t="shared" si="17"/>
        <v>2</v>
      </c>
      <c r="AH64" s="29">
        <f t="shared" si="18"/>
        <v>4</v>
      </c>
      <c r="AI64" s="62">
        <v>4</v>
      </c>
      <c r="AJ64" s="33">
        <f t="shared" si="19"/>
        <v>24</v>
      </c>
      <c r="AK64" s="63">
        <f t="shared" si="20"/>
        <v>160</v>
      </c>
      <c r="AL64" s="63">
        <f t="shared" si="21"/>
        <v>0</v>
      </c>
      <c r="AM64" s="63">
        <f t="shared" si="22"/>
        <v>0</v>
      </c>
      <c r="AN64" s="53">
        <f t="shared" si="23"/>
        <v>24</v>
      </c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</row>
    <row r="65" spans="1:53" ht="22" customHeight="1" x14ac:dyDescent="0.35">
      <c r="A65" s="8" t="s">
        <v>157</v>
      </c>
      <c r="B65" s="8" t="s">
        <v>158</v>
      </c>
      <c r="C65" s="8" t="s">
        <v>104</v>
      </c>
      <c r="D65" s="23" t="s">
        <v>7</v>
      </c>
      <c r="E65" s="24" t="s">
        <v>9</v>
      </c>
      <c r="F65" s="22" t="s">
        <v>5</v>
      </c>
      <c r="G65" s="22" t="s">
        <v>5</v>
      </c>
      <c r="H65" s="22" t="s">
        <v>5</v>
      </c>
      <c r="I65" s="22" t="s">
        <v>5</v>
      </c>
      <c r="J65" s="22" t="s">
        <v>5</v>
      </c>
      <c r="K65" s="23" t="s">
        <v>7</v>
      </c>
      <c r="L65" s="24" t="s">
        <v>9</v>
      </c>
      <c r="M65" s="22" t="s">
        <v>5</v>
      </c>
      <c r="N65" s="22" t="s">
        <v>5</v>
      </c>
      <c r="O65" s="22" t="s">
        <v>5</v>
      </c>
      <c r="P65" s="22" t="s">
        <v>5</v>
      </c>
      <c r="Q65" s="22" t="s">
        <v>5</v>
      </c>
      <c r="R65" s="23" t="s">
        <v>7</v>
      </c>
      <c r="S65" s="24" t="s">
        <v>9</v>
      </c>
      <c r="T65" s="22" t="s">
        <v>5</v>
      </c>
      <c r="U65" s="22" t="s">
        <v>5</v>
      </c>
      <c r="V65" s="22" t="s">
        <v>5</v>
      </c>
      <c r="W65" s="22" t="s">
        <v>5</v>
      </c>
      <c r="X65" s="22" t="s">
        <v>5</v>
      </c>
      <c r="Y65" s="23" t="s">
        <v>7</v>
      </c>
      <c r="Z65" s="24" t="s">
        <v>9</v>
      </c>
      <c r="AA65" s="22" t="s">
        <v>5</v>
      </c>
      <c r="AB65" s="22" t="s">
        <v>5</v>
      </c>
      <c r="AC65" s="22" t="s">
        <v>5</v>
      </c>
      <c r="AD65" s="22" t="s">
        <v>5</v>
      </c>
      <c r="AE65" s="22" t="s">
        <v>5</v>
      </c>
      <c r="AF65" s="8">
        <f t="shared" si="16"/>
        <v>0</v>
      </c>
      <c r="AG65" s="25">
        <f t="shared" si="17"/>
        <v>20</v>
      </c>
      <c r="AH65" s="8">
        <f t="shared" si="18"/>
        <v>0</v>
      </c>
      <c r="AI65" s="62">
        <v>0</v>
      </c>
      <c r="AJ65" s="33">
        <f t="shared" si="19"/>
        <v>0</v>
      </c>
      <c r="AK65" s="63">
        <f t="shared" si="20"/>
        <v>160</v>
      </c>
      <c r="AL65" s="63">
        <f t="shared" si="21"/>
        <v>0</v>
      </c>
      <c r="AM65" s="63">
        <f t="shared" si="22"/>
        <v>0</v>
      </c>
      <c r="AN65" s="53">
        <f t="shared" si="23"/>
        <v>0</v>
      </c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</row>
    <row r="66" spans="1:53" ht="22" customHeight="1" x14ac:dyDescent="0.35">
      <c r="A66" s="8" t="s">
        <v>159</v>
      </c>
      <c r="B66" s="8" t="s">
        <v>160</v>
      </c>
      <c r="C66" s="8" t="s">
        <v>104</v>
      </c>
      <c r="D66" s="23" t="s">
        <v>7</v>
      </c>
      <c r="E66" s="24" t="s">
        <v>9</v>
      </c>
      <c r="F66" s="22" t="s">
        <v>5</v>
      </c>
      <c r="G66" s="22" t="s">
        <v>5</v>
      </c>
      <c r="H66" s="22" t="s">
        <v>5</v>
      </c>
      <c r="I66" s="22" t="s">
        <v>5</v>
      </c>
      <c r="J66" s="22" t="s">
        <v>5</v>
      </c>
      <c r="K66" s="23" t="s">
        <v>7</v>
      </c>
      <c r="L66" s="24" t="s">
        <v>9</v>
      </c>
      <c r="M66" s="22" t="s">
        <v>5</v>
      </c>
      <c r="N66" s="22" t="s">
        <v>5</v>
      </c>
      <c r="O66" s="22" t="s">
        <v>5</v>
      </c>
      <c r="P66" s="22" t="s">
        <v>5</v>
      </c>
      <c r="Q66" s="22" t="s">
        <v>5</v>
      </c>
      <c r="R66" s="23" t="s">
        <v>7</v>
      </c>
      <c r="S66" s="24" t="s">
        <v>9</v>
      </c>
      <c r="T66" s="22" t="s">
        <v>5</v>
      </c>
      <c r="U66" s="22" t="s">
        <v>5</v>
      </c>
      <c r="V66" s="22" t="s">
        <v>5</v>
      </c>
      <c r="W66" s="22" t="s">
        <v>5</v>
      </c>
      <c r="X66" s="22" t="s">
        <v>5</v>
      </c>
      <c r="Y66" s="23" t="s">
        <v>7</v>
      </c>
      <c r="Z66" s="24" t="s">
        <v>9</v>
      </c>
      <c r="AA66" s="22" t="s">
        <v>5</v>
      </c>
      <c r="AB66" s="22" t="s">
        <v>5</v>
      </c>
      <c r="AC66" s="22" t="s">
        <v>5</v>
      </c>
      <c r="AD66" s="22" t="s">
        <v>5</v>
      </c>
      <c r="AE66" s="22" t="s">
        <v>5</v>
      </c>
      <c r="AF66" s="8">
        <f t="shared" si="16"/>
        <v>0</v>
      </c>
      <c r="AG66" s="25">
        <f t="shared" si="17"/>
        <v>20</v>
      </c>
      <c r="AH66" s="8">
        <f t="shared" si="18"/>
        <v>0</v>
      </c>
      <c r="AI66" s="62">
        <v>0</v>
      </c>
      <c r="AJ66" s="33">
        <f t="shared" si="19"/>
        <v>0</v>
      </c>
      <c r="AK66" s="63">
        <f t="shared" si="20"/>
        <v>160</v>
      </c>
      <c r="AL66" s="63">
        <f t="shared" si="21"/>
        <v>0</v>
      </c>
      <c r="AM66" s="63">
        <f t="shared" si="22"/>
        <v>0</v>
      </c>
      <c r="AN66" s="53">
        <f t="shared" si="23"/>
        <v>0</v>
      </c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</row>
    <row r="67" spans="1:53" ht="22" customHeight="1" x14ac:dyDescent="0.35">
      <c r="A67" s="8" t="s">
        <v>161</v>
      </c>
      <c r="B67" s="8" t="s">
        <v>162</v>
      </c>
      <c r="C67" s="8" t="s">
        <v>104</v>
      </c>
      <c r="D67" s="23" t="s">
        <v>7</v>
      </c>
      <c r="E67" s="24" t="s">
        <v>9</v>
      </c>
      <c r="F67" s="22" t="s">
        <v>5</v>
      </c>
      <c r="G67" s="22" t="s">
        <v>5</v>
      </c>
      <c r="H67" s="22" t="s">
        <v>5</v>
      </c>
      <c r="I67" s="22" t="s">
        <v>5</v>
      </c>
      <c r="J67" s="22" t="s">
        <v>5</v>
      </c>
      <c r="K67" s="23" t="s">
        <v>7</v>
      </c>
      <c r="L67" s="24" t="s">
        <v>9</v>
      </c>
      <c r="M67" s="22" t="s">
        <v>5</v>
      </c>
      <c r="N67" s="22" t="s">
        <v>5</v>
      </c>
      <c r="O67" s="22" t="s">
        <v>5</v>
      </c>
      <c r="P67" s="22" t="s">
        <v>5</v>
      </c>
      <c r="Q67" s="22" t="s">
        <v>5</v>
      </c>
      <c r="R67" s="23" t="s">
        <v>7</v>
      </c>
      <c r="S67" s="24" t="s">
        <v>9</v>
      </c>
      <c r="T67" s="22" t="s">
        <v>5</v>
      </c>
      <c r="U67" s="22" t="s">
        <v>5</v>
      </c>
      <c r="V67" s="22" t="s">
        <v>5</v>
      </c>
      <c r="W67" s="22" t="s">
        <v>5</v>
      </c>
      <c r="X67" s="22" t="s">
        <v>5</v>
      </c>
      <c r="Y67" s="23" t="s">
        <v>7</v>
      </c>
      <c r="Z67" s="24" t="s">
        <v>9</v>
      </c>
      <c r="AA67" s="22" t="s">
        <v>5</v>
      </c>
      <c r="AB67" s="22" t="s">
        <v>5</v>
      </c>
      <c r="AC67" s="22" t="s">
        <v>5</v>
      </c>
      <c r="AD67" s="22" t="s">
        <v>5</v>
      </c>
      <c r="AE67" s="22" t="s">
        <v>5</v>
      </c>
      <c r="AF67" s="8">
        <f t="shared" si="16"/>
        <v>0</v>
      </c>
      <c r="AG67" s="25">
        <f t="shared" si="17"/>
        <v>20</v>
      </c>
      <c r="AH67" s="8">
        <f t="shared" si="18"/>
        <v>0</v>
      </c>
      <c r="AI67" s="62">
        <v>0</v>
      </c>
      <c r="AJ67" s="33">
        <f t="shared" si="19"/>
        <v>0</v>
      </c>
      <c r="AK67" s="63">
        <f t="shared" si="20"/>
        <v>160</v>
      </c>
      <c r="AL67" s="63">
        <f t="shared" si="21"/>
        <v>0</v>
      </c>
      <c r="AM67" s="63">
        <f t="shared" si="22"/>
        <v>0</v>
      </c>
      <c r="AN67" s="53">
        <f t="shared" si="23"/>
        <v>0</v>
      </c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</row>
    <row r="68" spans="1:53" ht="22" customHeight="1" x14ac:dyDescent="0.35">
      <c r="A68" s="8" t="s">
        <v>163</v>
      </c>
      <c r="B68" s="8" t="s">
        <v>164</v>
      </c>
      <c r="C68" s="8" t="s">
        <v>104</v>
      </c>
      <c r="D68" s="23" t="s">
        <v>7</v>
      </c>
      <c r="E68" s="24" t="s">
        <v>9</v>
      </c>
      <c r="F68" s="22" t="s">
        <v>5</v>
      </c>
      <c r="G68" s="22" t="s">
        <v>5</v>
      </c>
      <c r="H68" s="22" t="s">
        <v>5</v>
      </c>
      <c r="I68" s="22" t="s">
        <v>5</v>
      </c>
      <c r="J68" s="22" t="s">
        <v>5</v>
      </c>
      <c r="K68" s="23" t="s">
        <v>7</v>
      </c>
      <c r="L68" s="24" t="s">
        <v>9</v>
      </c>
      <c r="M68" s="22" t="s">
        <v>5</v>
      </c>
      <c r="N68" s="22" t="s">
        <v>5</v>
      </c>
      <c r="O68" s="22" t="s">
        <v>5</v>
      </c>
      <c r="P68" s="22" t="s">
        <v>5</v>
      </c>
      <c r="Q68" s="22" t="s">
        <v>5</v>
      </c>
      <c r="R68" s="23" t="s">
        <v>7</v>
      </c>
      <c r="S68" s="24" t="s">
        <v>9</v>
      </c>
      <c r="T68" s="22" t="s">
        <v>5</v>
      </c>
      <c r="U68" s="22" t="s">
        <v>5</v>
      </c>
      <c r="V68" s="22" t="s">
        <v>5</v>
      </c>
      <c r="W68" s="22" t="s">
        <v>5</v>
      </c>
      <c r="X68" s="22" t="s">
        <v>5</v>
      </c>
      <c r="Y68" s="23" t="s">
        <v>7</v>
      </c>
      <c r="Z68" s="24" t="s">
        <v>9</v>
      </c>
      <c r="AA68" s="22" t="s">
        <v>5</v>
      </c>
      <c r="AB68" s="22" t="s">
        <v>5</v>
      </c>
      <c r="AC68" s="22" t="s">
        <v>5</v>
      </c>
      <c r="AD68" s="22" t="s">
        <v>5</v>
      </c>
      <c r="AE68" s="22" t="s">
        <v>5</v>
      </c>
      <c r="AF68" s="8">
        <f t="shared" si="16"/>
        <v>0</v>
      </c>
      <c r="AG68" s="25">
        <f t="shared" si="17"/>
        <v>20</v>
      </c>
      <c r="AH68" s="8">
        <f t="shared" si="18"/>
        <v>0</v>
      </c>
      <c r="AI68" s="62">
        <v>0</v>
      </c>
      <c r="AJ68" s="33">
        <f t="shared" si="19"/>
        <v>0</v>
      </c>
      <c r="AK68" s="63">
        <f t="shared" si="20"/>
        <v>160</v>
      </c>
      <c r="AL68" s="63">
        <f t="shared" si="21"/>
        <v>0</v>
      </c>
      <c r="AM68" s="63">
        <f t="shared" si="22"/>
        <v>0</v>
      </c>
      <c r="AN68" s="53">
        <f t="shared" si="23"/>
        <v>0</v>
      </c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</row>
    <row r="69" spans="1:53" ht="22" customHeight="1" x14ac:dyDescent="0.35">
      <c r="A69" s="8" t="s">
        <v>165</v>
      </c>
      <c r="B69" s="8" t="s">
        <v>166</v>
      </c>
      <c r="C69" s="8" t="s">
        <v>104</v>
      </c>
      <c r="D69" s="27" t="s">
        <v>7</v>
      </c>
      <c r="E69" s="28" t="s">
        <v>11</v>
      </c>
      <c r="F69" s="22" t="s">
        <v>5</v>
      </c>
      <c r="G69" s="26" t="s">
        <v>3</v>
      </c>
      <c r="H69" s="26" t="s">
        <v>3</v>
      </c>
      <c r="I69" s="26" t="s">
        <v>3</v>
      </c>
      <c r="J69" s="26" t="s">
        <v>3</v>
      </c>
      <c r="K69" s="27" t="s">
        <v>7</v>
      </c>
      <c r="L69" s="28" t="s">
        <v>11</v>
      </c>
      <c r="M69" s="26" t="s">
        <v>3</v>
      </c>
      <c r="N69" s="26" t="s">
        <v>3</v>
      </c>
      <c r="O69" s="26" t="s">
        <v>3</v>
      </c>
      <c r="P69" s="26" t="s">
        <v>3</v>
      </c>
      <c r="Q69" s="26" t="s">
        <v>3</v>
      </c>
      <c r="R69" s="27" t="s">
        <v>7</v>
      </c>
      <c r="S69" s="28" t="s">
        <v>11</v>
      </c>
      <c r="T69" s="26" t="s">
        <v>3</v>
      </c>
      <c r="U69" s="26" t="s">
        <v>3</v>
      </c>
      <c r="V69" s="26" t="s">
        <v>3</v>
      </c>
      <c r="W69" s="26" t="s">
        <v>3</v>
      </c>
      <c r="X69" s="26" t="s">
        <v>3</v>
      </c>
      <c r="Y69" s="27" t="s">
        <v>7</v>
      </c>
      <c r="Z69" s="28" t="s">
        <v>11</v>
      </c>
      <c r="AA69" s="26" t="s">
        <v>3</v>
      </c>
      <c r="AB69" s="26" t="s">
        <v>3</v>
      </c>
      <c r="AC69" s="26" t="s">
        <v>3</v>
      </c>
      <c r="AD69" s="26" t="s">
        <v>3</v>
      </c>
      <c r="AE69" s="26" t="s">
        <v>3</v>
      </c>
      <c r="AF69" s="8">
        <f t="shared" si="16"/>
        <v>19</v>
      </c>
      <c r="AG69" s="8">
        <f t="shared" si="17"/>
        <v>1</v>
      </c>
      <c r="AH69" s="29">
        <f t="shared" si="18"/>
        <v>4</v>
      </c>
      <c r="AI69" s="62">
        <v>4</v>
      </c>
      <c r="AJ69" s="33">
        <f t="shared" si="19"/>
        <v>25</v>
      </c>
      <c r="AK69" s="63">
        <f t="shared" si="20"/>
        <v>160</v>
      </c>
      <c r="AL69" s="63">
        <f t="shared" si="21"/>
        <v>0</v>
      </c>
      <c r="AM69" s="63">
        <f t="shared" si="22"/>
        <v>0</v>
      </c>
      <c r="AN69" s="53">
        <f t="shared" si="23"/>
        <v>25</v>
      </c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</row>
    <row r="70" spans="1:53" ht="22" customHeight="1" x14ac:dyDescent="0.35">
      <c r="A70" s="8" t="s">
        <v>167</v>
      </c>
      <c r="B70" s="8" t="s">
        <v>168</v>
      </c>
      <c r="C70" s="8" t="s">
        <v>104</v>
      </c>
      <c r="D70" s="27" t="s">
        <v>7</v>
      </c>
      <c r="E70" s="28" t="s">
        <v>11</v>
      </c>
      <c r="F70" s="26" t="s">
        <v>3</v>
      </c>
      <c r="G70" s="26" t="s">
        <v>3</v>
      </c>
      <c r="H70" s="26" t="s">
        <v>3</v>
      </c>
      <c r="I70" s="26" t="s">
        <v>3</v>
      </c>
      <c r="J70" s="26" t="s">
        <v>3</v>
      </c>
      <c r="K70" s="27" t="s">
        <v>7</v>
      </c>
      <c r="L70" s="28" t="s">
        <v>11</v>
      </c>
      <c r="M70" s="26" t="s">
        <v>3</v>
      </c>
      <c r="N70" s="26" t="s">
        <v>3</v>
      </c>
      <c r="O70" s="22" t="s">
        <v>5</v>
      </c>
      <c r="P70" s="22" t="s">
        <v>5</v>
      </c>
      <c r="Q70" s="22" t="s">
        <v>5</v>
      </c>
      <c r="R70" s="23" t="s">
        <v>7</v>
      </c>
      <c r="S70" s="24" t="s">
        <v>9</v>
      </c>
      <c r="T70" s="22" t="s">
        <v>5</v>
      </c>
      <c r="U70" s="22" t="s">
        <v>5</v>
      </c>
      <c r="V70" s="26" t="s">
        <v>3</v>
      </c>
      <c r="W70" s="26" t="s">
        <v>3</v>
      </c>
      <c r="X70" s="26" t="s">
        <v>3</v>
      </c>
      <c r="Y70" s="27" t="s">
        <v>7</v>
      </c>
      <c r="Z70" s="28" t="s">
        <v>11</v>
      </c>
      <c r="AA70" s="26" t="s">
        <v>3</v>
      </c>
      <c r="AB70" s="26" t="s">
        <v>3</v>
      </c>
      <c r="AC70" s="26" t="s">
        <v>3</v>
      </c>
      <c r="AD70" s="26" t="s">
        <v>3</v>
      </c>
      <c r="AE70" s="26" t="s">
        <v>3</v>
      </c>
      <c r="AF70" s="8">
        <f t="shared" si="16"/>
        <v>15</v>
      </c>
      <c r="AG70" s="8">
        <f t="shared" si="17"/>
        <v>5</v>
      </c>
      <c r="AH70" s="29">
        <f t="shared" si="18"/>
        <v>3</v>
      </c>
      <c r="AI70" s="62">
        <v>3</v>
      </c>
      <c r="AJ70" s="33">
        <f t="shared" si="19"/>
        <v>19.5</v>
      </c>
      <c r="AK70" s="63">
        <f t="shared" si="20"/>
        <v>160</v>
      </c>
      <c r="AL70" s="63">
        <f t="shared" si="21"/>
        <v>0</v>
      </c>
      <c r="AM70" s="63">
        <f t="shared" si="22"/>
        <v>0</v>
      </c>
      <c r="AN70" s="53">
        <f t="shared" si="23"/>
        <v>19.5</v>
      </c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</row>
    <row r="71" spans="1:53" ht="22" customHeight="1" x14ac:dyDescent="0.35">
      <c r="A71" s="8" t="s">
        <v>169</v>
      </c>
      <c r="B71" s="8" t="s">
        <v>170</v>
      </c>
      <c r="C71" s="8" t="s">
        <v>104</v>
      </c>
      <c r="D71" s="23" t="s">
        <v>7</v>
      </c>
      <c r="E71" s="28" t="s">
        <v>11</v>
      </c>
      <c r="F71" s="26" t="s">
        <v>3</v>
      </c>
      <c r="G71" s="26" t="s">
        <v>3</v>
      </c>
      <c r="H71" s="22" t="s">
        <v>5</v>
      </c>
      <c r="I71" s="22" t="s">
        <v>5</v>
      </c>
      <c r="J71" s="26" t="s">
        <v>3</v>
      </c>
      <c r="K71" s="27" t="s">
        <v>7</v>
      </c>
      <c r="L71" s="28" t="s">
        <v>11</v>
      </c>
      <c r="M71" s="26" t="s">
        <v>3</v>
      </c>
      <c r="N71" s="26" t="s">
        <v>3</v>
      </c>
      <c r="O71" s="26" t="s">
        <v>3</v>
      </c>
      <c r="P71" s="26" t="s">
        <v>3</v>
      </c>
      <c r="Q71" s="26" t="s">
        <v>3</v>
      </c>
      <c r="R71" s="23" t="s">
        <v>7</v>
      </c>
      <c r="S71" s="24" t="s">
        <v>9</v>
      </c>
      <c r="T71" s="26" t="s">
        <v>3</v>
      </c>
      <c r="U71" s="26" t="s">
        <v>3</v>
      </c>
      <c r="V71" s="26" t="s">
        <v>3</v>
      </c>
      <c r="W71" s="26" t="s">
        <v>3</v>
      </c>
      <c r="X71" s="22" t="s">
        <v>5</v>
      </c>
      <c r="Y71" s="23" t="s">
        <v>7</v>
      </c>
      <c r="Z71" s="28" t="s">
        <v>11</v>
      </c>
      <c r="AA71" s="26" t="s">
        <v>3</v>
      </c>
      <c r="AB71" s="26" t="s">
        <v>3</v>
      </c>
      <c r="AC71" s="26" t="s">
        <v>3</v>
      </c>
      <c r="AD71" s="26" t="s">
        <v>3</v>
      </c>
      <c r="AE71" s="26" t="s">
        <v>3</v>
      </c>
      <c r="AF71" s="8">
        <f t="shared" si="16"/>
        <v>17</v>
      </c>
      <c r="AG71" s="8">
        <f t="shared" si="17"/>
        <v>3</v>
      </c>
      <c r="AH71" s="29">
        <f t="shared" si="18"/>
        <v>3</v>
      </c>
      <c r="AI71" s="62">
        <v>1</v>
      </c>
      <c r="AJ71" s="33">
        <f t="shared" si="19"/>
        <v>20.5</v>
      </c>
      <c r="AK71" s="63">
        <f t="shared" si="20"/>
        <v>160</v>
      </c>
      <c r="AL71" s="63">
        <f t="shared" si="21"/>
        <v>2</v>
      </c>
      <c r="AM71" s="63">
        <f t="shared" si="22"/>
        <v>8</v>
      </c>
      <c r="AN71" s="53">
        <f t="shared" si="23"/>
        <v>19.5</v>
      </c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</row>
    <row r="72" spans="1:53" ht="22" customHeight="1" x14ac:dyDescent="0.35">
      <c r="A72" s="8" t="s">
        <v>171</v>
      </c>
      <c r="B72" s="8" t="s">
        <v>172</v>
      </c>
      <c r="C72" s="8" t="s">
        <v>104</v>
      </c>
      <c r="D72" s="27" t="s">
        <v>7</v>
      </c>
      <c r="E72" s="28" t="s">
        <v>11</v>
      </c>
      <c r="F72" s="26" t="s">
        <v>3</v>
      </c>
      <c r="G72" s="26" t="s">
        <v>3</v>
      </c>
      <c r="H72" s="22" t="s">
        <v>5</v>
      </c>
      <c r="I72" s="26" t="s">
        <v>3</v>
      </c>
      <c r="J72" s="26" t="s">
        <v>3</v>
      </c>
      <c r="K72" s="27" t="s">
        <v>7</v>
      </c>
      <c r="L72" s="28" t="s">
        <v>11</v>
      </c>
      <c r="M72" s="26" t="s">
        <v>3</v>
      </c>
      <c r="N72" s="26" t="s">
        <v>3</v>
      </c>
      <c r="O72" s="26" t="s">
        <v>3</v>
      </c>
      <c r="P72" s="22" t="s">
        <v>5</v>
      </c>
      <c r="Q72" s="22" t="s">
        <v>5</v>
      </c>
      <c r="R72" s="23" t="s">
        <v>7</v>
      </c>
      <c r="S72" s="24" t="s">
        <v>9</v>
      </c>
      <c r="T72" s="22" t="s">
        <v>5</v>
      </c>
      <c r="U72" s="22" t="s">
        <v>5</v>
      </c>
      <c r="V72" s="22" t="s">
        <v>5</v>
      </c>
      <c r="W72" s="26" t="s">
        <v>3</v>
      </c>
      <c r="X72" s="26" t="s">
        <v>3</v>
      </c>
      <c r="Y72" s="27" t="s">
        <v>7</v>
      </c>
      <c r="Z72" s="28" t="s">
        <v>11</v>
      </c>
      <c r="AA72" s="26" t="s">
        <v>3</v>
      </c>
      <c r="AB72" s="26" t="s">
        <v>3</v>
      </c>
      <c r="AC72" s="26" t="s">
        <v>3</v>
      </c>
      <c r="AD72" s="26" t="s">
        <v>3</v>
      </c>
      <c r="AE72" s="26" t="s">
        <v>3</v>
      </c>
      <c r="AF72" s="8">
        <f t="shared" si="16"/>
        <v>14</v>
      </c>
      <c r="AG72" s="8">
        <f t="shared" si="17"/>
        <v>6</v>
      </c>
      <c r="AH72" s="29">
        <f t="shared" si="18"/>
        <v>3</v>
      </c>
      <c r="AI72" s="62">
        <v>3</v>
      </c>
      <c r="AJ72" s="33">
        <f t="shared" si="19"/>
        <v>18.5</v>
      </c>
      <c r="AK72" s="63">
        <f t="shared" si="20"/>
        <v>160</v>
      </c>
      <c r="AL72" s="63">
        <f t="shared" si="21"/>
        <v>0</v>
      </c>
      <c r="AM72" s="63">
        <f t="shared" si="22"/>
        <v>0</v>
      </c>
      <c r="AN72" s="53">
        <f t="shared" si="23"/>
        <v>18.5</v>
      </c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</row>
    <row r="73" spans="1:53" ht="22" customHeight="1" x14ac:dyDescent="0.35">
      <c r="A73" s="8" t="s">
        <v>173</v>
      </c>
      <c r="B73" s="8" t="s">
        <v>174</v>
      </c>
      <c r="C73" s="8" t="s">
        <v>104</v>
      </c>
      <c r="D73" s="27" t="s">
        <v>7</v>
      </c>
      <c r="E73" s="28" t="s">
        <v>11</v>
      </c>
      <c r="F73" s="26" t="s">
        <v>3</v>
      </c>
      <c r="G73" s="26" t="s">
        <v>3</v>
      </c>
      <c r="H73" s="26" t="s">
        <v>3</v>
      </c>
      <c r="I73" s="26" t="s">
        <v>3</v>
      </c>
      <c r="J73" s="26" t="s">
        <v>3</v>
      </c>
      <c r="K73" s="27" t="s">
        <v>7</v>
      </c>
      <c r="L73" s="28" t="s">
        <v>11</v>
      </c>
      <c r="M73" s="26" t="s">
        <v>3</v>
      </c>
      <c r="N73" s="26" t="s">
        <v>3</v>
      </c>
      <c r="O73" s="26" t="s">
        <v>3</v>
      </c>
      <c r="P73" s="26" t="s">
        <v>3</v>
      </c>
      <c r="Q73" s="26" t="s">
        <v>3</v>
      </c>
      <c r="R73" s="27" t="s">
        <v>7</v>
      </c>
      <c r="S73" s="28" t="s">
        <v>11</v>
      </c>
      <c r="T73" s="26" t="s">
        <v>3</v>
      </c>
      <c r="U73" s="26" t="s">
        <v>3</v>
      </c>
      <c r="V73" s="26" t="s">
        <v>3</v>
      </c>
      <c r="W73" s="26" t="s">
        <v>3</v>
      </c>
      <c r="X73" s="26" t="s">
        <v>3</v>
      </c>
      <c r="Y73" s="27" t="s">
        <v>7</v>
      </c>
      <c r="Z73" s="28" t="s">
        <v>11</v>
      </c>
      <c r="AA73" s="26" t="s">
        <v>3</v>
      </c>
      <c r="AB73" s="26" t="s">
        <v>3</v>
      </c>
      <c r="AC73" s="26" t="s">
        <v>3</v>
      </c>
      <c r="AD73" s="26" t="s">
        <v>3</v>
      </c>
      <c r="AE73" s="26" t="s">
        <v>3</v>
      </c>
      <c r="AF73" s="8">
        <f t="shared" si="16"/>
        <v>20</v>
      </c>
      <c r="AG73" s="8">
        <f t="shared" si="17"/>
        <v>0</v>
      </c>
      <c r="AH73" s="29">
        <f t="shared" si="18"/>
        <v>4</v>
      </c>
      <c r="AI73" s="62">
        <v>4</v>
      </c>
      <c r="AJ73" s="33">
        <f t="shared" si="19"/>
        <v>26</v>
      </c>
      <c r="AK73" s="63">
        <f t="shared" si="20"/>
        <v>160</v>
      </c>
      <c r="AL73" s="63">
        <f t="shared" si="21"/>
        <v>0</v>
      </c>
      <c r="AM73" s="63">
        <f t="shared" si="22"/>
        <v>0</v>
      </c>
      <c r="AN73" s="53">
        <f t="shared" si="23"/>
        <v>26</v>
      </c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</row>
    <row r="74" spans="1:53" ht="22" customHeight="1" x14ac:dyDescent="0.35">
      <c r="A74" s="8" t="s">
        <v>175</v>
      </c>
      <c r="B74" s="8" t="s">
        <v>176</v>
      </c>
      <c r="C74" s="8" t="s">
        <v>104</v>
      </c>
      <c r="D74" s="23" t="s">
        <v>7</v>
      </c>
      <c r="E74" s="24" t="s">
        <v>9</v>
      </c>
      <c r="F74" s="22" t="s">
        <v>5</v>
      </c>
      <c r="G74" s="22" t="s">
        <v>5</v>
      </c>
      <c r="H74" s="26" t="s">
        <v>3</v>
      </c>
      <c r="I74" s="26" t="s">
        <v>3</v>
      </c>
      <c r="J74" s="26" t="s">
        <v>3</v>
      </c>
      <c r="K74" s="27" t="s">
        <v>7</v>
      </c>
      <c r="L74" s="28" t="s">
        <v>11</v>
      </c>
      <c r="M74" s="26" t="s">
        <v>3</v>
      </c>
      <c r="N74" s="26" t="s">
        <v>3</v>
      </c>
      <c r="O74" s="26" t="s">
        <v>3</v>
      </c>
      <c r="P74" s="26" t="s">
        <v>3</v>
      </c>
      <c r="Q74" s="26" t="s">
        <v>3</v>
      </c>
      <c r="R74" s="27" t="s">
        <v>7</v>
      </c>
      <c r="S74" s="28" t="s">
        <v>11</v>
      </c>
      <c r="T74" s="26" t="s">
        <v>3</v>
      </c>
      <c r="U74" s="26" t="s">
        <v>3</v>
      </c>
      <c r="V74" s="26" t="s">
        <v>3</v>
      </c>
      <c r="W74" s="26" t="s">
        <v>3</v>
      </c>
      <c r="X74" s="26" t="s">
        <v>3</v>
      </c>
      <c r="Y74" s="27" t="s">
        <v>7</v>
      </c>
      <c r="Z74" s="28" t="s">
        <v>11</v>
      </c>
      <c r="AA74" s="26" t="s">
        <v>3</v>
      </c>
      <c r="AB74" s="26" t="s">
        <v>3</v>
      </c>
      <c r="AC74" s="26" t="s">
        <v>3</v>
      </c>
      <c r="AD74" s="26" t="s">
        <v>3</v>
      </c>
      <c r="AE74" s="26" t="s">
        <v>3</v>
      </c>
      <c r="AF74" s="8">
        <f t="shared" si="16"/>
        <v>18</v>
      </c>
      <c r="AG74" s="8">
        <f t="shared" si="17"/>
        <v>2</v>
      </c>
      <c r="AH74" s="29">
        <f t="shared" si="18"/>
        <v>3</v>
      </c>
      <c r="AI74" s="62">
        <v>3</v>
      </c>
      <c r="AJ74" s="33">
        <f t="shared" si="19"/>
        <v>22.5</v>
      </c>
      <c r="AK74" s="63">
        <f t="shared" si="20"/>
        <v>160</v>
      </c>
      <c r="AL74" s="63">
        <f t="shared" si="21"/>
        <v>1</v>
      </c>
      <c r="AM74" s="63">
        <f t="shared" si="22"/>
        <v>4</v>
      </c>
      <c r="AN74" s="53">
        <f t="shared" si="23"/>
        <v>22</v>
      </c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</row>
    <row r="75" spans="1:53" x14ac:dyDescent="0.35"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</row>
    <row r="76" spans="1:53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</row>
    <row r="77" spans="1:53" ht="22" customHeight="1" x14ac:dyDescent="0.35">
      <c r="A77" s="8" t="s">
        <v>178</v>
      </c>
      <c r="B77" s="8" t="s">
        <v>179</v>
      </c>
      <c r="C77" s="8" t="s">
        <v>180</v>
      </c>
      <c r="D77" s="23" t="s">
        <v>7</v>
      </c>
      <c r="E77" s="24" t="s">
        <v>9</v>
      </c>
      <c r="F77" s="22" t="s">
        <v>5</v>
      </c>
      <c r="G77" s="26" t="s">
        <v>3</v>
      </c>
      <c r="H77" s="26" t="s">
        <v>3</v>
      </c>
      <c r="I77" s="26" t="s">
        <v>3</v>
      </c>
      <c r="J77" s="26" t="s">
        <v>3</v>
      </c>
      <c r="K77" s="27" t="s">
        <v>7</v>
      </c>
      <c r="L77" s="28" t="s">
        <v>11</v>
      </c>
      <c r="M77" s="26" t="s">
        <v>3</v>
      </c>
      <c r="N77" s="26" t="s">
        <v>3</v>
      </c>
      <c r="O77" s="26" t="s">
        <v>3</v>
      </c>
      <c r="P77" s="26" t="s">
        <v>3</v>
      </c>
      <c r="Q77" s="26" t="s">
        <v>3</v>
      </c>
      <c r="R77" s="27" t="s">
        <v>7</v>
      </c>
      <c r="S77" s="28" t="s">
        <v>11</v>
      </c>
      <c r="T77" s="26" t="s">
        <v>3</v>
      </c>
      <c r="U77" s="26" t="s">
        <v>3</v>
      </c>
      <c r="V77" s="26" t="s">
        <v>3</v>
      </c>
      <c r="W77" s="22" t="s">
        <v>5</v>
      </c>
      <c r="X77" s="26" t="s">
        <v>3</v>
      </c>
      <c r="Y77" s="27" t="s">
        <v>7</v>
      </c>
      <c r="Z77" s="28" t="s">
        <v>11</v>
      </c>
      <c r="AA77" s="26" t="s">
        <v>3</v>
      </c>
      <c r="AB77" s="26" t="s">
        <v>3</v>
      </c>
      <c r="AC77" s="26" t="s">
        <v>3</v>
      </c>
      <c r="AD77" s="22" t="s">
        <v>5</v>
      </c>
      <c r="AE77" s="26" t="s">
        <v>3</v>
      </c>
      <c r="AF77" s="8">
        <f t="shared" ref="AF77:AF82" si="24">COUNTIF(D77:AE77,"ON")</f>
        <v>17</v>
      </c>
      <c r="AG77" s="8">
        <f t="shared" ref="AG77:AG82" si="25">COUNTIF(D77:AE77,"OFF")</f>
        <v>3</v>
      </c>
      <c r="AH77" s="29">
        <f t="shared" ref="AH77:AH82" si="26">COUNTIF(D77:AE77,"OT")</f>
        <v>3</v>
      </c>
      <c r="AI77" s="62">
        <v>3</v>
      </c>
      <c r="AJ77" s="33">
        <f t="shared" ref="AJ77:AJ82" si="27">AF77+AH77+AI77*0.5</f>
        <v>21.5</v>
      </c>
      <c r="AK77" s="63">
        <f t="shared" ref="AK77:AK82" si="28">NETWORKDAYS(DATE(2025,2,1),EOMONTH(DATE(2025,2,1),0))*8</f>
        <v>160</v>
      </c>
      <c r="AL77" s="63">
        <f t="shared" ref="AL77:AL82" si="29">MAX(0,COUNTIF(J77,"ON")+COUNTIF(Q77,"ON")+COUNTIF(X77,"ON")+COUNTIF(AE77,"ON")-AI77)</f>
        <v>1</v>
      </c>
      <c r="AM77" s="63">
        <f t="shared" ref="AM77:AM82" si="30">AL77*$AM$2</f>
        <v>4</v>
      </c>
      <c r="AN77" s="53">
        <f t="shared" ref="AN77:AN82" si="31">AJ77-AM77/8</f>
        <v>21</v>
      </c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</row>
    <row r="78" spans="1:53" ht="22" customHeight="1" x14ac:dyDescent="0.35">
      <c r="A78" s="8" t="s">
        <v>181</v>
      </c>
      <c r="B78" s="8" t="s">
        <v>182</v>
      </c>
      <c r="C78" s="8" t="s">
        <v>180</v>
      </c>
      <c r="D78" s="27" t="s">
        <v>7</v>
      </c>
      <c r="E78" s="28" t="s">
        <v>11</v>
      </c>
      <c r="F78" s="26" t="s">
        <v>3</v>
      </c>
      <c r="G78" s="26" t="s">
        <v>3</v>
      </c>
      <c r="H78" s="26" t="s">
        <v>3</v>
      </c>
      <c r="I78" s="26" t="s">
        <v>3</v>
      </c>
      <c r="J78" s="26" t="s">
        <v>3</v>
      </c>
      <c r="K78" s="23" t="s">
        <v>7</v>
      </c>
      <c r="L78" s="24" t="s">
        <v>9</v>
      </c>
      <c r="M78" s="22" t="s">
        <v>5</v>
      </c>
      <c r="N78" s="26" t="s">
        <v>3</v>
      </c>
      <c r="O78" s="26" t="s">
        <v>3</v>
      </c>
      <c r="P78" s="26" t="s">
        <v>3</v>
      </c>
      <c r="Q78" s="26" t="s">
        <v>3</v>
      </c>
      <c r="R78" s="27" t="s">
        <v>7</v>
      </c>
      <c r="S78" s="28" t="s">
        <v>11</v>
      </c>
      <c r="T78" s="26" t="s">
        <v>3</v>
      </c>
      <c r="U78" s="26" t="s">
        <v>3</v>
      </c>
      <c r="V78" s="26" t="s">
        <v>3</v>
      </c>
      <c r="W78" s="26" t="s">
        <v>3</v>
      </c>
      <c r="X78" s="26" t="s">
        <v>3</v>
      </c>
      <c r="Y78" s="27" t="s">
        <v>7</v>
      </c>
      <c r="Z78" s="24" t="s">
        <v>9</v>
      </c>
      <c r="AA78" s="22" t="s">
        <v>5</v>
      </c>
      <c r="AB78" s="26" t="s">
        <v>3</v>
      </c>
      <c r="AC78" s="26" t="s">
        <v>3</v>
      </c>
      <c r="AD78" s="26" t="s">
        <v>3</v>
      </c>
      <c r="AE78" s="26" t="s">
        <v>3</v>
      </c>
      <c r="AF78" s="8">
        <f t="shared" si="24"/>
        <v>18</v>
      </c>
      <c r="AG78" s="8">
        <f t="shared" si="25"/>
        <v>2</v>
      </c>
      <c r="AH78" s="29">
        <f t="shared" si="26"/>
        <v>2</v>
      </c>
      <c r="AI78" s="62">
        <v>3</v>
      </c>
      <c r="AJ78" s="33">
        <f t="shared" si="27"/>
        <v>21.5</v>
      </c>
      <c r="AK78" s="63">
        <f t="shared" si="28"/>
        <v>160</v>
      </c>
      <c r="AL78" s="63">
        <f t="shared" si="29"/>
        <v>1</v>
      </c>
      <c r="AM78" s="63">
        <f t="shared" si="30"/>
        <v>4</v>
      </c>
      <c r="AN78" s="53">
        <f t="shared" si="31"/>
        <v>21</v>
      </c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</row>
    <row r="79" spans="1:53" ht="22" customHeight="1" x14ac:dyDescent="0.35">
      <c r="A79" s="8" t="s">
        <v>183</v>
      </c>
      <c r="B79" s="8" t="s">
        <v>184</v>
      </c>
      <c r="C79" s="8" t="s">
        <v>180</v>
      </c>
      <c r="D79" s="23" t="s">
        <v>7</v>
      </c>
      <c r="E79" s="24" t="s">
        <v>9</v>
      </c>
      <c r="F79" s="22" t="s">
        <v>5</v>
      </c>
      <c r="G79" s="22" t="s">
        <v>5</v>
      </c>
      <c r="H79" s="22" t="s">
        <v>5</v>
      </c>
      <c r="I79" s="22" t="s">
        <v>5</v>
      </c>
      <c r="J79" s="22" t="s">
        <v>5</v>
      </c>
      <c r="K79" s="23" t="s">
        <v>7</v>
      </c>
      <c r="L79" s="24" t="s">
        <v>9</v>
      </c>
      <c r="M79" s="22" t="s">
        <v>5</v>
      </c>
      <c r="N79" s="22" t="s">
        <v>5</v>
      </c>
      <c r="O79" s="22" t="s">
        <v>5</v>
      </c>
      <c r="P79" s="22" t="s">
        <v>5</v>
      </c>
      <c r="Q79" s="22" t="s">
        <v>5</v>
      </c>
      <c r="R79" s="23" t="s">
        <v>7</v>
      </c>
      <c r="S79" s="24" t="s">
        <v>9</v>
      </c>
      <c r="T79" s="22" t="s">
        <v>5</v>
      </c>
      <c r="U79" s="22" t="s">
        <v>5</v>
      </c>
      <c r="V79" s="22" t="s">
        <v>5</v>
      </c>
      <c r="W79" s="22" t="s">
        <v>5</v>
      </c>
      <c r="X79" s="22" t="s">
        <v>5</v>
      </c>
      <c r="Y79" s="23" t="s">
        <v>7</v>
      </c>
      <c r="Z79" s="24" t="s">
        <v>9</v>
      </c>
      <c r="AA79" s="22" t="s">
        <v>5</v>
      </c>
      <c r="AB79" s="22" t="s">
        <v>5</v>
      </c>
      <c r="AC79" s="22" t="s">
        <v>5</v>
      </c>
      <c r="AD79" s="22" t="s">
        <v>5</v>
      </c>
      <c r="AE79" s="22" t="s">
        <v>5</v>
      </c>
      <c r="AF79" s="8">
        <f t="shared" si="24"/>
        <v>0</v>
      </c>
      <c r="AG79" s="25">
        <f t="shared" si="25"/>
        <v>20</v>
      </c>
      <c r="AH79" s="8">
        <f t="shared" si="26"/>
        <v>0</v>
      </c>
      <c r="AI79" s="62">
        <v>0</v>
      </c>
      <c r="AJ79" s="33">
        <f t="shared" si="27"/>
        <v>0</v>
      </c>
      <c r="AK79" s="63">
        <f t="shared" si="28"/>
        <v>160</v>
      </c>
      <c r="AL79" s="63">
        <f t="shared" si="29"/>
        <v>0</v>
      </c>
      <c r="AM79" s="63">
        <f t="shared" si="30"/>
        <v>0</v>
      </c>
      <c r="AN79" s="53">
        <f t="shared" si="31"/>
        <v>0</v>
      </c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</row>
    <row r="80" spans="1:53" ht="22" customHeight="1" x14ac:dyDescent="0.35">
      <c r="A80" s="8" t="s">
        <v>185</v>
      </c>
      <c r="B80" s="8" t="s">
        <v>186</v>
      </c>
      <c r="C80" s="8" t="s">
        <v>180</v>
      </c>
      <c r="D80" s="23" t="s">
        <v>7</v>
      </c>
      <c r="E80" s="24" t="s">
        <v>9</v>
      </c>
      <c r="F80" s="22" t="s">
        <v>5</v>
      </c>
      <c r="G80" s="22" t="s">
        <v>5</v>
      </c>
      <c r="H80" s="22" t="s">
        <v>5</v>
      </c>
      <c r="I80" s="22" t="s">
        <v>5</v>
      </c>
      <c r="J80" s="22" t="s">
        <v>5</v>
      </c>
      <c r="K80" s="23" t="s">
        <v>7</v>
      </c>
      <c r="L80" s="24" t="s">
        <v>9</v>
      </c>
      <c r="M80" s="22" t="s">
        <v>5</v>
      </c>
      <c r="N80" s="22" t="s">
        <v>5</v>
      </c>
      <c r="O80" s="22" t="s">
        <v>5</v>
      </c>
      <c r="P80" s="22" t="s">
        <v>5</v>
      </c>
      <c r="Q80" s="22" t="s">
        <v>5</v>
      </c>
      <c r="R80" s="23" t="s">
        <v>7</v>
      </c>
      <c r="S80" s="24" t="s">
        <v>9</v>
      </c>
      <c r="T80" s="22" t="s">
        <v>5</v>
      </c>
      <c r="U80" s="22" t="s">
        <v>5</v>
      </c>
      <c r="V80" s="22" t="s">
        <v>5</v>
      </c>
      <c r="W80" s="22" t="s">
        <v>5</v>
      </c>
      <c r="X80" s="22" t="s">
        <v>5</v>
      </c>
      <c r="Y80" s="23" t="s">
        <v>7</v>
      </c>
      <c r="Z80" s="24" t="s">
        <v>9</v>
      </c>
      <c r="AA80" s="22" t="s">
        <v>5</v>
      </c>
      <c r="AB80" s="22" t="s">
        <v>5</v>
      </c>
      <c r="AC80" s="22" t="s">
        <v>5</v>
      </c>
      <c r="AD80" s="22" t="s">
        <v>5</v>
      </c>
      <c r="AE80" s="22" t="s">
        <v>5</v>
      </c>
      <c r="AF80" s="8">
        <f t="shared" si="24"/>
        <v>0</v>
      </c>
      <c r="AG80" s="25">
        <f t="shared" si="25"/>
        <v>20</v>
      </c>
      <c r="AH80" s="8">
        <f t="shared" si="26"/>
        <v>0</v>
      </c>
      <c r="AI80" s="62">
        <v>0</v>
      </c>
      <c r="AJ80" s="33">
        <f t="shared" si="27"/>
        <v>0</v>
      </c>
      <c r="AK80" s="63">
        <f t="shared" si="28"/>
        <v>160</v>
      </c>
      <c r="AL80" s="63">
        <f t="shared" si="29"/>
        <v>0</v>
      </c>
      <c r="AM80" s="63">
        <f t="shared" si="30"/>
        <v>0</v>
      </c>
      <c r="AN80" s="53">
        <f t="shared" si="31"/>
        <v>0</v>
      </c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</row>
    <row r="81" spans="1:53" ht="22" customHeight="1" x14ac:dyDescent="0.35">
      <c r="A81" s="8" t="s">
        <v>187</v>
      </c>
      <c r="B81" s="8" t="s">
        <v>188</v>
      </c>
      <c r="C81" s="8" t="s">
        <v>180</v>
      </c>
      <c r="D81" s="27" t="s">
        <v>7</v>
      </c>
      <c r="E81" s="28" t="s">
        <v>11</v>
      </c>
      <c r="F81" s="26" t="s">
        <v>3</v>
      </c>
      <c r="G81" s="26" t="s">
        <v>3</v>
      </c>
      <c r="H81" s="26" t="s">
        <v>3</v>
      </c>
      <c r="I81" s="26" t="s">
        <v>3</v>
      </c>
      <c r="J81" s="26" t="s">
        <v>3</v>
      </c>
      <c r="K81" s="27" t="s">
        <v>7</v>
      </c>
      <c r="L81" s="28" t="s">
        <v>11</v>
      </c>
      <c r="M81" s="26" t="s">
        <v>3</v>
      </c>
      <c r="N81" s="26" t="s">
        <v>3</v>
      </c>
      <c r="O81" s="26" t="s">
        <v>3</v>
      </c>
      <c r="P81" s="26" t="s">
        <v>3</v>
      </c>
      <c r="Q81" s="22" t="s">
        <v>5</v>
      </c>
      <c r="R81" s="27" t="s">
        <v>7</v>
      </c>
      <c r="S81" s="24" t="s">
        <v>9</v>
      </c>
      <c r="T81" s="26" t="s">
        <v>3</v>
      </c>
      <c r="U81" s="26" t="s">
        <v>3</v>
      </c>
      <c r="V81" s="26" t="s">
        <v>3</v>
      </c>
      <c r="W81" s="26" t="s">
        <v>3</v>
      </c>
      <c r="X81" s="26" t="s">
        <v>3</v>
      </c>
      <c r="Y81" s="27" t="s">
        <v>7</v>
      </c>
      <c r="Z81" s="28" t="s">
        <v>11</v>
      </c>
      <c r="AA81" s="26" t="s">
        <v>3</v>
      </c>
      <c r="AB81" s="26" t="s">
        <v>3</v>
      </c>
      <c r="AC81" s="26" t="s">
        <v>3</v>
      </c>
      <c r="AD81" s="26" t="s">
        <v>3</v>
      </c>
      <c r="AE81" s="26" t="s">
        <v>3</v>
      </c>
      <c r="AF81" s="8">
        <f t="shared" si="24"/>
        <v>19</v>
      </c>
      <c r="AG81" s="8">
        <f t="shared" si="25"/>
        <v>1</v>
      </c>
      <c r="AH81" s="29">
        <f t="shared" si="26"/>
        <v>3</v>
      </c>
      <c r="AI81" s="62">
        <v>4</v>
      </c>
      <c r="AJ81" s="33">
        <f t="shared" si="27"/>
        <v>24</v>
      </c>
      <c r="AK81" s="63">
        <f t="shared" si="28"/>
        <v>160</v>
      </c>
      <c r="AL81" s="63">
        <f t="shared" si="29"/>
        <v>0</v>
      </c>
      <c r="AM81" s="63">
        <f t="shared" si="30"/>
        <v>0</v>
      </c>
      <c r="AN81" s="53">
        <f t="shared" si="31"/>
        <v>24</v>
      </c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</row>
    <row r="82" spans="1:53" ht="22" customHeight="1" x14ac:dyDescent="0.35">
      <c r="A82" s="8" t="s">
        <v>189</v>
      </c>
      <c r="B82" s="8" t="s">
        <v>190</v>
      </c>
      <c r="C82" s="8" t="s">
        <v>180</v>
      </c>
      <c r="D82" s="27" t="s">
        <v>7</v>
      </c>
      <c r="E82" s="28" t="s">
        <v>11</v>
      </c>
      <c r="F82" s="22" t="s">
        <v>5</v>
      </c>
      <c r="G82" s="22" t="s">
        <v>5</v>
      </c>
      <c r="H82" s="26" t="s">
        <v>3</v>
      </c>
      <c r="I82" s="26" t="s">
        <v>3</v>
      </c>
      <c r="J82" s="26" t="s">
        <v>3</v>
      </c>
      <c r="K82" s="27" t="s">
        <v>7</v>
      </c>
      <c r="L82" s="28" t="s">
        <v>11</v>
      </c>
      <c r="M82" s="26" t="s">
        <v>3</v>
      </c>
      <c r="N82" s="26" t="s">
        <v>3</v>
      </c>
      <c r="O82" s="26" t="s">
        <v>3</v>
      </c>
      <c r="P82" s="26" t="s">
        <v>3</v>
      </c>
      <c r="Q82" s="26" t="s">
        <v>3</v>
      </c>
      <c r="R82" s="27" t="s">
        <v>7</v>
      </c>
      <c r="S82" s="28" t="s">
        <v>11</v>
      </c>
      <c r="T82" s="26" t="s">
        <v>3</v>
      </c>
      <c r="U82" s="26" t="s">
        <v>3</v>
      </c>
      <c r="V82" s="26" t="s">
        <v>3</v>
      </c>
      <c r="W82" s="26" t="s">
        <v>3</v>
      </c>
      <c r="X82" s="26" t="s">
        <v>3</v>
      </c>
      <c r="Y82" s="23" t="s">
        <v>7</v>
      </c>
      <c r="Z82" s="24" t="s">
        <v>9</v>
      </c>
      <c r="AA82" s="26" t="s">
        <v>3</v>
      </c>
      <c r="AB82" s="26" t="s">
        <v>3</v>
      </c>
      <c r="AC82" s="26" t="s">
        <v>3</v>
      </c>
      <c r="AD82" s="26" t="s">
        <v>3</v>
      </c>
      <c r="AE82" s="26" t="s">
        <v>3</v>
      </c>
      <c r="AF82" s="8">
        <f t="shared" si="24"/>
        <v>18</v>
      </c>
      <c r="AG82" s="8">
        <f t="shared" si="25"/>
        <v>2</v>
      </c>
      <c r="AH82" s="29">
        <f t="shared" si="26"/>
        <v>3</v>
      </c>
      <c r="AI82" s="62">
        <v>3</v>
      </c>
      <c r="AJ82" s="33">
        <f t="shared" si="27"/>
        <v>22.5</v>
      </c>
      <c r="AK82" s="63">
        <f t="shared" si="28"/>
        <v>160</v>
      </c>
      <c r="AL82" s="63">
        <f t="shared" si="29"/>
        <v>1</v>
      </c>
      <c r="AM82" s="63">
        <f t="shared" si="30"/>
        <v>4</v>
      </c>
      <c r="AN82" s="53">
        <f t="shared" si="31"/>
        <v>22</v>
      </c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</row>
    <row r="83" spans="1:53" x14ac:dyDescent="0.35"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</row>
    <row r="84" spans="1:53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</row>
    <row r="85" spans="1:53" ht="22" customHeight="1" x14ac:dyDescent="0.35">
      <c r="A85" s="8" t="s">
        <v>192</v>
      </c>
      <c r="B85" s="8" t="s">
        <v>193</v>
      </c>
      <c r="C85" s="8" t="s">
        <v>194</v>
      </c>
      <c r="D85" s="23" t="s">
        <v>7</v>
      </c>
      <c r="E85" s="24" t="s">
        <v>9</v>
      </c>
      <c r="F85" s="22" t="s">
        <v>5</v>
      </c>
      <c r="G85" s="26" t="s">
        <v>3</v>
      </c>
      <c r="H85" s="26" t="s">
        <v>3</v>
      </c>
      <c r="I85" s="26" t="s">
        <v>3</v>
      </c>
      <c r="J85" s="26" t="s">
        <v>3</v>
      </c>
      <c r="K85" s="23" t="s">
        <v>7</v>
      </c>
      <c r="L85" s="24" t="s">
        <v>9</v>
      </c>
      <c r="M85" s="26" t="s">
        <v>3</v>
      </c>
      <c r="N85" s="26" t="s">
        <v>3</v>
      </c>
      <c r="O85" s="26" t="s">
        <v>3</v>
      </c>
      <c r="P85" s="26" t="s">
        <v>3</v>
      </c>
      <c r="Q85" s="22" t="s">
        <v>5</v>
      </c>
      <c r="R85" s="23" t="s">
        <v>7</v>
      </c>
      <c r="S85" s="24" t="s">
        <v>9</v>
      </c>
      <c r="T85" s="22" t="s">
        <v>5</v>
      </c>
      <c r="U85" s="26" t="s">
        <v>3</v>
      </c>
      <c r="V85" s="26" t="s">
        <v>3</v>
      </c>
      <c r="W85" s="26" t="s">
        <v>3</v>
      </c>
      <c r="X85" s="26" t="s">
        <v>3</v>
      </c>
      <c r="Y85" s="23" t="s">
        <v>7</v>
      </c>
      <c r="Z85" s="24" t="s">
        <v>9</v>
      </c>
      <c r="AA85" s="26" t="s">
        <v>3</v>
      </c>
      <c r="AB85" s="26" t="s">
        <v>3</v>
      </c>
      <c r="AC85" s="26" t="s">
        <v>3</v>
      </c>
      <c r="AD85" s="26" t="s">
        <v>3</v>
      </c>
      <c r="AE85" s="26" t="s">
        <v>3</v>
      </c>
      <c r="AF85" s="8">
        <f>COUNTIF(D85:AE85,"ON")</f>
        <v>17</v>
      </c>
      <c r="AG85" s="8">
        <f>COUNTIF(D85:AE85,"OFF")</f>
        <v>3</v>
      </c>
      <c r="AH85" s="8">
        <f>COUNTIF(D85:AE85,"OT")</f>
        <v>0</v>
      </c>
      <c r="AI85" s="62">
        <v>0</v>
      </c>
      <c r="AJ85" s="33">
        <f>AF85+AH85+AI85*0.5</f>
        <v>17</v>
      </c>
      <c r="AK85" s="63">
        <f>NETWORKDAYS(DATE(2025,2,1),EOMONTH(DATE(2025,2,1),0))*8</f>
        <v>160</v>
      </c>
      <c r="AL85" s="63">
        <f>MAX(0,COUNTIF(J85,"ON")+COUNTIF(Q85,"ON")+COUNTIF(X85,"ON")+COUNTIF(AE85,"ON")-AI85)</f>
        <v>3</v>
      </c>
      <c r="AM85" s="63">
        <f>AL85*$AM$2</f>
        <v>12</v>
      </c>
      <c r="AN85" s="53">
        <f>AJ85-AM85/8</f>
        <v>15.5</v>
      </c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</row>
    <row r="86" spans="1:53" ht="22" customHeight="1" x14ac:dyDescent="0.35">
      <c r="A86" s="8" t="s">
        <v>195</v>
      </c>
      <c r="B86" s="8" t="s">
        <v>196</v>
      </c>
      <c r="C86" s="8" t="s">
        <v>194</v>
      </c>
      <c r="D86" s="23" t="s">
        <v>7</v>
      </c>
      <c r="E86" s="24" t="s">
        <v>9</v>
      </c>
      <c r="F86" s="22" t="s">
        <v>5</v>
      </c>
      <c r="G86" s="26" t="s">
        <v>3</v>
      </c>
      <c r="H86" s="26" t="s">
        <v>3</v>
      </c>
      <c r="I86" s="26" t="s">
        <v>3</v>
      </c>
      <c r="J86" s="26" t="s">
        <v>3</v>
      </c>
      <c r="K86" s="23" t="s">
        <v>7</v>
      </c>
      <c r="L86" s="28" t="s">
        <v>11</v>
      </c>
      <c r="M86" s="26" t="s">
        <v>3</v>
      </c>
      <c r="N86" s="26" t="s">
        <v>3</v>
      </c>
      <c r="O86" s="26" t="s">
        <v>3</v>
      </c>
      <c r="P86" s="26" t="s">
        <v>3</v>
      </c>
      <c r="Q86" s="26" t="s">
        <v>3</v>
      </c>
      <c r="R86" s="23" t="s">
        <v>7</v>
      </c>
      <c r="S86" s="24" t="s">
        <v>9</v>
      </c>
      <c r="T86" s="26" t="s">
        <v>3</v>
      </c>
      <c r="U86" s="26" t="s">
        <v>3</v>
      </c>
      <c r="V86" s="26" t="s">
        <v>3</v>
      </c>
      <c r="W86" s="26" t="s">
        <v>3</v>
      </c>
      <c r="X86" s="26" t="s">
        <v>3</v>
      </c>
      <c r="Y86" s="27" t="s">
        <v>7</v>
      </c>
      <c r="Z86" s="24" t="s">
        <v>9</v>
      </c>
      <c r="AA86" s="22" t="s">
        <v>5</v>
      </c>
      <c r="AB86" s="22" t="s">
        <v>5</v>
      </c>
      <c r="AC86" s="22" t="s">
        <v>5</v>
      </c>
      <c r="AD86" s="22" t="s">
        <v>5</v>
      </c>
      <c r="AE86" s="22" t="s">
        <v>5</v>
      </c>
      <c r="AF86" s="8">
        <f>COUNTIF(D86:AE86,"ON")</f>
        <v>14</v>
      </c>
      <c r="AG86" s="8">
        <f>COUNTIF(D86:AE86,"OFF")</f>
        <v>6</v>
      </c>
      <c r="AH86" s="29">
        <f>COUNTIF(D86:AE86,"OT")</f>
        <v>1</v>
      </c>
      <c r="AI86" s="62">
        <v>1</v>
      </c>
      <c r="AJ86" s="33">
        <f>AF86+AH86+AI86*0.5</f>
        <v>15.5</v>
      </c>
      <c r="AK86" s="63">
        <f>NETWORKDAYS(DATE(2025,2,1),EOMONTH(DATE(2025,2,1),0))*8</f>
        <v>160</v>
      </c>
      <c r="AL86" s="63">
        <f>MAX(0,COUNTIF(J86,"ON")+COUNTIF(Q86,"ON")+COUNTIF(X86,"ON")+COUNTIF(AE86,"ON")-AI86)</f>
        <v>2</v>
      </c>
      <c r="AM86" s="63">
        <f>AL86*$AM$2</f>
        <v>8</v>
      </c>
      <c r="AN86" s="53">
        <f>AJ86-AM86/8</f>
        <v>14.5</v>
      </c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</row>
    <row r="87" spans="1:53" ht="22" customHeight="1" x14ac:dyDescent="0.35">
      <c r="A87" s="8" t="s">
        <v>197</v>
      </c>
      <c r="B87" s="8" t="s">
        <v>198</v>
      </c>
      <c r="C87" s="8" t="s">
        <v>194</v>
      </c>
      <c r="D87" s="27" t="s">
        <v>7</v>
      </c>
      <c r="E87" s="24" t="s">
        <v>9</v>
      </c>
      <c r="F87" s="26" t="s">
        <v>3</v>
      </c>
      <c r="G87" s="26" t="s">
        <v>3</v>
      </c>
      <c r="H87" s="26" t="s">
        <v>3</v>
      </c>
      <c r="I87" s="26" t="s">
        <v>3</v>
      </c>
      <c r="J87" s="26" t="s">
        <v>3</v>
      </c>
      <c r="K87" s="23" t="s">
        <v>7</v>
      </c>
      <c r="L87" s="24" t="s">
        <v>9</v>
      </c>
      <c r="M87" s="22" t="s">
        <v>5</v>
      </c>
      <c r="N87" s="26" t="s">
        <v>3</v>
      </c>
      <c r="O87" s="26" t="s">
        <v>3</v>
      </c>
      <c r="P87" s="26" t="s">
        <v>3</v>
      </c>
      <c r="Q87" s="26" t="s">
        <v>3</v>
      </c>
      <c r="R87" s="27" t="s">
        <v>7</v>
      </c>
      <c r="S87" s="24" t="s">
        <v>9</v>
      </c>
      <c r="T87" s="26" t="s">
        <v>3</v>
      </c>
      <c r="U87" s="26" t="s">
        <v>3</v>
      </c>
      <c r="V87" s="26" t="s">
        <v>3</v>
      </c>
      <c r="W87" s="26" t="s">
        <v>3</v>
      </c>
      <c r="X87" s="26" t="s">
        <v>3</v>
      </c>
      <c r="Y87" s="23" t="s">
        <v>7</v>
      </c>
      <c r="Z87" s="24" t="s">
        <v>9</v>
      </c>
      <c r="AA87" s="26" t="s">
        <v>3</v>
      </c>
      <c r="AB87" s="26" t="s">
        <v>3</v>
      </c>
      <c r="AC87" s="26" t="s">
        <v>3</v>
      </c>
      <c r="AD87" s="26" t="s">
        <v>3</v>
      </c>
      <c r="AE87" s="26" t="s">
        <v>3</v>
      </c>
      <c r="AF87" s="8">
        <f>COUNTIF(D87:AE87,"ON")</f>
        <v>19</v>
      </c>
      <c r="AG87" s="8">
        <f>COUNTIF(D87:AE87,"OFF")</f>
        <v>1</v>
      </c>
      <c r="AH87" s="8">
        <f>COUNTIF(D87:AE87,"OT")</f>
        <v>0</v>
      </c>
      <c r="AI87" s="62">
        <v>2</v>
      </c>
      <c r="AJ87" s="33">
        <f>AF87+AH87+AI87*0.5</f>
        <v>20</v>
      </c>
      <c r="AK87" s="63">
        <f>NETWORKDAYS(DATE(2025,2,1),EOMONTH(DATE(2025,2,1),0))*8</f>
        <v>160</v>
      </c>
      <c r="AL87" s="63">
        <f>MAX(0,COUNTIF(J87,"ON")+COUNTIF(Q87,"ON")+COUNTIF(X87,"ON")+COUNTIF(AE87,"ON")-AI87)</f>
        <v>2</v>
      </c>
      <c r="AM87" s="63">
        <f>AL87*$AM$2</f>
        <v>8</v>
      </c>
      <c r="AN87" s="53">
        <f>AJ87-AM87/8</f>
        <v>19</v>
      </c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</row>
    <row r="88" spans="1:53" ht="22" customHeight="1" x14ac:dyDescent="0.35">
      <c r="A88" s="8" t="s">
        <v>199</v>
      </c>
      <c r="B88" s="8" t="s">
        <v>200</v>
      </c>
      <c r="C88" s="8" t="s">
        <v>194</v>
      </c>
      <c r="D88" s="23" t="s">
        <v>7</v>
      </c>
      <c r="E88" s="28" t="s">
        <v>11</v>
      </c>
      <c r="F88" s="26" t="s">
        <v>3</v>
      </c>
      <c r="G88" s="26" t="s">
        <v>3</v>
      </c>
      <c r="H88" s="26" t="s">
        <v>3</v>
      </c>
      <c r="I88" s="26" t="s">
        <v>3</v>
      </c>
      <c r="J88" s="26" t="s">
        <v>3</v>
      </c>
      <c r="K88" s="23" t="s">
        <v>7</v>
      </c>
      <c r="L88" s="24" t="s">
        <v>9</v>
      </c>
      <c r="M88" s="22" t="s">
        <v>5</v>
      </c>
      <c r="N88" s="26" t="s">
        <v>3</v>
      </c>
      <c r="O88" s="26" t="s">
        <v>3</v>
      </c>
      <c r="P88" s="26" t="s">
        <v>3</v>
      </c>
      <c r="Q88" s="26" t="s">
        <v>3</v>
      </c>
      <c r="R88" s="23" t="s">
        <v>7</v>
      </c>
      <c r="S88" s="28" t="s">
        <v>11</v>
      </c>
      <c r="T88" s="26" t="s">
        <v>3</v>
      </c>
      <c r="U88" s="26" t="s">
        <v>3</v>
      </c>
      <c r="V88" s="26" t="s">
        <v>3</v>
      </c>
      <c r="W88" s="26" t="s">
        <v>3</v>
      </c>
      <c r="X88" s="26" t="s">
        <v>3</v>
      </c>
      <c r="Y88" s="23" t="s">
        <v>7</v>
      </c>
      <c r="Z88" s="24" t="s">
        <v>9</v>
      </c>
      <c r="AA88" s="26" t="s">
        <v>3</v>
      </c>
      <c r="AB88" s="26" t="s">
        <v>3</v>
      </c>
      <c r="AC88" s="26" t="s">
        <v>3</v>
      </c>
      <c r="AD88" s="26" t="s">
        <v>3</v>
      </c>
      <c r="AE88" s="26" t="s">
        <v>3</v>
      </c>
      <c r="AF88" s="8">
        <f>COUNTIF(D88:AE88,"ON")</f>
        <v>19</v>
      </c>
      <c r="AG88" s="8">
        <f>COUNTIF(D88:AE88,"OFF")</f>
        <v>1</v>
      </c>
      <c r="AH88" s="29">
        <f>COUNTIF(D88:AE88,"OT")</f>
        <v>2</v>
      </c>
      <c r="AI88" s="62">
        <v>0</v>
      </c>
      <c r="AJ88" s="33">
        <f>AF88+AH88+AI88*0.5</f>
        <v>21</v>
      </c>
      <c r="AK88" s="63">
        <f>NETWORKDAYS(DATE(2025,2,1),EOMONTH(DATE(2025,2,1),0))*8</f>
        <v>160</v>
      </c>
      <c r="AL88" s="63">
        <f>MAX(0,COUNTIF(J88,"ON")+COUNTIF(Q88,"ON")+COUNTIF(X88,"ON")+COUNTIF(AE88,"ON")-AI88)</f>
        <v>4</v>
      </c>
      <c r="AM88" s="63">
        <f>AL88*$AM$2</f>
        <v>16</v>
      </c>
      <c r="AN88" s="53">
        <f>AJ88-AM88/8</f>
        <v>19</v>
      </c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</row>
    <row r="89" spans="1:53" ht="22" customHeight="1" x14ac:dyDescent="0.35">
      <c r="A89" s="8" t="s">
        <v>201</v>
      </c>
      <c r="B89" s="8" t="s">
        <v>202</v>
      </c>
      <c r="C89" s="8" t="s">
        <v>194</v>
      </c>
      <c r="D89" s="23" t="s">
        <v>7</v>
      </c>
      <c r="E89" s="24" t="s">
        <v>9</v>
      </c>
      <c r="F89" s="22" t="s">
        <v>5</v>
      </c>
      <c r="G89" s="26" t="s">
        <v>3</v>
      </c>
      <c r="H89" s="26" t="s">
        <v>3</v>
      </c>
      <c r="I89" s="26" t="s">
        <v>3</v>
      </c>
      <c r="J89" s="26" t="s">
        <v>3</v>
      </c>
      <c r="K89" s="27" t="s">
        <v>7</v>
      </c>
      <c r="L89" s="24" t="s">
        <v>9</v>
      </c>
      <c r="M89" s="26" t="s">
        <v>3</v>
      </c>
      <c r="N89" s="26" t="s">
        <v>3</v>
      </c>
      <c r="O89" s="26" t="s">
        <v>3</v>
      </c>
      <c r="P89" s="26" t="s">
        <v>3</v>
      </c>
      <c r="Q89" s="26" t="s">
        <v>3</v>
      </c>
      <c r="R89" s="23" t="s">
        <v>7</v>
      </c>
      <c r="S89" s="24" t="s">
        <v>9</v>
      </c>
      <c r="T89" s="26" t="s">
        <v>3</v>
      </c>
      <c r="U89" s="26" t="s">
        <v>3</v>
      </c>
      <c r="V89" s="26" t="s">
        <v>3</v>
      </c>
      <c r="W89" s="26" t="s">
        <v>3</v>
      </c>
      <c r="X89" s="26" t="s">
        <v>3</v>
      </c>
      <c r="Y89" s="23" t="s">
        <v>7</v>
      </c>
      <c r="Z89" s="28" t="s">
        <v>11</v>
      </c>
      <c r="AA89" s="26" t="s">
        <v>3</v>
      </c>
      <c r="AB89" s="26" t="s">
        <v>3</v>
      </c>
      <c r="AC89" s="22" t="s">
        <v>5</v>
      </c>
      <c r="AD89" s="22" t="s">
        <v>5</v>
      </c>
      <c r="AE89" s="22" t="s">
        <v>5</v>
      </c>
      <c r="AF89" s="8">
        <f>COUNTIF(D89:AE89,"ON")</f>
        <v>16</v>
      </c>
      <c r="AG89" s="8">
        <f>COUNTIF(D89:AE89,"OFF")</f>
        <v>4</v>
      </c>
      <c r="AH89" s="29">
        <f>COUNTIF(D89:AE89,"OT")</f>
        <v>1</v>
      </c>
      <c r="AI89" s="62">
        <v>1</v>
      </c>
      <c r="AJ89" s="33">
        <f>AF89+AH89+AI89*0.5</f>
        <v>17.5</v>
      </c>
      <c r="AK89" s="63">
        <f>NETWORKDAYS(DATE(2025,2,1),EOMONTH(DATE(2025,2,1),0))*8</f>
        <v>160</v>
      </c>
      <c r="AL89" s="63">
        <f>MAX(0,COUNTIF(J89,"ON")+COUNTIF(Q89,"ON")+COUNTIF(X89,"ON")+COUNTIF(AE89,"ON")-AI89)</f>
        <v>2</v>
      </c>
      <c r="AM89" s="63">
        <f>AL89*$AM$2</f>
        <v>8</v>
      </c>
      <c r="AN89" s="53">
        <f>AJ89-AM89/8</f>
        <v>16.5</v>
      </c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</row>
    <row r="90" spans="1:53" x14ac:dyDescent="0.35"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</row>
    <row r="91" spans="1:53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</row>
    <row r="92" spans="1:53" ht="22" customHeight="1" x14ac:dyDescent="0.35">
      <c r="A92" s="8" t="s">
        <v>204</v>
      </c>
      <c r="B92" s="8" t="s">
        <v>205</v>
      </c>
      <c r="C92" s="8" t="s">
        <v>206</v>
      </c>
      <c r="D92" s="27" t="s">
        <v>7</v>
      </c>
      <c r="E92" s="24" t="s">
        <v>9</v>
      </c>
      <c r="F92" s="22" t="s">
        <v>5</v>
      </c>
      <c r="G92" s="26" t="s">
        <v>3</v>
      </c>
      <c r="H92" s="22" t="s">
        <v>5</v>
      </c>
      <c r="I92" s="22" t="s">
        <v>5</v>
      </c>
      <c r="J92" s="22" t="s">
        <v>5</v>
      </c>
      <c r="K92" s="23" t="s">
        <v>7</v>
      </c>
      <c r="L92" s="24" t="s">
        <v>9</v>
      </c>
      <c r="M92" s="26" t="s">
        <v>3</v>
      </c>
      <c r="N92" s="26" t="s">
        <v>3</v>
      </c>
      <c r="O92" s="26" t="s">
        <v>3</v>
      </c>
      <c r="P92" s="26" t="s">
        <v>3</v>
      </c>
      <c r="Q92" s="26" t="s">
        <v>3</v>
      </c>
      <c r="R92" s="27" t="s">
        <v>7</v>
      </c>
      <c r="S92" s="24" t="s">
        <v>9</v>
      </c>
      <c r="T92" s="26" t="s">
        <v>3</v>
      </c>
      <c r="U92" s="26" t="s">
        <v>3</v>
      </c>
      <c r="V92" s="26" t="s">
        <v>3</v>
      </c>
      <c r="W92" s="26" t="s">
        <v>3</v>
      </c>
      <c r="X92" s="26" t="s">
        <v>3</v>
      </c>
      <c r="Y92" s="23" t="s">
        <v>7</v>
      </c>
      <c r="Z92" s="24" t="s">
        <v>9</v>
      </c>
      <c r="AA92" s="26" t="s">
        <v>3</v>
      </c>
      <c r="AB92" s="26" t="s">
        <v>3</v>
      </c>
      <c r="AC92" s="26" t="s">
        <v>3</v>
      </c>
      <c r="AD92" s="26" t="s">
        <v>3</v>
      </c>
      <c r="AE92" s="26" t="s">
        <v>3</v>
      </c>
      <c r="AF92" s="8">
        <f>COUNTIF(D92:AE92,"ON")</f>
        <v>16</v>
      </c>
      <c r="AG92" s="8">
        <f>COUNTIF(D92:AE92,"OFF")</f>
        <v>4</v>
      </c>
      <c r="AH92" s="8">
        <f>COUNTIF(D92:AE92,"OT")</f>
        <v>0</v>
      </c>
      <c r="AI92" s="62">
        <v>2</v>
      </c>
      <c r="AJ92" s="33">
        <f>AF92+AH92+AI92*0.5</f>
        <v>17</v>
      </c>
      <c r="AK92" s="63">
        <f>NETWORKDAYS(DATE(2025,2,1),EOMONTH(DATE(2025,2,1),0))*8</f>
        <v>160</v>
      </c>
      <c r="AL92" s="63">
        <f>MAX(0,COUNTIF(J92,"ON")+COUNTIF(Q92,"ON")+COUNTIF(X92,"ON")+COUNTIF(AE92,"ON")-AI92)</f>
        <v>1</v>
      </c>
      <c r="AM92" s="63">
        <f>AL92*$AM$2</f>
        <v>4</v>
      </c>
      <c r="AN92" s="53">
        <f>AJ92-AM92/8</f>
        <v>16.5</v>
      </c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</row>
    <row r="93" spans="1:53" ht="22" customHeight="1" x14ac:dyDescent="0.35">
      <c r="A93" s="8" t="s">
        <v>207</v>
      </c>
      <c r="B93" s="8" t="s">
        <v>208</v>
      </c>
      <c r="C93" s="8" t="s">
        <v>206</v>
      </c>
      <c r="D93" s="27" t="s">
        <v>7</v>
      </c>
      <c r="E93" s="24" t="s">
        <v>9</v>
      </c>
      <c r="F93" s="26" t="s">
        <v>3</v>
      </c>
      <c r="G93" s="26" t="s">
        <v>3</v>
      </c>
      <c r="H93" s="26" t="s">
        <v>3</v>
      </c>
      <c r="I93" s="26" t="s">
        <v>3</v>
      </c>
      <c r="J93" s="26" t="s">
        <v>3</v>
      </c>
      <c r="K93" s="23" t="s">
        <v>7</v>
      </c>
      <c r="L93" s="24" t="s">
        <v>9</v>
      </c>
      <c r="M93" s="22" t="s">
        <v>5</v>
      </c>
      <c r="N93" s="26" t="s">
        <v>3</v>
      </c>
      <c r="O93" s="26" t="s">
        <v>3</v>
      </c>
      <c r="P93" s="26" t="s">
        <v>3</v>
      </c>
      <c r="Q93" s="26" t="s">
        <v>3</v>
      </c>
      <c r="R93" s="23" t="s">
        <v>7</v>
      </c>
      <c r="S93" s="24" t="s">
        <v>9</v>
      </c>
      <c r="T93" s="22" t="s">
        <v>5</v>
      </c>
      <c r="U93" s="26" t="s">
        <v>3</v>
      </c>
      <c r="V93" s="26" t="s">
        <v>3</v>
      </c>
      <c r="W93" s="26" t="s">
        <v>3</v>
      </c>
      <c r="X93" s="26" t="s">
        <v>3</v>
      </c>
      <c r="Y93" s="27" t="s">
        <v>7</v>
      </c>
      <c r="Z93" s="24" t="s">
        <v>9</v>
      </c>
      <c r="AA93" s="26" t="s">
        <v>3</v>
      </c>
      <c r="AB93" s="26" t="s">
        <v>3</v>
      </c>
      <c r="AC93" s="26" t="s">
        <v>3</v>
      </c>
      <c r="AD93" s="26" t="s">
        <v>3</v>
      </c>
      <c r="AE93" s="26" t="s">
        <v>3</v>
      </c>
      <c r="AF93" s="8">
        <f>COUNTIF(D93:AE93,"ON")</f>
        <v>18</v>
      </c>
      <c r="AG93" s="8">
        <f>COUNTIF(D93:AE93,"OFF")</f>
        <v>2</v>
      </c>
      <c r="AH93" s="8">
        <f>COUNTIF(D93:AE93,"OT")</f>
        <v>0</v>
      </c>
      <c r="AI93" s="62">
        <v>2</v>
      </c>
      <c r="AJ93" s="33">
        <f>AF93+AH93+AI93*0.5</f>
        <v>19</v>
      </c>
      <c r="AK93" s="63">
        <f>NETWORKDAYS(DATE(2025,2,1),EOMONTH(DATE(2025,2,1),0))*8</f>
        <v>160</v>
      </c>
      <c r="AL93" s="63">
        <f>MAX(0,COUNTIF(J93,"ON")+COUNTIF(Q93,"ON")+COUNTIF(X93,"ON")+COUNTIF(AE93,"ON")-AI93)</f>
        <v>2</v>
      </c>
      <c r="AM93" s="63">
        <f>AL93*$AM$2</f>
        <v>8</v>
      </c>
      <c r="AN93" s="53">
        <f>AJ93-AM93/8</f>
        <v>18</v>
      </c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</row>
    <row r="94" spans="1:53" ht="22" customHeight="1" x14ac:dyDescent="0.35">
      <c r="A94" s="8" t="s">
        <v>209</v>
      </c>
      <c r="B94" s="8" t="s">
        <v>210</v>
      </c>
      <c r="C94" s="8" t="s">
        <v>206</v>
      </c>
      <c r="D94" s="23" t="s">
        <v>7</v>
      </c>
      <c r="E94" s="24" t="s">
        <v>9</v>
      </c>
      <c r="F94" s="22" t="s">
        <v>5</v>
      </c>
      <c r="G94" s="26" t="s">
        <v>3</v>
      </c>
      <c r="H94" s="26" t="s">
        <v>3</v>
      </c>
      <c r="I94" s="26" t="s">
        <v>3</v>
      </c>
      <c r="J94" s="26" t="s">
        <v>3</v>
      </c>
      <c r="K94" s="27" t="s">
        <v>7</v>
      </c>
      <c r="L94" s="24" t="s">
        <v>9</v>
      </c>
      <c r="M94" s="26" t="s">
        <v>3</v>
      </c>
      <c r="N94" s="22" t="s">
        <v>5</v>
      </c>
      <c r="O94" s="26" t="s">
        <v>3</v>
      </c>
      <c r="P94" s="26" t="s">
        <v>3</v>
      </c>
      <c r="Q94" s="26" t="s">
        <v>3</v>
      </c>
      <c r="R94" s="23" t="s">
        <v>7</v>
      </c>
      <c r="S94" s="24" t="s">
        <v>9</v>
      </c>
      <c r="T94" s="26" t="s">
        <v>3</v>
      </c>
      <c r="U94" s="26" t="s">
        <v>3</v>
      </c>
      <c r="V94" s="22" t="s">
        <v>5</v>
      </c>
      <c r="W94" s="26" t="s">
        <v>3</v>
      </c>
      <c r="X94" s="26" t="s">
        <v>3</v>
      </c>
      <c r="Y94" s="23" t="s">
        <v>7</v>
      </c>
      <c r="Z94" s="24" t="s">
        <v>9</v>
      </c>
      <c r="AA94" s="26" t="s">
        <v>3</v>
      </c>
      <c r="AB94" s="26" t="s">
        <v>3</v>
      </c>
      <c r="AC94" s="26" t="s">
        <v>3</v>
      </c>
      <c r="AD94" s="26" t="s">
        <v>3</v>
      </c>
      <c r="AE94" s="26" t="s">
        <v>3</v>
      </c>
      <c r="AF94" s="8">
        <f>COUNTIF(D94:AE94,"ON")</f>
        <v>17</v>
      </c>
      <c r="AG94" s="8">
        <f>COUNTIF(D94:AE94,"OFF")</f>
        <v>3</v>
      </c>
      <c r="AH94" s="8">
        <f>COUNTIF(D94:AE94,"OT")</f>
        <v>0</v>
      </c>
      <c r="AI94" s="62">
        <v>1</v>
      </c>
      <c r="AJ94" s="33">
        <f>AF94+AH94+AI94*0.5</f>
        <v>17.5</v>
      </c>
      <c r="AK94" s="63">
        <f>NETWORKDAYS(DATE(2025,2,1),EOMONTH(DATE(2025,2,1),0))*8</f>
        <v>160</v>
      </c>
      <c r="AL94" s="63">
        <f>MAX(0,COUNTIF(J94,"ON")+COUNTIF(Q94,"ON")+COUNTIF(X94,"ON")+COUNTIF(AE94,"ON")-AI94)</f>
        <v>3</v>
      </c>
      <c r="AM94" s="63">
        <f>AL94*$AM$2</f>
        <v>12</v>
      </c>
      <c r="AN94" s="53">
        <f>AJ94-AM94/8</f>
        <v>16</v>
      </c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</row>
    <row r="95" spans="1:53" ht="22" customHeight="1" x14ac:dyDescent="0.35">
      <c r="A95" s="8" t="s">
        <v>211</v>
      </c>
      <c r="B95" s="8" t="s">
        <v>212</v>
      </c>
      <c r="C95" s="8" t="s">
        <v>206</v>
      </c>
      <c r="D95" s="27" t="s">
        <v>7</v>
      </c>
      <c r="E95" s="28" t="s">
        <v>11</v>
      </c>
      <c r="F95" s="26" t="s">
        <v>3</v>
      </c>
      <c r="G95" s="26" t="s">
        <v>3</v>
      </c>
      <c r="H95" s="26" t="s">
        <v>3</v>
      </c>
      <c r="I95" s="26" t="s">
        <v>3</v>
      </c>
      <c r="J95" s="26" t="s">
        <v>3</v>
      </c>
      <c r="K95" s="23" t="s">
        <v>7</v>
      </c>
      <c r="L95" s="24" t="s">
        <v>9</v>
      </c>
      <c r="M95" s="22" t="s">
        <v>5</v>
      </c>
      <c r="N95" s="26" t="s">
        <v>3</v>
      </c>
      <c r="O95" s="26" t="s">
        <v>3</v>
      </c>
      <c r="P95" s="26" t="s">
        <v>3</v>
      </c>
      <c r="Q95" s="26" t="s">
        <v>3</v>
      </c>
      <c r="R95" s="27" t="s">
        <v>7</v>
      </c>
      <c r="S95" s="24" t="s">
        <v>9</v>
      </c>
      <c r="T95" s="26" t="s">
        <v>3</v>
      </c>
      <c r="U95" s="22" t="s">
        <v>5</v>
      </c>
      <c r="V95" s="26" t="s">
        <v>3</v>
      </c>
      <c r="W95" s="26" t="s">
        <v>3</v>
      </c>
      <c r="X95" s="26" t="s">
        <v>3</v>
      </c>
      <c r="Y95" s="23" t="s">
        <v>7</v>
      </c>
      <c r="Z95" s="24" t="s">
        <v>9</v>
      </c>
      <c r="AA95" s="26" t="s">
        <v>3</v>
      </c>
      <c r="AB95" s="26" t="s">
        <v>3</v>
      </c>
      <c r="AC95" s="26" t="s">
        <v>3</v>
      </c>
      <c r="AD95" s="26" t="s">
        <v>3</v>
      </c>
      <c r="AE95" s="26" t="s">
        <v>3</v>
      </c>
      <c r="AF95" s="8">
        <f>COUNTIF(D95:AE95,"ON")</f>
        <v>18</v>
      </c>
      <c r="AG95" s="8">
        <f>COUNTIF(D95:AE95,"OFF")</f>
        <v>2</v>
      </c>
      <c r="AH95" s="29">
        <f>COUNTIF(D95:AE95,"OT")</f>
        <v>1</v>
      </c>
      <c r="AI95" s="62">
        <v>2</v>
      </c>
      <c r="AJ95" s="33">
        <f>AF95+AH95+AI95*0.5</f>
        <v>20</v>
      </c>
      <c r="AK95" s="63">
        <f>NETWORKDAYS(DATE(2025,2,1),EOMONTH(DATE(2025,2,1),0))*8</f>
        <v>160</v>
      </c>
      <c r="AL95" s="63">
        <f>MAX(0,COUNTIF(J95,"ON")+COUNTIF(Q95,"ON")+COUNTIF(X95,"ON")+COUNTIF(AE95,"ON")-AI95)</f>
        <v>2</v>
      </c>
      <c r="AM95" s="63">
        <f>AL95*$AM$2</f>
        <v>8</v>
      </c>
      <c r="AN95" s="53">
        <f>AJ95-AM95/8</f>
        <v>19</v>
      </c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</row>
    <row r="96" spans="1:53" x14ac:dyDescent="0.35"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</row>
    <row r="97" spans="1:53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</row>
    <row r="98" spans="1:53" ht="22" customHeight="1" x14ac:dyDescent="0.35">
      <c r="A98" s="8" t="s">
        <v>214</v>
      </c>
      <c r="B98" s="8" t="s">
        <v>215</v>
      </c>
      <c r="C98" s="8" t="s">
        <v>216</v>
      </c>
      <c r="D98" s="23" t="s">
        <v>7</v>
      </c>
      <c r="E98" s="24" t="s">
        <v>9</v>
      </c>
      <c r="F98" s="26" t="s">
        <v>3</v>
      </c>
      <c r="G98" s="26" t="s">
        <v>3</v>
      </c>
      <c r="H98" s="26" t="s">
        <v>3</v>
      </c>
      <c r="I98" s="26" t="s">
        <v>3</v>
      </c>
      <c r="J98" s="26" t="s">
        <v>3</v>
      </c>
      <c r="K98" s="23" t="s">
        <v>7</v>
      </c>
      <c r="L98" s="24" t="s">
        <v>9</v>
      </c>
      <c r="M98" s="26" t="s">
        <v>3</v>
      </c>
      <c r="N98" s="26" t="s">
        <v>3</v>
      </c>
      <c r="O98" s="26" t="s">
        <v>3</v>
      </c>
      <c r="P98" s="26" t="s">
        <v>3</v>
      </c>
      <c r="Q98" s="26" t="s">
        <v>3</v>
      </c>
      <c r="R98" s="23" t="s">
        <v>7</v>
      </c>
      <c r="S98" s="24" t="s">
        <v>9</v>
      </c>
      <c r="T98" s="26" t="s">
        <v>3</v>
      </c>
      <c r="U98" s="26" t="s">
        <v>3</v>
      </c>
      <c r="V98" s="26" t="s">
        <v>3</v>
      </c>
      <c r="W98" s="26" t="s">
        <v>3</v>
      </c>
      <c r="X98" s="26" t="s">
        <v>3</v>
      </c>
      <c r="Y98" s="23" t="s">
        <v>7</v>
      </c>
      <c r="Z98" s="28" t="s">
        <v>11</v>
      </c>
      <c r="AA98" s="26" t="s">
        <v>3</v>
      </c>
      <c r="AB98" s="26" t="s">
        <v>3</v>
      </c>
      <c r="AC98" s="26" t="s">
        <v>3</v>
      </c>
      <c r="AD98" s="26" t="s">
        <v>3</v>
      </c>
      <c r="AE98" s="26" t="s">
        <v>3</v>
      </c>
      <c r="AF98" s="8">
        <f t="shared" ref="AF98:AF111" si="32">COUNTIF(D98:AE98,"ON")</f>
        <v>20</v>
      </c>
      <c r="AG98" s="8">
        <f t="shared" ref="AG98:AG111" si="33">COUNTIF(D98:AE98,"OFF")</f>
        <v>0</v>
      </c>
      <c r="AH98" s="29">
        <f t="shared" ref="AH98:AH111" si="34">COUNTIF(D98:AE98,"OT")</f>
        <v>1</v>
      </c>
      <c r="AI98" s="62">
        <v>0</v>
      </c>
      <c r="AJ98" s="33">
        <f t="shared" ref="AJ98:AJ111" si="35">AF98+AH98+AI98*0.5</f>
        <v>21</v>
      </c>
      <c r="AK98" s="63">
        <f t="shared" ref="AK98:AK111" si="36">NETWORKDAYS(DATE(2025,2,1),EOMONTH(DATE(2025,2,1),0))*8</f>
        <v>160</v>
      </c>
      <c r="AL98" s="63">
        <f t="shared" ref="AL98:AL111" si="37">MAX(0,COUNTIF(J98,"ON")+COUNTIF(Q98,"ON")+COUNTIF(X98,"ON")+COUNTIF(AE98,"ON")-AI98)</f>
        <v>4</v>
      </c>
      <c r="AM98" s="63">
        <f t="shared" ref="AM98:AM111" si="38">AL98*$AM$2</f>
        <v>16</v>
      </c>
      <c r="AN98" s="53">
        <f t="shared" ref="AN98:AN111" si="39">AJ98-AM98/8</f>
        <v>19</v>
      </c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</row>
    <row r="99" spans="1:53" ht="22" customHeight="1" x14ac:dyDescent="0.35">
      <c r="A99" s="8" t="s">
        <v>217</v>
      </c>
      <c r="B99" s="8" t="s">
        <v>218</v>
      </c>
      <c r="C99" s="8" t="s">
        <v>216</v>
      </c>
      <c r="D99" s="23" t="s">
        <v>7</v>
      </c>
      <c r="E99" s="24" t="s">
        <v>9</v>
      </c>
      <c r="F99" s="26" t="s">
        <v>3</v>
      </c>
      <c r="G99" s="26" t="s">
        <v>3</v>
      </c>
      <c r="H99" s="26" t="s">
        <v>3</v>
      </c>
      <c r="I99" s="26" t="s">
        <v>3</v>
      </c>
      <c r="J99" s="26" t="s">
        <v>3</v>
      </c>
      <c r="K99" s="23" t="s">
        <v>7</v>
      </c>
      <c r="L99" s="28" t="s">
        <v>11</v>
      </c>
      <c r="M99" s="26" t="s">
        <v>3</v>
      </c>
      <c r="N99" s="26" t="s">
        <v>3</v>
      </c>
      <c r="O99" s="26" t="s">
        <v>3</v>
      </c>
      <c r="P99" s="26" t="s">
        <v>3</v>
      </c>
      <c r="Q99" s="26" t="s">
        <v>3</v>
      </c>
      <c r="R99" s="23" t="s">
        <v>7</v>
      </c>
      <c r="S99" s="28" t="s">
        <v>11</v>
      </c>
      <c r="T99" s="26" t="s">
        <v>3</v>
      </c>
      <c r="U99" s="26" t="s">
        <v>3</v>
      </c>
      <c r="V99" s="26" t="s">
        <v>3</v>
      </c>
      <c r="W99" s="26" t="s">
        <v>3</v>
      </c>
      <c r="X99" s="26" t="s">
        <v>3</v>
      </c>
      <c r="Y99" s="23" t="s">
        <v>7</v>
      </c>
      <c r="Z99" s="24" t="s">
        <v>9</v>
      </c>
      <c r="AA99" s="26" t="s">
        <v>3</v>
      </c>
      <c r="AB99" s="26" t="s">
        <v>3</v>
      </c>
      <c r="AC99" s="26" t="s">
        <v>3</v>
      </c>
      <c r="AD99" s="26" t="s">
        <v>3</v>
      </c>
      <c r="AE99" s="26" t="s">
        <v>3</v>
      </c>
      <c r="AF99" s="8">
        <f t="shared" si="32"/>
        <v>20</v>
      </c>
      <c r="AG99" s="8">
        <f t="shared" si="33"/>
        <v>0</v>
      </c>
      <c r="AH99" s="29">
        <f t="shared" si="34"/>
        <v>2</v>
      </c>
      <c r="AI99" s="62">
        <v>0</v>
      </c>
      <c r="AJ99" s="33">
        <f t="shared" si="35"/>
        <v>22</v>
      </c>
      <c r="AK99" s="63">
        <f t="shared" si="36"/>
        <v>160</v>
      </c>
      <c r="AL99" s="63">
        <f t="shared" si="37"/>
        <v>4</v>
      </c>
      <c r="AM99" s="63">
        <f t="shared" si="38"/>
        <v>16</v>
      </c>
      <c r="AN99" s="53">
        <f t="shared" si="39"/>
        <v>20</v>
      </c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</row>
    <row r="100" spans="1:53" ht="22" customHeight="1" x14ac:dyDescent="0.35">
      <c r="A100" s="8" t="s">
        <v>219</v>
      </c>
      <c r="B100" s="8" t="s">
        <v>220</v>
      </c>
      <c r="C100" s="8" t="s">
        <v>216</v>
      </c>
      <c r="D100" s="23" t="s">
        <v>7</v>
      </c>
      <c r="E100" s="24" t="s">
        <v>9</v>
      </c>
      <c r="F100" s="22" t="s">
        <v>5</v>
      </c>
      <c r="G100" s="22" t="s">
        <v>5</v>
      </c>
      <c r="H100" s="26" t="s">
        <v>3</v>
      </c>
      <c r="I100" s="26" t="s">
        <v>3</v>
      </c>
      <c r="J100" s="26" t="s">
        <v>3</v>
      </c>
      <c r="K100" s="23" t="s">
        <v>7</v>
      </c>
      <c r="L100" s="24" t="s">
        <v>9</v>
      </c>
      <c r="M100" s="26" t="s">
        <v>3</v>
      </c>
      <c r="N100" s="26" t="s">
        <v>3</v>
      </c>
      <c r="O100" s="26" t="s">
        <v>3</v>
      </c>
      <c r="P100" s="26" t="s">
        <v>3</v>
      </c>
      <c r="Q100" s="26" t="s">
        <v>3</v>
      </c>
      <c r="R100" s="23" t="s">
        <v>7</v>
      </c>
      <c r="S100" s="24" t="s">
        <v>9</v>
      </c>
      <c r="T100" s="22" t="s">
        <v>5</v>
      </c>
      <c r="U100" s="26" t="s">
        <v>3</v>
      </c>
      <c r="V100" s="26" t="s">
        <v>3</v>
      </c>
      <c r="W100" s="26" t="s">
        <v>3</v>
      </c>
      <c r="X100" s="26" t="s">
        <v>3</v>
      </c>
      <c r="Y100" s="23" t="s">
        <v>7</v>
      </c>
      <c r="Z100" s="24" t="s">
        <v>9</v>
      </c>
      <c r="AA100" s="26" t="s">
        <v>3</v>
      </c>
      <c r="AB100" s="26" t="s">
        <v>3</v>
      </c>
      <c r="AC100" s="26" t="s">
        <v>3</v>
      </c>
      <c r="AD100" s="26" t="s">
        <v>3</v>
      </c>
      <c r="AE100" s="26" t="s">
        <v>3</v>
      </c>
      <c r="AF100" s="8">
        <f t="shared" si="32"/>
        <v>17</v>
      </c>
      <c r="AG100" s="8">
        <f t="shared" si="33"/>
        <v>3</v>
      </c>
      <c r="AH100" s="8">
        <f t="shared" si="34"/>
        <v>0</v>
      </c>
      <c r="AI100" s="62">
        <v>0</v>
      </c>
      <c r="AJ100" s="33">
        <f t="shared" si="35"/>
        <v>17</v>
      </c>
      <c r="AK100" s="63">
        <f t="shared" si="36"/>
        <v>160</v>
      </c>
      <c r="AL100" s="63">
        <f t="shared" si="37"/>
        <v>4</v>
      </c>
      <c r="AM100" s="63">
        <f t="shared" si="38"/>
        <v>16</v>
      </c>
      <c r="AN100" s="53">
        <f t="shared" si="39"/>
        <v>15</v>
      </c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</row>
    <row r="101" spans="1:53" ht="22" customHeight="1" x14ac:dyDescent="0.35">
      <c r="A101" s="8" t="s">
        <v>221</v>
      </c>
      <c r="B101" s="8" t="s">
        <v>222</v>
      </c>
      <c r="C101" s="8" t="s">
        <v>216</v>
      </c>
      <c r="D101" s="23" t="s">
        <v>7</v>
      </c>
      <c r="E101" s="24" t="s">
        <v>9</v>
      </c>
      <c r="F101" s="26" t="s">
        <v>3</v>
      </c>
      <c r="G101" s="26" t="s">
        <v>3</v>
      </c>
      <c r="H101" s="22" t="s">
        <v>5</v>
      </c>
      <c r="I101" s="26" t="s">
        <v>3</v>
      </c>
      <c r="J101" s="26" t="s">
        <v>3</v>
      </c>
      <c r="K101" s="23" t="s">
        <v>7</v>
      </c>
      <c r="L101" s="24" t="s">
        <v>9</v>
      </c>
      <c r="M101" s="26" t="s">
        <v>3</v>
      </c>
      <c r="N101" s="26" t="s">
        <v>3</v>
      </c>
      <c r="O101" s="26" t="s">
        <v>3</v>
      </c>
      <c r="P101" s="26" t="s">
        <v>3</v>
      </c>
      <c r="Q101" s="26" t="s">
        <v>3</v>
      </c>
      <c r="R101" s="23" t="s">
        <v>7</v>
      </c>
      <c r="S101" s="24" t="s">
        <v>9</v>
      </c>
      <c r="T101" s="26" t="s">
        <v>3</v>
      </c>
      <c r="U101" s="26" t="s">
        <v>3</v>
      </c>
      <c r="V101" s="26" t="s">
        <v>3</v>
      </c>
      <c r="W101" s="26" t="s">
        <v>3</v>
      </c>
      <c r="X101" s="26" t="s">
        <v>3</v>
      </c>
      <c r="Y101" s="23" t="s">
        <v>7</v>
      </c>
      <c r="Z101" s="24" t="s">
        <v>9</v>
      </c>
      <c r="AA101" s="26" t="s">
        <v>3</v>
      </c>
      <c r="AB101" s="26" t="s">
        <v>3</v>
      </c>
      <c r="AC101" s="26" t="s">
        <v>3</v>
      </c>
      <c r="AD101" s="26" t="s">
        <v>3</v>
      </c>
      <c r="AE101" s="26" t="s">
        <v>3</v>
      </c>
      <c r="AF101" s="8">
        <f t="shared" si="32"/>
        <v>19</v>
      </c>
      <c r="AG101" s="8">
        <f t="shared" si="33"/>
        <v>1</v>
      </c>
      <c r="AH101" s="8">
        <f t="shared" si="34"/>
        <v>0</v>
      </c>
      <c r="AI101" s="62">
        <v>0</v>
      </c>
      <c r="AJ101" s="33">
        <f t="shared" si="35"/>
        <v>19</v>
      </c>
      <c r="AK101" s="63">
        <f t="shared" si="36"/>
        <v>160</v>
      </c>
      <c r="AL101" s="63">
        <f t="shared" si="37"/>
        <v>4</v>
      </c>
      <c r="AM101" s="63">
        <f t="shared" si="38"/>
        <v>16</v>
      </c>
      <c r="AN101" s="53">
        <f t="shared" si="39"/>
        <v>17</v>
      </c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</row>
    <row r="102" spans="1:53" ht="22" customHeight="1" x14ac:dyDescent="0.35">
      <c r="A102" s="8" t="s">
        <v>223</v>
      </c>
      <c r="B102" s="8" t="s">
        <v>224</v>
      </c>
      <c r="C102" s="8" t="s">
        <v>216</v>
      </c>
      <c r="D102" s="23" t="s">
        <v>7</v>
      </c>
      <c r="E102" s="24" t="s">
        <v>9</v>
      </c>
      <c r="F102" s="22" t="s">
        <v>5</v>
      </c>
      <c r="G102" s="22" t="s">
        <v>5</v>
      </c>
      <c r="H102" s="22" t="s">
        <v>5</v>
      </c>
      <c r="I102" s="22" t="s">
        <v>5</v>
      </c>
      <c r="J102" s="22" t="s">
        <v>5</v>
      </c>
      <c r="K102" s="23" t="s">
        <v>7</v>
      </c>
      <c r="L102" s="24" t="s">
        <v>9</v>
      </c>
      <c r="M102" s="22" t="s">
        <v>5</v>
      </c>
      <c r="N102" s="22" t="s">
        <v>5</v>
      </c>
      <c r="O102" s="22" t="s">
        <v>5</v>
      </c>
      <c r="P102" s="22" t="s">
        <v>5</v>
      </c>
      <c r="Q102" s="22" t="s">
        <v>5</v>
      </c>
      <c r="R102" s="23" t="s">
        <v>7</v>
      </c>
      <c r="S102" s="24" t="s">
        <v>9</v>
      </c>
      <c r="T102" s="22" t="s">
        <v>5</v>
      </c>
      <c r="U102" s="22" t="s">
        <v>5</v>
      </c>
      <c r="V102" s="22" t="s">
        <v>5</v>
      </c>
      <c r="W102" s="22" t="s">
        <v>5</v>
      </c>
      <c r="X102" s="22" t="s">
        <v>5</v>
      </c>
      <c r="Y102" s="23" t="s">
        <v>7</v>
      </c>
      <c r="Z102" s="24" t="s">
        <v>9</v>
      </c>
      <c r="AA102" s="22" t="s">
        <v>5</v>
      </c>
      <c r="AB102" s="22" t="s">
        <v>5</v>
      </c>
      <c r="AC102" s="22" t="s">
        <v>5</v>
      </c>
      <c r="AD102" s="22" t="s">
        <v>5</v>
      </c>
      <c r="AE102" s="22" t="s">
        <v>5</v>
      </c>
      <c r="AF102" s="8">
        <f t="shared" si="32"/>
        <v>0</v>
      </c>
      <c r="AG102" s="25">
        <f t="shared" si="33"/>
        <v>20</v>
      </c>
      <c r="AH102" s="8">
        <f t="shared" si="34"/>
        <v>0</v>
      </c>
      <c r="AI102" s="62">
        <v>0</v>
      </c>
      <c r="AJ102" s="33">
        <f t="shared" si="35"/>
        <v>0</v>
      </c>
      <c r="AK102" s="63">
        <f t="shared" si="36"/>
        <v>160</v>
      </c>
      <c r="AL102" s="63">
        <f t="shared" si="37"/>
        <v>0</v>
      </c>
      <c r="AM102" s="63">
        <f t="shared" si="38"/>
        <v>0</v>
      </c>
      <c r="AN102" s="53">
        <f t="shared" si="39"/>
        <v>0</v>
      </c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</row>
    <row r="103" spans="1:53" ht="22" customHeight="1" x14ac:dyDescent="0.35">
      <c r="A103" s="8" t="s">
        <v>225</v>
      </c>
      <c r="B103" s="8" t="s">
        <v>226</v>
      </c>
      <c r="C103" s="8" t="s">
        <v>216</v>
      </c>
      <c r="D103" s="23" t="s">
        <v>7</v>
      </c>
      <c r="E103" s="24" t="s">
        <v>9</v>
      </c>
      <c r="F103" s="22" t="s">
        <v>5</v>
      </c>
      <c r="G103" s="22" t="s">
        <v>5</v>
      </c>
      <c r="H103" s="22" t="s">
        <v>5</v>
      </c>
      <c r="I103" s="22" t="s">
        <v>5</v>
      </c>
      <c r="J103" s="22" t="s">
        <v>5</v>
      </c>
      <c r="K103" s="23" t="s">
        <v>7</v>
      </c>
      <c r="L103" s="24" t="s">
        <v>9</v>
      </c>
      <c r="M103" s="22" t="s">
        <v>5</v>
      </c>
      <c r="N103" s="22" t="s">
        <v>5</v>
      </c>
      <c r="O103" s="22" t="s">
        <v>5</v>
      </c>
      <c r="P103" s="22" t="s">
        <v>5</v>
      </c>
      <c r="Q103" s="22" t="s">
        <v>5</v>
      </c>
      <c r="R103" s="23" t="s">
        <v>7</v>
      </c>
      <c r="S103" s="24" t="s">
        <v>9</v>
      </c>
      <c r="T103" s="22" t="s">
        <v>5</v>
      </c>
      <c r="U103" s="22" t="s">
        <v>5</v>
      </c>
      <c r="V103" s="22" t="s">
        <v>5</v>
      </c>
      <c r="W103" s="22" t="s">
        <v>5</v>
      </c>
      <c r="X103" s="22" t="s">
        <v>5</v>
      </c>
      <c r="Y103" s="23" t="s">
        <v>7</v>
      </c>
      <c r="Z103" s="24" t="s">
        <v>9</v>
      </c>
      <c r="AA103" s="22" t="s">
        <v>5</v>
      </c>
      <c r="AB103" s="22" t="s">
        <v>5</v>
      </c>
      <c r="AC103" s="22" t="s">
        <v>5</v>
      </c>
      <c r="AD103" s="22" t="s">
        <v>5</v>
      </c>
      <c r="AE103" s="22" t="s">
        <v>5</v>
      </c>
      <c r="AF103" s="8">
        <f t="shared" si="32"/>
        <v>0</v>
      </c>
      <c r="AG103" s="25">
        <f t="shared" si="33"/>
        <v>20</v>
      </c>
      <c r="AH103" s="8">
        <f t="shared" si="34"/>
        <v>0</v>
      </c>
      <c r="AI103" s="62">
        <v>0</v>
      </c>
      <c r="AJ103" s="33">
        <f t="shared" si="35"/>
        <v>0</v>
      </c>
      <c r="AK103" s="63">
        <f t="shared" si="36"/>
        <v>160</v>
      </c>
      <c r="AL103" s="63">
        <f t="shared" si="37"/>
        <v>0</v>
      </c>
      <c r="AM103" s="63">
        <f t="shared" si="38"/>
        <v>0</v>
      </c>
      <c r="AN103" s="53">
        <f t="shared" si="39"/>
        <v>0</v>
      </c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</row>
    <row r="104" spans="1:53" ht="22" customHeight="1" x14ac:dyDescent="0.35">
      <c r="A104" s="8" t="s">
        <v>227</v>
      </c>
      <c r="B104" s="8" t="s">
        <v>228</v>
      </c>
      <c r="C104" s="8" t="s">
        <v>216</v>
      </c>
      <c r="D104" s="23" t="s">
        <v>7</v>
      </c>
      <c r="E104" s="24" t="s">
        <v>9</v>
      </c>
      <c r="F104" s="26" t="s">
        <v>3</v>
      </c>
      <c r="G104" s="26" t="s">
        <v>3</v>
      </c>
      <c r="H104" s="26" t="s">
        <v>3</v>
      </c>
      <c r="I104" s="26" t="s">
        <v>3</v>
      </c>
      <c r="J104" s="26" t="s">
        <v>3</v>
      </c>
      <c r="K104" s="23" t="s">
        <v>7</v>
      </c>
      <c r="L104" s="24" t="s">
        <v>9</v>
      </c>
      <c r="M104" s="26" t="s">
        <v>3</v>
      </c>
      <c r="N104" s="26" t="s">
        <v>3</v>
      </c>
      <c r="O104" s="26" t="s">
        <v>3</v>
      </c>
      <c r="P104" s="26" t="s">
        <v>3</v>
      </c>
      <c r="Q104" s="26" t="s">
        <v>3</v>
      </c>
      <c r="R104" s="23" t="s">
        <v>7</v>
      </c>
      <c r="S104" s="24" t="s">
        <v>9</v>
      </c>
      <c r="T104" s="26" t="s">
        <v>3</v>
      </c>
      <c r="U104" s="26" t="s">
        <v>3</v>
      </c>
      <c r="V104" s="26" t="s">
        <v>3</v>
      </c>
      <c r="W104" s="26" t="s">
        <v>3</v>
      </c>
      <c r="X104" s="26" t="s">
        <v>3</v>
      </c>
      <c r="Y104" s="23" t="s">
        <v>7</v>
      </c>
      <c r="Z104" s="24" t="s">
        <v>9</v>
      </c>
      <c r="AA104" s="26" t="s">
        <v>3</v>
      </c>
      <c r="AB104" s="26" t="s">
        <v>3</v>
      </c>
      <c r="AC104" s="26" t="s">
        <v>3</v>
      </c>
      <c r="AD104" s="26" t="s">
        <v>3</v>
      </c>
      <c r="AE104" s="26" t="s">
        <v>3</v>
      </c>
      <c r="AF104" s="8">
        <f t="shared" si="32"/>
        <v>20</v>
      </c>
      <c r="AG104" s="8">
        <f t="shared" si="33"/>
        <v>0</v>
      </c>
      <c r="AH104" s="8">
        <f t="shared" si="34"/>
        <v>0</v>
      </c>
      <c r="AI104" s="62">
        <v>0</v>
      </c>
      <c r="AJ104" s="33">
        <f t="shared" si="35"/>
        <v>20</v>
      </c>
      <c r="AK104" s="63">
        <f t="shared" si="36"/>
        <v>160</v>
      </c>
      <c r="AL104" s="63">
        <f t="shared" si="37"/>
        <v>4</v>
      </c>
      <c r="AM104" s="63">
        <f t="shared" si="38"/>
        <v>16</v>
      </c>
      <c r="AN104" s="53">
        <f t="shared" si="39"/>
        <v>18</v>
      </c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</row>
    <row r="105" spans="1:53" ht="22" customHeight="1" x14ac:dyDescent="0.35">
      <c r="A105" s="8" t="s">
        <v>229</v>
      </c>
      <c r="B105" s="8" t="s">
        <v>230</v>
      </c>
      <c r="C105" s="8" t="s">
        <v>216</v>
      </c>
      <c r="D105" s="23" t="s">
        <v>7</v>
      </c>
      <c r="E105" s="28" t="s">
        <v>11</v>
      </c>
      <c r="F105" s="26" t="s">
        <v>3</v>
      </c>
      <c r="G105" s="26" t="s">
        <v>3</v>
      </c>
      <c r="H105" s="26" t="s">
        <v>3</v>
      </c>
      <c r="I105" s="26" t="s">
        <v>3</v>
      </c>
      <c r="J105" s="26" t="s">
        <v>3</v>
      </c>
      <c r="K105" s="23" t="s">
        <v>7</v>
      </c>
      <c r="L105" s="24" t="s">
        <v>9</v>
      </c>
      <c r="M105" s="26" t="s">
        <v>3</v>
      </c>
      <c r="N105" s="26" t="s">
        <v>3</v>
      </c>
      <c r="O105" s="26" t="s">
        <v>3</v>
      </c>
      <c r="P105" s="26" t="s">
        <v>3</v>
      </c>
      <c r="Q105" s="26" t="s">
        <v>3</v>
      </c>
      <c r="R105" s="23" t="s">
        <v>7</v>
      </c>
      <c r="S105" s="24" t="s">
        <v>9</v>
      </c>
      <c r="T105" s="22" t="s">
        <v>5</v>
      </c>
      <c r="U105" s="26" t="s">
        <v>3</v>
      </c>
      <c r="V105" s="26" t="s">
        <v>3</v>
      </c>
      <c r="W105" s="26" t="s">
        <v>3</v>
      </c>
      <c r="X105" s="26" t="s">
        <v>3</v>
      </c>
      <c r="Y105" s="23" t="s">
        <v>7</v>
      </c>
      <c r="Z105" s="24" t="s">
        <v>9</v>
      </c>
      <c r="AA105" s="26" t="s">
        <v>3</v>
      </c>
      <c r="AB105" s="26" t="s">
        <v>3</v>
      </c>
      <c r="AC105" s="22" t="s">
        <v>5</v>
      </c>
      <c r="AD105" s="26" t="s">
        <v>3</v>
      </c>
      <c r="AE105" s="26" t="s">
        <v>3</v>
      </c>
      <c r="AF105" s="8">
        <f t="shared" si="32"/>
        <v>18</v>
      </c>
      <c r="AG105" s="8">
        <f t="shared" si="33"/>
        <v>2</v>
      </c>
      <c r="AH105" s="29">
        <f t="shared" si="34"/>
        <v>1</v>
      </c>
      <c r="AI105" s="62">
        <v>0</v>
      </c>
      <c r="AJ105" s="33">
        <f t="shared" si="35"/>
        <v>19</v>
      </c>
      <c r="AK105" s="63">
        <f t="shared" si="36"/>
        <v>160</v>
      </c>
      <c r="AL105" s="63">
        <f t="shared" si="37"/>
        <v>4</v>
      </c>
      <c r="AM105" s="63">
        <f t="shared" si="38"/>
        <v>16</v>
      </c>
      <c r="AN105" s="53">
        <f t="shared" si="39"/>
        <v>17</v>
      </c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</row>
    <row r="106" spans="1:53" ht="22" customHeight="1" x14ac:dyDescent="0.35">
      <c r="A106" s="8" t="s">
        <v>231</v>
      </c>
      <c r="B106" s="8" t="s">
        <v>232</v>
      </c>
      <c r="C106" s="8" t="s">
        <v>216</v>
      </c>
      <c r="D106" s="23" t="s">
        <v>7</v>
      </c>
      <c r="E106" s="24" t="s">
        <v>9</v>
      </c>
      <c r="F106" s="26" t="s">
        <v>3</v>
      </c>
      <c r="G106" s="26" t="s">
        <v>3</v>
      </c>
      <c r="H106" s="22" t="s">
        <v>5</v>
      </c>
      <c r="I106" s="26" t="s">
        <v>3</v>
      </c>
      <c r="J106" s="26" t="s">
        <v>3</v>
      </c>
      <c r="K106" s="23" t="s">
        <v>7</v>
      </c>
      <c r="L106" s="24" t="s">
        <v>9</v>
      </c>
      <c r="M106" s="26" t="s">
        <v>3</v>
      </c>
      <c r="N106" s="22" t="s">
        <v>5</v>
      </c>
      <c r="O106" s="26" t="s">
        <v>3</v>
      </c>
      <c r="P106" s="22" t="s">
        <v>5</v>
      </c>
      <c r="Q106" s="26" t="s">
        <v>3</v>
      </c>
      <c r="R106" s="27" t="s">
        <v>7</v>
      </c>
      <c r="S106" s="24" t="s">
        <v>9</v>
      </c>
      <c r="T106" s="26" t="s">
        <v>3</v>
      </c>
      <c r="U106" s="26" t="s">
        <v>3</v>
      </c>
      <c r="V106" s="26" t="s">
        <v>3</v>
      </c>
      <c r="W106" s="26" t="s">
        <v>3</v>
      </c>
      <c r="X106" s="26" t="s">
        <v>3</v>
      </c>
      <c r="Y106" s="23" t="s">
        <v>7</v>
      </c>
      <c r="Z106" s="24" t="s">
        <v>9</v>
      </c>
      <c r="AA106" s="26" t="s">
        <v>3</v>
      </c>
      <c r="AB106" s="22" t="s">
        <v>5</v>
      </c>
      <c r="AC106" s="22" t="s">
        <v>5</v>
      </c>
      <c r="AD106" s="26" t="s">
        <v>3</v>
      </c>
      <c r="AE106" s="26" t="s">
        <v>3</v>
      </c>
      <c r="AF106" s="8">
        <f t="shared" si="32"/>
        <v>15</v>
      </c>
      <c r="AG106" s="8">
        <f t="shared" si="33"/>
        <v>5</v>
      </c>
      <c r="AH106" s="8">
        <f t="shared" si="34"/>
        <v>0</v>
      </c>
      <c r="AI106" s="62">
        <v>1</v>
      </c>
      <c r="AJ106" s="33">
        <f t="shared" si="35"/>
        <v>15.5</v>
      </c>
      <c r="AK106" s="63">
        <f t="shared" si="36"/>
        <v>160</v>
      </c>
      <c r="AL106" s="63">
        <f t="shared" si="37"/>
        <v>3</v>
      </c>
      <c r="AM106" s="63">
        <f t="shared" si="38"/>
        <v>12</v>
      </c>
      <c r="AN106" s="53">
        <f t="shared" si="39"/>
        <v>14</v>
      </c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</row>
    <row r="107" spans="1:53" ht="22" customHeight="1" x14ac:dyDescent="0.35">
      <c r="A107" s="8" t="s">
        <v>233</v>
      </c>
      <c r="B107" s="8" t="s">
        <v>234</v>
      </c>
      <c r="C107" s="8" t="s">
        <v>216</v>
      </c>
      <c r="D107" s="27" t="s">
        <v>7</v>
      </c>
      <c r="E107" s="24" t="s">
        <v>9</v>
      </c>
      <c r="F107" s="26" t="s">
        <v>3</v>
      </c>
      <c r="G107" s="26" t="s">
        <v>3</v>
      </c>
      <c r="H107" s="26" t="s">
        <v>3</v>
      </c>
      <c r="I107" s="26" t="s">
        <v>3</v>
      </c>
      <c r="J107" s="26" t="s">
        <v>3</v>
      </c>
      <c r="K107" s="27" t="s">
        <v>7</v>
      </c>
      <c r="L107" s="28" t="s">
        <v>11</v>
      </c>
      <c r="M107" s="26" t="s">
        <v>3</v>
      </c>
      <c r="N107" s="26" t="s">
        <v>3</v>
      </c>
      <c r="O107" s="26" t="s">
        <v>3</v>
      </c>
      <c r="P107" s="26" t="s">
        <v>3</v>
      </c>
      <c r="Q107" s="26" t="s">
        <v>3</v>
      </c>
      <c r="R107" s="23" t="s">
        <v>7</v>
      </c>
      <c r="S107" s="24" t="s">
        <v>9</v>
      </c>
      <c r="T107" s="26" t="s">
        <v>3</v>
      </c>
      <c r="U107" s="26" t="s">
        <v>3</v>
      </c>
      <c r="V107" s="26" t="s">
        <v>3</v>
      </c>
      <c r="W107" s="26" t="s">
        <v>3</v>
      </c>
      <c r="X107" s="26" t="s">
        <v>3</v>
      </c>
      <c r="Y107" s="23" t="s">
        <v>7</v>
      </c>
      <c r="Z107" s="24" t="s">
        <v>9</v>
      </c>
      <c r="AA107" s="26" t="s">
        <v>3</v>
      </c>
      <c r="AB107" s="26" t="s">
        <v>3</v>
      </c>
      <c r="AC107" s="26" t="s">
        <v>3</v>
      </c>
      <c r="AD107" s="26" t="s">
        <v>3</v>
      </c>
      <c r="AE107" s="26" t="s">
        <v>3</v>
      </c>
      <c r="AF107" s="8">
        <f t="shared" si="32"/>
        <v>20</v>
      </c>
      <c r="AG107" s="8">
        <f t="shared" si="33"/>
        <v>0</v>
      </c>
      <c r="AH107" s="29">
        <f t="shared" si="34"/>
        <v>1</v>
      </c>
      <c r="AI107" s="62">
        <v>2</v>
      </c>
      <c r="AJ107" s="33">
        <f t="shared" si="35"/>
        <v>22</v>
      </c>
      <c r="AK107" s="63">
        <f t="shared" si="36"/>
        <v>160</v>
      </c>
      <c r="AL107" s="63">
        <f t="shared" si="37"/>
        <v>2</v>
      </c>
      <c r="AM107" s="63">
        <f t="shared" si="38"/>
        <v>8</v>
      </c>
      <c r="AN107" s="53">
        <f t="shared" si="39"/>
        <v>21</v>
      </c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</row>
    <row r="108" spans="1:53" ht="22" customHeight="1" x14ac:dyDescent="0.35">
      <c r="A108" s="8" t="s">
        <v>235</v>
      </c>
      <c r="B108" s="8" t="s">
        <v>236</v>
      </c>
      <c r="C108" s="8" t="s">
        <v>216</v>
      </c>
      <c r="D108" s="23" t="s">
        <v>7</v>
      </c>
      <c r="E108" s="24" t="s">
        <v>9</v>
      </c>
      <c r="F108" s="26" t="s">
        <v>3</v>
      </c>
      <c r="G108" s="26" t="s">
        <v>3</v>
      </c>
      <c r="H108" s="26" t="s">
        <v>3</v>
      </c>
      <c r="I108" s="26" t="s">
        <v>3</v>
      </c>
      <c r="J108" s="26" t="s">
        <v>3</v>
      </c>
      <c r="K108" s="23" t="s">
        <v>7</v>
      </c>
      <c r="L108" s="24" t="s">
        <v>9</v>
      </c>
      <c r="M108" s="26" t="s">
        <v>3</v>
      </c>
      <c r="N108" s="26" t="s">
        <v>3</v>
      </c>
      <c r="O108" s="26" t="s">
        <v>3</v>
      </c>
      <c r="P108" s="26" t="s">
        <v>3</v>
      </c>
      <c r="Q108" s="26" t="s">
        <v>3</v>
      </c>
      <c r="R108" s="23" t="s">
        <v>7</v>
      </c>
      <c r="S108" s="24" t="s">
        <v>9</v>
      </c>
      <c r="T108" s="26" t="s">
        <v>3</v>
      </c>
      <c r="U108" s="26" t="s">
        <v>3</v>
      </c>
      <c r="V108" s="26" t="s">
        <v>3</v>
      </c>
      <c r="W108" s="26" t="s">
        <v>3</v>
      </c>
      <c r="X108" s="26" t="s">
        <v>3</v>
      </c>
      <c r="Y108" s="27" t="s">
        <v>7</v>
      </c>
      <c r="Z108" s="24" t="s">
        <v>9</v>
      </c>
      <c r="AA108" s="26" t="s">
        <v>3</v>
      </c>
      <c r="AB108" s="26" t="s">
        <v>3</v>
      </c>
      <c r="AC108" s="26" t="s">
        <v>3</v>
      </c>
      <c r="AD108" s="26" t="s">
        <v>3</v>
      </c>
      <c r="AE108" s="26" t="s">
        <v>3</v>
      </c>
      <c r="AF108" s="8">
        <f t="shared" si="32"/>
        <v>20</v>
      </c>
      <c r="AG108" s="8">
        <f t="shared" si="33"/>
        <v>0</v>
      </c>
      <c r="AH108" s="8">
        <f t="shared" si="34"/>
        <v>0</v>
      </c>
      <c r="AI108" s="62">
        <v>1</v>
      </c>
      <c r="AJ108" s="33">
        <f t="shared" si="35"/>
        <v>20.5</v>
      </c>
      <c r="AK108" s="63">
        <f t="shared" si="36"/>
        <v>160</v>
      </c>
      <c r="AL108" s="63">
        <f t="shared" si="37"/>
        <v>3</v>
      </c>
      <c r="AM108" s="63">
        <f t="shared" si="38"/>
        <v>12</v>
      </c>
      <c r="AN108" s="53">
        <f t="shared" si="39"/>
        <v>19</v>
      </c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</row>
    <row r="109" spans="1:53" ht="22" customHeight="1" x14ac:dyDescent="0.35">
      <c r="A109" s="8" t="s">
        <v>237</v>
      </c>
      <c r="B109" s="8" t="s">
        <v>238</v>
      </c>
      <c r="C109" s="8" t="s">
        <v>216</v>
      </c>
      <c r="D109" s="23" t="s">
        <v>7</v>
      </c>
      <c r="E109" s="24" t="s">
        <v>9</v>
      </c>
      <c r="F109" s="26" t="s">
        <v>3</v>
      </c>
      <c r="G109" s="26" t="s">
        <v>3</v>
      </c>
      <c r="H109" s="26" t="s">
        <v>3</v>
      </c>
      <c r="I109" s="26" t="s">
        <v>3</v>
      </c>
      <c r="J109" s="26" t="s">
        <v>3</v>
      </c>
      <c r="K109" s="23" t="s">
        <v>7</v>
      </c>
      <c r="L109" s="24" t="s">
        <v>9</v>
      </c>
      <c r="M109" s="26" t="s">
        <v>3</v>
      </c>
      <c r="N109" s="26" t="s">
        <v>3</v>
      </c>
      <c r="O109" s="26" t="s">
        <v>3</v>
      </c>
      <c r="P109" s="26" t="s">
        <v>3</v>
      </c>
      <c r="Q109" s="26" t="s">
        <v>3</v>
      </c>
      <c r="R109" s="23" t="s">
        <v>7</v>
      </c>
      <c r="S109" s="24" t="s">
        <v>9</v>
      </c>
      <c r="T109" s="26" t="s">
        <v>3</v>
      </c>
      <c r="U109" s="26" t="s">
        <v>3</v>
      </c>
      <c r="V109" s="26" t="s">
        <v>3</v>
      </c>
      <c r="W109" s="26" t="s">
        <v>3</v>
      </c>
      <c r="X109" s="22" t="s">
        <v>5</v>
      </c>
      <c r="Y109" s="23" t="s">
        <v>7</v>
      </c>
      <c r="Z109" s="24" t="s">
        <v>9</v>
      </c>
      <c r="AA109" s="26" t="s">
        <v>3</v>
      </c>
      <c r="AB109" s="26" t="s">
        <v>3</v>
      </c>
      <c r="AC109" s="22" t="s">
        <v>5</v>
      </c>
      <c r="AD109" s="26" t="s">
        <v>3</v>
      </c>
      <c r="AE109" s="26" t="s">
        <v>3</v>
      </c>
      <c r="AF109" s="8">
        <f t="shared" si="32"/>
        <v>18</v>
      </c>
      <c r="AG109" s="8">
        <f t="shared" si="33"/>
        <v>2</v>
      </c>
      <c r="AH109" s="8">
        <f t="shared" si="34"/>
        <v>0</v>
      </c>
      <c r="AI109" s="62">
        <v>0</v>
      </c>
      <c r="AJ109" s="33">
        <f t="shared" si="35"/>
        <v>18</v>
      </c>
      <c r="AK109" s="63">
        <f t="shared" si="36"/>
        <v>160</v>
      </c>
      <c r="AL109" s="63">
        <f t="shared" si="37"/>
        <v>3</v>
      </c>
      <c r="AM109" s="63">
        <f t="shared" si="38"/>
        <v>12</v>
      </c>
      <c r="AN109" s="53">
        <f t="shared" si="39"/>
        <v>16.5</v>
      </c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</row>
    <row r="110" spans="1:53" ht="22" customHeight="1" x14ac:dyDescent="0.35">
      <c r="A110" s="8" t="s">
        <v>239</v>
      </c>
      <c r="B110" s="8" t="s">
        <v>240</v>
      </c>
      <c r="C110" s="8" t="s">
        <v>216</v>
      </c>
      <c r="D110" s="23" t="s">
        <v>7</v>
      </c>
      <c r="E110" s="24" t="s">
        <v>9</v>
      </c>
      <c r="F110" s="26" t="s">
        <v>3</v>
      </c>
      <c r="G110" s="26" t="s">
        <v>3</v>
      </c>
      <c r="H110" s="26" t="s">
        <v>3</v>
      </c>
      <c r="I110" s="26" t="s">
        <v>3</v>
      </c>
      <c r="J110" s="26" t="s">
        <v>3</v>
      </c>
      <c r="K110" s="23" t="s">
        <v>7</v>
      </c>
      <c r="L110" s="24" t="s">
        <v>9</v>
      </c>
      <c r="M110" s="26" t="s">
        <v>3</v>
      </c>
      <c r="N110" s="26" t="s">
        <v>3</v>
      </c>
      <c r="O110" s="26" t="s">
        <v>3</v>
      </c>
      <c r="P110" s="26" t="s">
        <v>3</v>
      </c>
      <c r="Q110" s="26" t="s">
        <v>3</v>
      </c>
      <c r="R110" s="23" t="s">
        <v>7</v>
      </c>
      <c r="S110" s="24" t="s">
        <v>9</v>
      </c>
      <c r="T110" s="22" t="s">
        <v>5</v>
      </c>
      <c r="U110" s="26" t="s">
        <v>3</v>
      </c>
      <c r="V110" s="26" t="s">
        <v>3</v>
      </c>
      <c r="W110" s="26" t="s">
        <v>3</v>
      </c>
      <c r="X110" s="26" t="s">
        <v>3</v>
      </c>
      <c r="Y110" s="23" t="s">
        <v>7</v>
      </c>
      <c r="Z110" s="24" t="s">
        <v>9</v>
      </c>
      <c r="AA110" s="26" t="s">
        <v>3</v>
      </c>
      <c r="AB110" s="22" t="s">
        <v>5</v>
      </c>
      <c r="AC110" s="26" t="s">
        <v>3</v>
      </c>
      <c r="AD110" s="26" t="s">
        <v>3</v>
      </c>
      <c r="AE110" s="26" t="s">
        <v>3</v>
      </c>
      <c r="AF110" s="8">
        <f t="shared" si="32"/>
        <v>18</v>
      </c>
      <c r="AG110" s="8">
        <f t="shared" si="33"/>
        <v>2</v>
      </c>
      <c r="AH110" s="8">
        <f t="shared" si="34"/>
        <v>0</v>
      </c>
      <c r="AI110" s="62">
        <v>0</v>
      </c>
      <c r="AJ110" s="33">
        <f t="shared" si="35"/>
        <v>18</v>
      </c>
      <c r="AK110" s="63">
        <f t="shared" si="36"/>
        <v>160</v>
      </c>
      <c r="AL110" s="63">
        <f t="shared" si="37"/>
        <v>4</v>
      </c>
      <c r="AM110" s="63">
        <f t="shared" si="38"/>
        <v>16</v>
      </c>
      <c r="AN110" s="53">
        <f t="shared" si="39"/>
        <v>16</v>
      </c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</row>
    <row r="111" spans="1:53" ht="22" customHeight="1" x14ac:dyDescent="0.35">
      <c r="A111" s="8" t="s">
        <v>241</v>
      </c>
      <c r="B111" s="8" t="s">
        <v>242</v>
      </c>
      <c r="C111" s="8" t="s">
        <v>216</v>
      </c>
      <c r="D111" s="23" t="s">
        <v>7</v>
      </c>
      <c r="E111" s="24" t="s">
        <v>9</v>
      </c>
      <c r="F111" s="26" t="s">
        <v>3</v>
      </c>
      <c r="G111" s="26" t="s">
        <v>3</v>
      </c>
      <c r="H111" s="26" t="s">
        <v>3</v>
      </c>
      <c r="I111" s="26" t="s">
        <v>3</v>
      </c>
      <c r="J111" s="26" t="s">
        <v>3</v>
      </c>
      <c r="K111" s="23" t="s">
        <v>7</v>
      </c>
      <c r="L111" s="24" t="s">
        <v>9</v>
      </c>
      <c r="M111" s="26" t="s">
        <v>3</v>
      </c>
      <c r="N111" s="26" t="s">
        <v>3</v>
      </c>
      <c r="O111" s="26" t="s">
        <v>3</v>
      </c>
      <c r="P111" s="26" t="s">
        <v>3</v>
      </c>
      <c r="Q111" s="26" t="s">
        <v>3</v>
      </c>
      <c r="R111" s="23" t="s">
        <v>7</v>
      </c>
      <c r="S111" s="24" t="s">
        <v>9</v>
      </c>
      <c r="T111" s="26" t="s">
        <v>3</v>
      </c>
      <c r="U111" s="26" t="s">
        <v>3</v>
      </c>
      <c r="V111" s="26" t="s">
        <v>3</v>
      </c>
      <c r="W111" s="26" t="s">
        <v>3</v>
      </c>
      <c r="X111" s="26" t="s">
        <v>3</v>
      </c>
      <c r="Y111" s="23" t="s">
        <v>7</v>
      </c>
      <c r="Z111" s="24" t="s">
        <v>9</v>
      </c>
      <c r="AA111" s="26" t="s">
        <v>3</v>
      </c>
      <c r="AB111" s="26" t="s">
        <v>3</v>
      </c>
      <c r="AC111" s="26" t="s">
        <v>3</v>
      </c>
      <c r="AD111" s="22" t="s">
        <v>5</v>
      </c>
      <c r="AE111" s="22" t="s">
        <v>5</v>
      </c>
      <c r="AF111" s="8">
        <f t="shared" si="32"/>
        <v>18</v>
      </c>
      <c r="AG111" s="8">
        <f t="shared" si="33"/>
        <v>2</v>
      </c>
      <c r="AH111" s="8">
        <f t="shared" si="34"/>
        <v>0</v>
      </c>
      <c r="AI111" s="62">
        <v>0</v>
      </c>
      <c r="AJ111" s="33">
        <f t="shared" si="35"/>
        <v>18</v>
      </c>
      <c r="AK111" s="63">
        <f t="shared" si="36"/>
        <v>160</v>
      </c>
      <c r="AL111" s="63">
        <f t="shared" si="37"/>
        <v>3</v>
      </c>
      <c r="AM111" s="63">
        <f t="shared" si="38"/>
        <v>12</v>
      </c>
      <c r="AN111" s="53">
        <f t="shared" si="39"/>
        <v>16.5</v>
      </c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</row>
    <row r="112" spans="1:53" x14ac:dyDescent="0.35"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</row>
    <row r="113" spans="1:53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</row>
    <row r="114" spans="1:53" ht="22" customHeight="1" x14ac:dyDescent="0.35">
      <c r="A114" s="8" t="s">
        <v>244</v>
      </c>
      <c r="B114" s="8" t="s">
        <v>245</v>
      </c>
      <c r="C114" s="8" t="s">
        <v>354</v>
      </c>
      <c r="D114" s="23" t="s">
        <v>7</v>
      </c>
      <c r="E114" s="24" t="s">
        <v>9</v>
      </c>
      <c r="F114" s="22" t="s">
        <v>5</v>
      </c>
      <c r="G114" s="22" t="s">
        <v>5</v>
      </c>
      <c r="H114" s="22" t="s">
        <v>5</v>
      </c>
      <c r="I114" s="22" t="s">
        <v>5</v>
      </c>
      <c r="J114" s="22" t="s">
        <v>5</v>
      </c>
      <c r="K114" s="23" t="s">
        <v>7</v>
      </c>
      <c r="L114" s="24" t="s">
        <v>9</v>
      </c>
      <c r="M114" s="22" t="s">
        <v>5</v>
      </c>
      <c r="N114" s="22" t="s">
        <v>5</v>
      </c>
      <c r="O114" s="26" t="s">
        <v>3</v>
      </c>
      <c r="P114" s="26" t="s">
        <v>3</v>
      </c>
      <c r="Q114" s="26" t="s">
        <v>3</v>
      </c>
      <c r="R114" s="27" t="s">
        <v>7</v>
      </c>
      <c r="S114" s="28" t="s">
        <v>11</v>
      </c>
      <c r="T114" s="26" t="s">
        <v>3</v>
      </c>
      <c r="U114" s="26" t="s">
        <v>3</v>
      </c>
      <c r="V114" s="26" t="s">
        <v>3</v>
      </c>
      <c r="W114" s="26" t="s">
        <v>3</v>
      </c>
      <c r="X114" s="26" t="s">
        <v>3</v>
      </c>
      <c r="Y114" s="27" t="s">
        <v>7</v>
      </c>
      <c r="Z114" s="28" t="s">
        <v>11</v>
      </c>
      <c r="AA114" s="26" t="s">
        <v>3</v>
      </c>
      <c r="AB114" s="26" t="s">
        <v>3</v>
      </c>
      <c r="AC114" s="26" t="s">
        <v>3</v>
      </c>
      <c r="AD114" s="26" t="s">
        <v>3</v>
      </c>
      <c r="AE114" s="26" t="s">
        <v>3</v>
      </c>
      <c r="AF114" s="8">
        <f>COUNTIF(D114:AE114,"ON")</f>
        <v>13</v>
      </c>
      <c r="AG114" s="8">
        <f>COUNTIF(D114:AE114,"OFF")</f>
        <v>7</v>
      </c>
      <c r="AH114" s="29">
        <f>COUNTIF(D114:AE114,"OT")</f>
        <v>2</v>
      </c>
      <c r="AI114" s="62">
        <v>2</v>
      </c>
      <c r="AJ114" s="33">
        <f>AF114+AH114+AI114*0.5</f>
        <v>16</v>
      </c>
      <c r="AK114" s="63">
        <f>NETWORKDAYS(DATE(2025,2,1),EOMONTH(DATE(2025,2,1),0))*8</f>
        <v>160</v>
      </c>
      <c r="AL114" s="63">
        <f>MAX(0,COUNTIF(J114,"ON")+COUNTIF(Q114,"ON")+COUNTIF(X114,"ON")+COUNTIF(AE114,"ON")-AI114)</f>
        <v>1</v>
      </c>
      <c r="AM114" s="63">
        <f>AL114*$AM$2</f>
        <v>4</v>
      </c>
      <c r="AN114" s="53">
        <f>AJ114-AM114/8</f>
        <v>15.5</v>
      </c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</row>
    <row r="115" spans="1:53" ht="22" customHeight="1" x14ac:dyDescent="0.35">
      <c r="A115" s="8" t="s">
        <v>247</v>
      </c>
      <c r="B115" s="8" t="s">
        <v>248</v>
      </c>
      <c r="C115" s="8" t="s">
        <v>354</v>
      </c>
      <c r="D115" s="27" t="s">
        <v>7</v>
      </c>
      <c r="E115" s="28" t="s">
        <v>11</v>
      </c>
      <c r="F115" s="26" t="s">
        <v>3</v>
      </c>
      <c r="G115" s="26" t="s">
        <v>3</v>
      </c>
      <c r="H115" s="26" t="s">
        <v>3</v>
      </c>
      <c r="I115" s="26" t="s">
        <v>3</v>
      </c>
      <c r="J115" s="26" t="s">
        <v>3</v>
      </c>
      <c r="K115" s="27" t="s">
        <v>7</v>
      </c>
      <c r="L115" s="28" t="s">
        <v>11</v>
      </c>
      <c r="M115" s="26" t="s">
        <v>3</v>
      </c>
      <c r="N115" s="26" t="s">
        <v>3</v>
      </c>
      <c r="O115" s="26" t="s">
        <v>3</v>
      </c>
      <c r="P115" s="26" t="s">
        <v>3</v>
      </c>
      <c r="Q115" s="26" t="s">
        <v>3</v>
      </c>
      <c r="R115" s="27" t="s">
        <v>7</v>
      </c>
      <c r="S115" s="28" t="s">
        <v>11</v>
      </c>
      <c r="T115" s="26" t="s">
        <v>3</v>
      </c>
      <c r="U115" s="26" t="s">
        <v>3</v>
      </c>
      <c r="V115" s="26" t="s">
        <v>3</v>
      </c>
      <c r="W115" s="26" t="s">
        <v>3</v>
      </c>
      <c r="X115" s="26" t="s">
        <v>3</v>
      </c>
      <c r="Y115" s="27" t="s">
        <v>7</v>
      </c>
      <c r="Z115" s="28" t="s">
        <v>11</v>
      </c>
      <c r="AA115" s="26" t="s">
        <v>3</v>
      </c>
      <c r="AB115" s="26" t="s">
        <v>3</v>
      </c>
      <c r="AC115" s="26" t="s">
        <v>3</v>
      </c>
      <c r="AD115" s="26" t="s">
        <v>3</v>
      </c>
      <c r="AE115" s="26" t="s">
        <v>3</v>
      </c>
      <c r="AF115" s="8">
        <f>COUNTIF(D115:AE115,"ON")</f>
        <v>20</v>
      </c>
      <c r="AG115" s="8">
        <f>COUNTIF(D115:AE115,"OFF")</f>
        <v>0</v>
      </c>
      <c r="AH115" s="29">
        <f>COUNTIF(D115:AE115,"OT")</f>
        <v>4</v>
      </c>
      <c r="AI115" s="62">
        <v>4</v>
      </c>
      <c r="AJ115" s="33">
        <f>AF115+AH115+AI115*0.5</f>
        <v>26</v>
      </c>
      <c r="AK115" s="63">
        <f>NETWORKDAYS(DATE(2025,2,1),EOMONTH(DATE(2025,2,1),0))*8</f>
        <v>160</v>
      </c>
      <c r="AL115" s="63">
        <f>MAX(0,COUNTIF(J115,"ON")+COUNTIF(Q115,"ON")+COUNTIF(X115,"ON")+COUNTIF(AE115,"ON")-AI115)</f>
        <v>0</v>
      </c>
      <c r="AM115" s="63">
        <f>AL115*$AM$2</f>
        <v>0</v>
      </c>
      <c r="AN115" s="53">
        <f>AJ115-AM115/8</f>
        <v>26</v>
      </c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</row>
    <row r="116" spans="1:53" ht="22" customHeight="1" x14ac:dyDescent="0.35">
      <c r="A116" s="8" t="s">
        <v>249</v>
      </c>
      <c r="B116" s="8" t="s">
        <v>250</v>
      </c>
      <c r="C116" s="8" t="s">
        <v>354</v>
      </c>
      <c r="D116" s="27" t="s">
        <v>7</v>
      </c>
      <c r="E116" s="28" t="s">
        <v>11</v>
      </c>
      <c r="F116" s="26" t="s">
        <v>3</v>
      </c>
      <c r="G116" s="26" t="s">
        <v>3</v>
      </c>
      <c r="H116" s="26" t="s">
        <v>3</v>
      </c>
      <c r="I116" s="26" t="s">
        <v>3</v>
      </c>
      <c r="J116" s="26" t="s">
        <v>3</v>
      </c>
      <c r="K116" s="27" t="s">
        <v>7</v>
      </c>
      <c r="L116" s="28" t="s">
        <v>11</v>
      </c>
      <c r="M116" s="26" t="s">
        <v>3</v>
      </c>
      <c r="N116" s="26" t="s">
        <v>3</v>
      </c>
      <c r="O116" s="26" t="s">
        <v>3</v>
      </c>
      <c r="P116" s="26" t="s">
        <v>3</v>
      </c>
      <c r="Q116" s="26" t="s">
        <v>3</v>
      </c>
      <c r="R116" s="27" t="s">
        <v>7</v>
      </c>
      <c r="S116" s="28" t="s">
        <v>11</v>
      </c>
      <c r="T116" s="26" t="s">
        <v>3</v>
      </c>
      <c r="U116" s="26" t="s">
        <v>3</v>
      </c>
      <c r="V116" s="26" t="s">
        <v>3</v>
      </c>
      <c r="W116" s="26" t="s">
        <v>3</v>
      </c>
      <c r="X116" s="26" t="s">
        <v>3</v>
      </c>
      <c r="Y116" s="27" t="s">
        <v>7</v>
      </c>
      <c r="Z116" s="28" t="s">
        <v>11</v>
      </c>
      <c r="AA116" s="22" t="s">
        <v>5</v>
      </c>
      <c r="AB116" s="26" t="s">
        <v>3</v>
      </c>
      <c r="AC116" s="26" t="s">
        <v>3</v>
      </c>
      <c r="AD116" s="26" t="s">
        <v>3</v>
      </c>
      <c r="AE116" s="26" t="s">
        <v>3</v>
      </c>
      <c r="AF116" s="8">
        <f>COUNTIF(D116:AE116,"ON")</f>
        <v>19</v>
      </c>
      <c r="AG116" s="8">
        <f>COUNTIF(D116:AE116,"OFF")</f>
        <v>1</v>
      </c>
      <c r="AH116" s="29">
        <f>COUNTIF(D116:AE116,"OT")</f>
        <v>4</v>
      </c>
      <c r="AI116" s="62">
        <v>4</v>
      </c>
      <c r="AJ116" s="33">
        <f>AF116+AH116+AI116*0.5</f>
        <v>25</v>
      </c>
      <c r="AK116" s="63">
        <f>NETWORKDAYS(DATE(2025,2,1),EOMONTH(DATE(2025,2,1),0))*8</f>
        <v>160</v>
      </c>
      <c r="AL116" s="63">
        <f>MAX(0,COUNTIF(J116,"ON")+COUNTIF(Q116,"ON")+COUNTIF(X116,"ON")+COUNTIF(AE116,"ON")-AI116)</f>
        <v>0</v>
      </c>
      <c r="AM116" s="63">
        <f>AL116*$AM$2</f>
        <v>0</v>
      </c>
      <c r="AN116" s="53">
        <f>AJ116-AM116/8</f>
        <v>25</v>
      </c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</row>
    <row r="117" spans="1:53" x14ac:dyDescent="0.35"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</row>
    <row r="118" spans="1:53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</row>
    <row r="119" spans="1:53" ht="22" customHeight="1" x14ac:dyDescent="0.35">
      <c r="A119" s="8" t="s">
        <v>252</v>
      </c>
      <c r="B119" s="8" t="s">
        <v>253</v>
      </c>
      <c r="C119" s="8" t="s">
        <v>254</v>
      </c>
      <c r="D119" s="23" t="s">
        <v>7</v>
      </c>
      <c r="E119" s="24" t="s">
        <v>9</v>
      </c>
      <c r="F119" s="22" t="s">
        <v>5</v>
      </c>
      <c r="G119" s="22" t="s">
        <v>5</v>
      </c>
      <c r="H119" s="22" t="s">
        <v>5</v>
      </c>
      <c r="I119" s="22" t="s">
        <v>5</v>
      </c>
      <c r="J119" s="22" t="s">
        <v>5</v>
      </c>
      <c r="K119" s="23" t="s">
        <v>7</v>
      </c>
      <c r="L119" s="24" t="s">
        <v>9</v>
      </c>
      <c r="M119" s="22" t="s">
        <v>5</v>
      </c>
      <c r="N119" s="22" t="s">
        <v>5</v>
      </c>
      <c r="O119" s="22" t="s">
        <v>5</v>
      </c>
      <c r="P119" s="22" t="s">
        <v>5</v>
      </c>
      <c r="Q119" s="22" t="s">
        <v>5</v>
      </c>
      <c r="R119" s="23" t="s">
        <v>7</v>
      </c>
      <c r="S119" s="24" t="s">
        <v>9</v>
      </c>
      <c r="T119" s="22" t="s">
        <v>5</v>
      </c>
      <c r="U119" s="22" t="s">
        <v>5</v>
      </c>
      <c r="V119" s="22" t="s">
        <v>5</v>
      </c>
      <c r="W119" s="22" t="s">
        <v>5</v>
      </c>
      <c r="X119" s="22" t="s">
        <v>5</v>
      </c>
      <c r="Y119" s="23" t="s">
        <v>7</v>
      </c>
      <c r="Z119" s="24" t="s">
        <v>9</v>
      </c>
      <c r="AA119" s="22" t="s">
        <v>5</v>
      </c>
      <c r="AB119" s="22" t="s">
        <v>5</v>
      </c>
      <c r="AC119" s="22" t="s">
        <v>5</v>
      </c>
      <c r="AD119" s="22" t="s">
        <v>5</v>
      </c>
      <c r="AE119" s="22" t="s">
        <v>5</v>
      </c>
      <c r="AF119" s="8">
        <f t="shared" ref="AF119:AF129" si="40">COUNTIF(D119:AE119,"ON")</f>
        <v>0</v>
      </c>
      <c r="AG119" s="25">
        <f t="shared" ref="AG119:AG129" si="41">COUNTIF(D119:AE119,"OFF")</f>
        <v>20</v>
      </c>
      <c r="AH119" s="8">
        <f t="shared" ref="AH119:AH129" si="42">COUNTIF(D119:AE119,"OT")</f>
        <v>0</v>
      </c>
      <c r="AI119" s="62">
        <v>0</v>
      </c>
      <c r="AJ119" s="33">
        <f t="shared" ref="AJ119:AJ129" si="43">AF119+AH119+AI119*0.5</f>
        <v>0</v>
      </c>
      <c r="AK119" s="63">
        <f t="shared" ref="AK119:AK129" si="44">NETWORKDAYS(DATE(2025,2,1),EOMONTH(DATE(2025,2,1),0))*8</f>
        <v>160</v>
      </c>
      <c r="AL119" s="63">
        <f t="shared" ref="AL119:AL129" si="45">MAX(0,COUNTIF(J119,"ON")+COUNTIF(Q119,"ON")+COUNTIF(X119,"ON")+COUNTIF(AE119,"ON")-AI119)</f>
        <v>0</v>
      </c>
      <c r="AM119" s="63">
        <f t="shared" ref="AM119:AM129" si="46">AL119*$AM$2</f>
        <v>0</v>
      </c>
      <c r="AN119" s="53">
        <f t="shared" ref="AN119:AN129" si="47">AJ119-AM119/8</f>
        <v>0</v>
      </c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</row>
    <row r="120" spans="1:53" ht="22" customHeight="1" x14ac:dyDescent="0.35">
      <c r="A120" s="8" t="s">
        <v>255</v>
      </c>
      <c r="B120" s="8" t="s">
        <v>256</v>
      </c>
      <c r="C120" s="8" t="s">
        <v>254</v>
      </c>
      <c r="D120" s="23" t="s">
        <v>7</v>
      </c>
      <c r="E120" s="24" t="s">
        <v>9</v>
      </c>
      <c r="F120" s="22" t="s">
        <v>5</v>
      </c>
      <c r="G120" s="22" t="s">
        <v>5</v>
      </c>
      <c r="H120" s="22" t="s">
        <v>5</v>
      </c>
      <c r="I120" s="22" t="s">
        <v>5</v>
      </c>
      <c r="J120" s="22" t="s">
        <v>5</v>
      </c>
      <c r="K120" s="23" t="s">
        <v>7</v>
      </c>
      <c r="L120" s="24" t="s">
        <v>9</v>
      </c>
      <c r="M120" s="22" t="s">
        <v>5</v>
      </c>
      <c r="N120" s="22" t="s">
        <v>5</v>
      </c>
      <c r="O120" s="22" t="s">
        <v>5</v>
      </c>
      <c r="P120" s="22" t="s">
        <v>5</v>
      </c>
      <c r="Q120" s="22" t="s">
        <v>5</v>
      </c>
      <c r="R120" s="23" t="s">
        <v>7</v>
      </c>
      <c r="S120" s="24" t="s">
        <v>9</v>
      </c>
      <c r="T120" s="22" t="s">
        <v>5</v>
      </c>
      <c r="U120" s="22" t="s">
        <v>5</v>
      </c>
      <c r="V120" s="22" t="s">
        <v>5</v>
      </c>
      <c r="W120" s="22" t="s">
        <v>5</v>
      </c>
      <c r="X120" s="22" t="s">
        <v>5</v>
      </c>
      <c r="Y120" s="23" t="s">
        <v>7</v>
      </c>
      <c r="Z120" s="24" t="s">
        <v>9</v>
      </c>
      <c r="AA120" s="22" t="s">
        <v>5</v>
      </c>
      <c r="AB120" s="22" t="s">
        <v>5</v>
      </c>
      <c r="AC120" s="22" t="s">
        <v>5</v>
      </c>
      <c r="AD120" s="22" t="s">
        <v>5</v>
      </c>
      <c r="AE120" s="22" t="s">
        <v>5</v>
      </c>
      <c r="AF120" s="8">
        <f t="shared" si="40"/>
        <v>0</v>
      </c>
      <c r="AG120" s="25">
        <f t="shared" si="41"/>
        <v>20</v>
      </c>
      <c r="AH120" s="8">
        <f t="shared" si="42"/>
        <v>0</v>
      </c>
      <c r="AI120" s="62">
        <v>0</v>
      </c>
      <c r="AJ120" s="33">
        <f t="shared" si="43"/>
        <v>0</v>
      </c>
      <c r="AK120" s="63">
        <f t="shared" si="44"/>
        <v>160</v>
      </c>
      <c r="AL120" s="63">
        <f t="shared" si="45"/>
        <v>0</v>
      </c>
      <c r="AM120" s="63">
        <f t="shared" si="46"/>
        <v>0</v>
      </c>
      <c r="AN120" s="53">
        <f t="shared" si="47"/>
        <v>0</v>
      </c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</row>
    <row r="121" spans="1:53" ht="22" customHeight="1" x14ac:dyDescent="0.35">
      <c r="A121" s="8" t="s">
        <v>257</v>
      </c>
      <c r="B121" s="8" t="s">
        <v>258</v>
      </c>
      <c r="C121" s="8" t="s">
        <v>254</v>
      </c>
      <c r="D121" s="23" t="s">
        <v>7</v>
      </c>
      <c r="E121" s="24" t="s">
        <v>9</v>
      </c>
      <c r="F121" s="22" t="s">
        <v>5</v>
      </c>
      <c r="G121" s="22" t="s">
        <v>5</v>
      </c>
      <c r="H121" s="22" t="s">
        <v>5</v>
      </c>
      <c r="I121" s="22" t="s">
        <v>5</v>
      </c>
      <c r="J121" s="22" t="s">
        <v>5</v>
      </c>
      <c r="K121" s="23" t="s">
        <v>7</v>
      </c>
      <c r="L121" s="24" t="s">
        <v>9</v>
      </c>
      <c r="M121" s="22" t="s">
        <v>5</v>
      </c>
      <c r="N121" s="22" t="s">
        <v>5</v>
      </c>
      <c r="O121" s="22" t="s">
        <v>5</v>
      </c>
      <c r="P121" s="22" t="s">
        <v>5</v>
      </c>
      <c r="Q121" s="22" t="s">
        <v>5</v>
      </c>
      <c r="R121" s="23" t="s">
        <v>7</v>
      </c>
      <c r="S121" s="24" t="s">
        <v>9</v>
      </c>
      <c r="T121" s="22" t="s">
        <v>5</v>
      </c>
      <c r="U121" s="22" t="s">
        <v>5</v>
      </c>
      <c r="V121" s="22" t="s">
        <v>5</v>
      </c>
      <c r="W121" s="22" t="s">
        <v>5</v>
      </c>
      <c r="X121" s="22" t="s">
        <v>5</v>
      </c>
      <c r="Y121" s="23" t="s">
        <v>7</v>
      </c>
      <c r="Z121" s="24" t="s">
        <v>9</v>
      </c>
      <c r="AA121" s="22" t="s">
        <v>5</v>
      </c>
      <c r="AB121" s="22" t="s">
        <v>5</v>
      </c>
      <c r="AC121" s="22" t="s">
        <v>5</v>
      </c>
      <c r="AD121" s="22" t="s">
        <v>5</v>
      </c>
      <c r="AE121" s="22" t="s">
        <v>5</v>
      </c>
      <c r="AF121" s="8">
        <f t="shared" si="40"/>
        <v>0</v>
      </c>
      <c r="AG121" s="25">
        <f t="shared" si="41"/>
        <v>20</v>
      </c>
      <c r="AH121" s="8">
        <f t="shared" si="42"/>
        <v>0</v>
      </c>
      <c r="AI121" s="62">
        <v>0</v>
      </c>
      <c r="AJ121" s="33">
        <f t="shared" si="43"/>
        <v>0</v>
      </c>
      <c r="AK121" s="63">
        <f t="shared" si="44"/>
        <v>160</v>
      </c>
      <c r="AL121" s="63">
        <f t="shared" si="45"/>
        <v>0</v>
      </c>
      <c r="AM121" s="63">
        <f t="shared" si="46"/>
        <v>0</v>
      </c>
      <c r="AN121" s="53">
        <f t="shared" si="47"/>
        <v>0</v>
      </c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</row>
    <row r="122" spans="1:53" ht="22" customHeight="1" x14ac:dyDescent="0.35">
      <c r="A122" s="8" t="s">
        <v>259</v>
      </c>
      <c r="B122" s="8" t="s">
        <v>260</v>
      </c>
      <c r="C122" s="8" t="s">
        <v>254</v>
      </c>
      <c r="D122" s="23" t="s">
        <v>7</v>
      </c>
      <c r="E122" s="24" t="s">
        <v>9</v>
      </c>
      <c r="F122" s="22" t="s">
        <v>5</v>
      </c>
      <c r="G122" s="22" t="s">
        <v>5</v>
      </c>
      <c r="H122" s="22" t="s">
        <v>5</v>
      </c>
      <c r="I122" s="22" t="s">
        <v>5</v>
      </c>
      <c r="J122" s="22" t="s">
        <v>5</v>
      </c>
      <c r="K122" s="23" t="s">
        <v>7</v>
      </c>
      <c r="L122" s="24" t="s">
        <v>9</v>
      </c>
      <c r="M122" s="22" t="s">
        <v>5</v>
      </c>
      <c r="N122" s="22" t="s">
        <v>5</v>
      </c>
      <c r="O122" s="22" t="s">
        <v>5</v>
      </c>
      <c r="P122" s="22" t="s">
        <v>5</v>
      </c>
      <c r="Q122" s="22" t="s">
        <v>5</v>
      </c>
      <c r="R122" s="23" t="s">
        <v>7</v>
      </c>
      <c r="S122" s="24" t="s">
        <v>9</v>
      </c>
      <c r="T122" s="22" t="s">
        <v>5</v>
      </c>
      <c r="U122" s="22" t="s">
        <v>5</v>
      </c>
      <c r="V122" s="22" t="s">
        <v>5</v>
      </c>
      <c r="W122" s="22" t="s">
        <v>5</v>
      </c>
      <c r="X122" s="22" t="s">
        <v>5</v>
      </c>
      <c r="Y122" s="23" t="s">
        <v>7</v>
      </c>
      <c r="Z122" s="24" t="s">
        <v>9</v>
      </c>
      <c r="AA122" s="22" t="s">
        <v>5</v>
      </c>
      <c r="AB122" s="22" t="s">
        <v>5</v>
      </c>
      <c r="AC122" s="22" t="s">
        <v>5</v>
      </c>
      <c r="AD122" s="22" t="s">
        <v>5</v>
      </c>
      <c r="AE122" s="22" t="s">
        <v>5</v>
      </c>
      <c r="AF122" s="8">
        <f t="shared" si="40"/>
        <v>0</v>
      </c>
      <c r="AG122" s="25">
        <f t="shared" si="41"/>
        <v>20</v>
      </c>
      <c r="AH122" s="8">
        <f t="shared" si="42"/>
        <v>0</v>
      </c>
      <c r="AI122" s="62">
        <v>0</v>
      </c>
      <c r="AJ122" s="33">
        <f t="shared" si="43"/>
        <v>0</v>
      </c>
      <c r="AK122" s="63">
        <f t="shared" si="44"/>
        <v>160</v>
      </c>
      <c r="AL122" s="63">
        <f t="shared" si="45"/>
        <v>0</v>
      </c>
      <c r="AM122" s="63">
        <f t="shared" si="46"/>
        <v>0</v>
      </c>
      <c r="AN122" s="53">
        <f t="shared" si="47"/>
        <v>0</v>
      </c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</row>
    <row r="123" spans="1:53" ht="22" customHeight="1" x14ac:dyDescent="0.35">
      <c r="A123" s="8" t="s">
        <v>261</v>
      </c>
      <c r="B123" s="8" t="s">
        <v>262</v>
      </c>
      <c r="C123" s="8" t="s">
        <v>254</v>
      </c>
      <c r="D123" s="23" t="s">
        <v>7</v>
      </c>
      <c r="E123" s="24" t="s">
        <v>9</v>
      </c>
      <c r="F123" s="22" t="s">
        <v>5</v>
      </c>
      <c r="G123" s="22" t="s">
        <v>5</v>
      </c>
      <c r="H123" s="22" t="s">
        <v>5</v>
      </c>
      <c r="I123" s="22" t="s">
        <v>5</v>
      </c>
      <c r="J123" s="22" t="s">
        <v>5</v>
      </c>
      <c r="K123" s="23" t="s">
        <v>7</v>
      </c>
      <c r="L123" s="24" t="s">
        <v>9</v>
      </c>
      <c r="M123" s="22" t="s">
        <v>5</v>
      </c>
      <c r="N123" s="22" t="s">
        <v>5</v>
      </c>
      <c r="O123" s="22" t="s">
        <v>5</v>
      </c>
      <c r="P123" s="22" t="s">
        <v>5</v>
      </c>
      <c r="Q123" s="22" t="s">
        <v>5</v>
      </c>
      <c r="R123" s="23" t="s">
        <v>7</v>
      </c>
      <c r="S123" s="24" t="s">
        <v>9</v>
      </c>
      <c r="T123" s="22" t="s">
        <v>5</v>
      </c>
      <c r="U123" s="22" t="s">
        <v>5</v>
      </c>
      <c r="V123" s="22" t="s">
        <v>5</v>
      </c>
      <c r="W123" s="22" t="s">
        <v>5</v>
      </c>
      <c r="X123" s="22" t="s">
        <v>5</v>
      </c>
      <c r="Y123" s="23" t="s">
        <v>7</v>
      </c>
      <c r="Z123" s="24" t="s">
        <v>9</v>
      </c>
      <c r="AA123" s="22" t="s">
        <v>5</v>
      </c>
      <c r="AB123" s="22" t="s">
        <v>5</v>
      </c>
      <c r="AC123" s="22" t="s">
        <v>5</v>
      </c>
      <c r="AD123" s="22" t="s">
        <v>5</v>
      </c>
      <c r="AE123" s="22" t="s">
        <v>5</v>
      </c>
      <c r="AF123" s="8">
        <f t="shared" si="40"/>
        <v>0</v>
      </c>
      <c r="AG123" s="25">
        <f t="shared" si="41"/>
        <v>20</v>
      </c>
      <c r="AH123" s="8">
        <f t="shared" si="42"/>
        <v>0</v>
      </c>
      <c r="AI123" s="62">
        <v>0</v>
      </c>
      <c r="AJ123" s="33">
        <f t="shared" si="43"/>
        <v>0</v>
      </c>
      <c r="AK123" s="63">
        <f t="shared" si="44"/>
        <v>160</v>
      </c>
      <c r="AL123" s="63">
        <f t="shared" si="45"/>
        <v>0</v>
      </c>
      <c r="AM123" s="63">
        <f t="shared" si="46"/>
        <v>0</v>
      </c>
      <c r="AN123" s="53">
        <f t="shared" si="47"/>
        <v>0</v>
      </c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</row>
    <row r="124" spans="1:53" ht="22" customHeight="1" x14ac:dyDescent="0.35">
      <c r="A124" s="8" t="s">
        <v>263</v>
      </c>
      <c r="B124" s="8" t="s">
        <v>264</v>
      </c>
      <c r="C124" s="8" t="s">
        <v>254</v>
      </c>
      <c r="D124" s="23" t="s">
        <v>7</v>
      </c>
      <c r="E124" s="24" t="s">
        <v>9</v>
      </c>
      <c r="F124" s="22" t="s">
        <v>5</v>
      </c>
      <c r="G124" s="22" t="s">
        <v>5</v>
      </c>
      <c r="H124" s="22" t="s">
        <v>5</v>
      </c>
      <c r="I124" s="22" t="s">
        <v>5</v>
      </c>
      <c r="J124" s="22" t="s">
        <v>5</v>
      </c>
      <c r="K124" s="23" t="s">
        <v>7</v>
      </c>
      <c r="L124" s="24" t="s">
        <v>9</v>
      </c>
      <c r="M124" s="22" t="s">
        <v>5</v>
      </c>
      <c r="N124" s="22" t="s">
        <v>5</v>
      </c>
      <c r="O124" s="22" t="s">
        <v>5</v>
      </c>
      <c r="P124" s="22" t="s">
        <v>5</v>
      </c>
      <c r="Q124" s="22" t="s">
        <v>5</v>
      </c>
      <c r="R124" s="23" t="s">
        <v>7</v>
      </c>
      <c r="S124" s="24" t="s">
        <v>9</v>
      </c>
      <c r="T124" s="22" t="s">
        <v>5</v>
      </c>
      <c r="U124" s="22" t="s">
        <v>5</v>
      </c>
      <c r="V124" s="22" t="s">
        <v>5</v>
      </c>
      <c r="W124" s="22" t="s">
        <v>5</v>
      </c>
      <c r="X124" s="22" t="s">
        <v>5</v>
      </c>
      <c r="Y124" s="23" t="s">
        <v>7</v>
      </c>
      <c r="Z124" s="24" t="s">
        <v>9</v>
      </c>
      <c r="AA124" s="22" t="s">
        <v>5</v>
      </c>
      <c r="AB124" s="22" t="s">
        <v>5</v>
      </c>
      <c r="AC124" s="22" t="s">
        <v>5</v>
      </c>
      <c r="AD124" s="22" t="s">
        <v>5</v>
      </c>
      <c r="AE124" s="22" t="s">
        <v>5</v>
      </c>
      <c r="AF124" s="8">
        <f t="shared" si="40"/>
        <v>0</v>
      </c>
      <c r="AG124" s="25">
        <f t="shared" si="41"/>
        <v>20</v>
      </c>
      <c r="AH124" s="8">
        <f t="shared" si="42"/>
        <v>0</v>
      </c>
      <c r="AI124" s="62">
        <v>0</v>
      </c>
      <c r="AJ124" s="33">
        <f t="shared" si="43"/>
        <v>0</v>
      </c>
      <c r="AK124" s="63">
        <f t="shared" si="44"/>
        <v>160</v>
      </c>
      <c r="AL124" s="63">
        <f t="shared" si="45"/>
        <v>0</v>
      </c>
      <c r="AM124" s="63">
        <f t="shared" si="46"/>
        <v>0</v>
      </c>
      <c r="AN124" s="53">
        <f t="shared" si="47"/>
        <v>0</v>
      </c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</row>
    <row r="125" spans="1:53" ht="22" customHeight="1" x14ac:dyDescent="0.35">
      <c r="A125" s="8" t="s">
        <v>265</v>
      </c>
      <c r="B125" s="8" t="s">
        <v>266</v>
      </c>
      <c r="C125" s="8" t="s">
        <v>254</v>
      </c>
      <c r="D125" s="23" t="s">
        <v>7</v>
      </c>
      <c r="E125" s="24" t="s">
        <v>9</v>
      </c>
      <c r="F125" s="22" t="s">
        <v>5</v>
      </c>
      <c r="G125" s="22" t="s">
        <v>5</v>
      </c>
      <c r="H125" s="22" t="s">
        <v>5</v>
      </c>
      <c r="I125" s="22" t="s">
        <v>5</v>
      </c>
      <c r="J125" s="22" t="s">
        <v>5</v>
      </c>
      <c r="K125" s="23" t="s">
        <v>7</v>
      </c>
      <c r="L125" s="24" t="s">
        <v>9</v>
      </c>
      <c r="M125" s="22" t="s">
        <v>5</v>
      </c>
      <c r="N125" s="22" t="s">
        <v>5</v>
      </c>
      <c r="O125" s="22" t="s">
        <v>5</v>
      </c>
      <c r="P125" s="22" t="s">
        <v>5</v>
      </c>
      <c r="Q125" s="22" t="s">
        <v>5</v>
      </c>
      <c r="R125" s="23" t="s">
        <v>7</v>
      </c>
      <c r="S125" s="24" t="s">
        <v>9</v>
      </c>
      <c r="T125" s="22" t="s">
        <v>5</v>
      </c>
      <c r="U125" s="22" t="s">
        <v>5</v>
      </c>
      <c r="V125" s="22" t="s">
        <v>5</v>
      </c>
      <c r="W125" s="22" t="s">
        <v>5</v>
      </c>
      <c r="X125" s="22" t="s">
        <v>5</v>
      </c>
      <c r="Y125" s="23" t="s">
        <v>7</v>
      </c>
      <c r="Z125" s="24" t="s">
        <v>9</v>
      </c>
      <c r="AA125" s="22" t="s">
        <v>5</v>
      </c>
      <c r="AB125" s="22" t="s">
        <v>5</v>
      </c>
      <c r="AC125" s="22" t="s">
        <v>5</v>
      </c>
      <c r="AD125" s="22" t="s">
        <v>5</v>
      </c>
      <c r="AE125" s="22" t="s">
        <v>5</v>
      </c>
      <c r="AF125" s="8">
        <f t="shared" si="40"/>
        <v>0</v>
      </c>
      <c r="AG125" s="25">
        <f t="shared" si="41"/>
        <v>20</v>
      </c>
      <c r="AH125" s="8">
        <f t="shared" si="42"/>
        <v>0</v>
      </c>
      <c r="AI125" s="62">
        <v>0</v>
      </c>
      <c r="AJ125" s="33">
        <f t="shared" si="43"/>
        <v>0</v>
      </c>
      <c r="AK125" s="63">
        <f t="shared" si="44"/>
        <v>160</v>
      </c>
      <c r="AL125" s="63">
        <f t="shared" si="45"/>
        <v>0</v>
      </c>
      <c r="AM125" s="63">
        <f t="shared" si="46"/>
        <v>0</v>
      </c>
      <c r="AN125" s="53">
        <f t="shared" si="47"/>
        <v>0</v>
      </c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</row>
    <row r="126" spans="1:53" ht="22" customHeight="1" x14ac:dyDescent="0.35">
      <c r="A126" s="8" t="s">
        <v>267</v>
      </c>
      <c r="B126" s="8" t="s">
        <v>268</v>
      </c>
      <c r="C126" s="8" t="s">
        <v>254</v>
      </c>
      <c r="D126" s="23" t="s">
        <v>7</v>
      </c>
      <c r="E126" s="24" t="s">
        <v>9</v>
      </c>
      <c r="F126" s="22" t="s">
        <v>5</v>
      </c>
      <c r="G126" s="22" t="s">
        <v>5</v>
      </c>
      <c r="H126" s="22" t="s">
        <v>5</v>
      </c>
      <c r="I126" s="22" t="s">
        <v>5</v>
      </c>
      <c r="J126" s="22" t="s">
        <v>5</v>
      </c>
      <c r="K126" s="23" t="s">
        <v>7</v>
      </c>
      <c r="L126" s="24" t="s">
        <v>9</v>
      </c>
      <c r="M126" s="22" t="s">
        <v>5</v>
      </c>
      <c r="N126" s="22" t="s">
        <v>5</v>
      </c>
      <c r="O126" s="22" t="s">
        <v>5</v>
      </c>
      <c r="P126" s="22" t="s">
        <v>5</v>
      </c>
      <c r="Q126" s="22" t="s">
        <v>5</v>
      </c>
      <c r="R126" s="23" t="s">
        <v>7</v>
      </c>
      <c r="S126" s="24" t="s">
        <v>9</v>
      </c>
      <c r="T126" s="22" t="s">
        <v>5</v>
      </c>
      <c r="U126" s="22" t="s">
        <v>5</v>
      </c>
      <c r="V126" s="22" t="s">
        <v>5</v>
      </c>
      <c r="W126" s="22" t="s">
        <v>5</v>
      </c>
      <c r="X126" s="22" t="s">
        <v>5</v>
      </c>
      <c r="Y126" s="23" t="s">
        <v>7</v>
      </c>
      <c r="Z126" s="24" t="s">
        <v>9</v>
      </c>
      <c r="AA126" s="22" t="s">
        <v>5</v>
      </c>
      <c r="AB126" s="22" t="s">
        <v>5</v>
      </c>
      <c r="AC126" s="22" t="s">
        <v>5</v>
      </c>
      <c r="AD126" s="22" t="s">
        <v>5</v>
      </c>
      <c r="AE126" s="22" t="s">
        <v>5</v>
      </c>
      <c r="AF126" s="8">
        <f t="shared" si="40"/>
        <v>0</v>
      </c>
      <c r="AG126" s="25">
        <f t="shared" si="41"/>
        <v>20</v>
      </c>
      <c r="AH126" s="8">
        <f t="shared" si="42"/>
        <v>0</v>
      </c>
      <c r="AI126" s="62">
        <v>0</v>
      </c>
      <c r="AJ126" s="33">
        <f t="shared" si="43"/>
        <v>0</v>
      </c>
      <c r="AK126" s="63">
        <f t="shared" si="44"/>
        <v>160</v>
      </c>
      <c r="AL126" s="63">
        <f t="shared" si="45"/>
        <v>0</v>
      </c>
      <c r="AM126" s="63">
        <f t="shared" si="46"/>
        <v>0</v>
      </c>
      <c r="AN126" s="53">
        <f t="shared" si="47"/>
        <v>0</v>
      </c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</row>
    <row r="127" spans="1:53" ht="22" customHeight="1" x14ac:dyDescent="0.35">
      <c r="A127" s="8" t="s">
        <v>269</v>
      </c>
      <c r="B127" s="8" t="s">
        <v>270</v>
      </c>
      <c r="C127" s="8" t="s">
        <v>254</v>
      </c>
      <c r="D127" s="23" t="s">
        <v>7</v>
      </c>
      <c r="E127" s="24" t="s">
        <v>9</v>
      </c>
      <c r="F127" s="22" t="s">
        <v>5</v>
      </c>
      <c r="G127" s="22" t="s">
        <v>5</v>
      </c>
      <c r="H127" s="22" t="s">
        <v>5</v>
      </c>
      <c r="I127" s="22" t="s">
        <v>5</v>
      </c>
      <c r="J127" s="22" t="s">
        <v>5</v>
      </c>
      <c r="K127" s="23" t="s">
        <v>7</v>
      </c>
      <c r="L127" s="24" t="s">
        <v>9</v>
      </c>
      <c r="M127" s="22" t="s">
        <v>5</v>
      </c>
      <c r="N127" s="22" t="s">
        <v>5</v>
      </c>
      <c r="O127" s="22" t="s">
        <v>5</v>
      </c>
      <c r="P127" s="22" t="s">
        <v>5</v>
      </c>
      <c r="Q127" s="22" t="s">
        <v>5</v>
      </c>
      <c r="R127" s="23" t="s">
        <v>7</v>
      </c>
      <c r="S127" s="24" t="s">
        <v>9</v>
      </c>
      <c r="T127" s="22" t="s">
        <v>5</v>
      </c>
      <c r="U127" s="22" t="s">
        <v>5</v>
      </c>
      <c r="V127" s="22" t="s">
        <v>5</v>
      </c>
      <c r="W127" s="22" t="s">
        <v>5</v>
      </c>
      <c r="X127" s="22" t="s">
        <v>5</v>
      </c>
      <c r="Y127" s="23" t="s">
        <v>7</v>
      </c>
      <c r="Z127" s="24" t="s">
        <v>9</v>
      </c>
      <c r="AA127" s="22" t="s">
        <v>5</v>
      </c>
      <c r="AB127" s="22" t="s">
        <v>5</v>
      </c>
      <c r="AC127" s="22" t="s">
        <v>5</v>
      </c>
      <c r="AD127" s="22" t="s">
        <v>5</v>
      </c>
      <c r="AE127" s="22" t="s">
        <v>5</v>
      </c>
      <c r="AF127" s="8">
        <f t="shared" si="40"/>
        <v>0</v>
      </c>
      <c r="AG127" s="25">
        <f t="shared" si="41"/>
        <v>20</v>
      </c>
      <c r="AH127" s="8">
        <f t="shared" si="42"/>
        <v>0</v>
      </c>
      <c r="AI127" s="62">
        <v>0</v>
      </c>
      <c r="AJ127" s="33">
        <f t="shared" si="43"/>
        <v>0</v>
      </c>
      <c r="AK127" s="63">
        <f t="shared" si="44"/>
        <v>160</v>
      </c>
      <c r="AL127" s="63">
        <f t="shared" si="45"/>
        <v>0</v>
      </c>
      <c r="AM127" s="63">
        <f t="shared" si="46"/>
        <v>0</v>
      </c>
      <c r="AN127" s="53">
        <f t="shared" si="47"/>
        <v>0</v>
      </c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</row>
    <row r="128" spans="1:53" ht="22" customHeight="1" x14ac:dyDescent="0.35">
      <c r="A128" s="8" t="s">
        <v>271</v>
      </c>
      <c r="B128" s="8" t="s">
        <v>272</v>
      </c>
      <c r="C128" s="8" t="s">
        <v>254</v>
      </c>
      <c r="D128" s="23" t="s">
        <v>7</v>
      </c>
      <c r="E128" s="24" t="s">
        <v>9</v>
      </c>
      <c r="F128" s="22" t="s">
        <v>5</v>
      </c>
      <c r="G128" s="22" t="s">
        <v>5</v>
      </c>
      <c r="H128" s="22" t="s">
        <v>5</v>
      </c>
      <c r="I128" s="22" t="s">
        <v>5</v>
      </c>
      <c r="J128" s="22" t="s">
        <v>5</v>
      </c>
      <c r="K128" s="23" t="s">
        <v>7</v>
      </c>
      <c r="L128" s="24" t="s">
        <v>9</v>
      </c>
      <c r="M128" s="22" t="s">
        <v>5</v>
      </c>
      <c r="N128" s="22" t="s">
        <v>5</v>
      </c>
      <c r="O128" s="22" t="s">
        <v>5</v>
      </c>
      <c r="P128" s="22" t="s">
        <v>5</v>
      </c>
      <c r="Q128" s="22" t="s">
        <v>5</v>
      </c>
      <c r="R128" s="23" t="s">
        <v>7</v>
      </c>
      <c r="S128" s="24" t="s">
        <v>9</v>
      </c>
      <c r="T128" s="22" t="s">
        <v>5</v>
      </c>
      <c r="U128" s="22" t="s">
        <v>5</v>
      </c>
      <c r="V128" s="22" t="s">
        <v>5</v>
      </c>
      <c r="W128" s="22" t="s">
        <v>5</v>
      </c>
      <c r="X128" s="22" t="s">
        <v>5</v>
      </c>
      <c r="Y128" s="23" t="s">
        <v>7</v>
      </c>
      <c r="Z128" s="24" t="s">
        <v>9</v>
      </c>
      <c r="AA128" s="22" t="s">
        <v>5</v>
      </c>
      <c r="AB128" s="22" t="s">
        <v>5</v>
      </c>
      <c r="AC128" s="22" t="s">
        <v>5</v>
      </c>
      <c r="AD128" s="22" t="s">
        <v>5</v>
      </c>
      <c r="AE128" s="22" t="s">
        <v>5</v>
      </c>
      <c r="AF128" s="8">
        <f t="shared" si="40"/>
        <v>0</v>
      </c>
      <c r="AG128" s="25">
        <f t="shared" si="41"/>
        <v>20</v>
      </c>
      <c r="AH128" s="8">
        <f t="shared" si="42"/>
        <v>0</v>
      </c>
      <c r="AI128" s="62">
        <v>0</v>
      </c>
      <c r="AJ128" s="33">
        <f t="shared" si="43"/>
        <v>0</v>
      </c>
      <c r="AK128" s="63">
        <f t="shared" si="44"/>
        <v>160</v>
      </c>
      <c r="AL128" s="63">
        <f t="shared" si="45"/>
        <v>0</v>
      </c>
      <c r="AM128" s="63">
        <f t="shared" si="46"/>
        <v>0</v>
      </c>
      <c r="AN128" s="53">
        <f t="shared" si="47"/>
        <v>0</v>
      </c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</row>
    <row r="129" spans="1:53" ht="22" customHeight="1" x14ac:dyDescent="0.35">
      <c r="A129" s="8" t="s">
        <v>273</v>
      </c>
      <c r="B129" s="8" t="s">
        <v>274</v>
      </c>
      <c r="C129" s="8" t="s">
        <v>254</v>
      </c>
      <c r="D129" s="23" t="s">
        <v>7</v>
      </c>
      <c r="E129" s="24" t="s">
        <v>9</v>
      </c>
      <c r="F129" s="22" t="s">
        <v>5</v>
      </c>
      <c r="G129" s="22" t="s">
        <v>5</v>
      </c>
      <c r="H129" s="22" t="s">
        <v>5</v>
      </c>
      <c r="I129" s="22" t="s">
        <v>5</v>
      </c>
      <c r="J129" s="22" t="s">
        <v>5</v>
      </c>
      <c r="K129" s="23" t="s">
        <v>7</v>
      </c>
      <c r="L129" s="24" t="s">
        <v>9</v>
      </c>
      <c r="M129" s="22" t="s">
        <v>5</v>
      </c>
      <c r="N129" s="22" t="s">
        <v>5</v>
      </c>
      <c r="O129" s="22" t="s">
        <v>5</v>
      </c>
      <c r="P129" s="22" t="s">
        <v>5</v>
      </c>
      <c r="Q129" s="22" t="s">
        <v>5</v>
      </c>
      <c r="R129" s="23" t="s">
        <v>7</v>
      </c>
      <c r="S129" s="24" t="s">
        <v>9</v>
      </c>
      <c r="T129" s="22" t="s">
        <v>5</v>
      </c>
      <c r="U129" s="22" t="s">
        <v>5</v>
      </c>
      <c r="V129" s="22" t="s">
        <v>5</v>
      </c>
      <c r="W129" s="22" t="s">
        <v>5</v>
      </c>
      <c r="X129" s="22" t="s">
        <v>5</v>
      </c>
      <c r="Y129" s="23" t="s">
        <v>7</v>
      </c>
      <c r="Z129" s="24" t="s">
        <v>9</v>
      </c>
      <c r="AA129" s="22" t="s">
        <v>5</v>
      </c>
      <c r="AB129" s="22" t="s">
        <v>5</v>
      </c>
      <c r="AC129" s="22" t="s">
        <v>5</v>
      </c>
      <c r="AD129" s="22" t="s">
        <v>5</v>
      </c>
      <c r="AE129" s="22" t="s">
        <v>5</v>
      </c>
      <c r="AF129" s="8">
        <f t="shared" si="40"/>
        <v>0</v>
      </c>
      <c r="AG129" s="25">
        <f t="shared" si="41"/>
        <v>20</v>
      </c>
      <c r="AH129" s="8">
        <f t="shared" si="42"/>
        <v>0</v>
      </c>
      <c r="AI129" s="62">
        <v>0</v>
      </c>
      <c r="AJ129" s="33">
        <f t="shared" si="43"/>
        <v>0</v>
      </c>
      <c r="AK129" s="63">
        <f t="shared" si="44"/>
        <v>160</v>
      </c>
      <c r="AL129" s="63">
        <f t="shared" si="45"/>
        <v>0</v>
      </c>
      <c r="AM129" s="63">
        <f t="shared" si="46"/>
        <v>0</v>
      </c>
      <c r="AN129" s="53">
        <f t="shared" si="47"/>
        <v>0</v>
      </c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</row>
  </sheetData>
  <mergeCells count="11">
    <mergeCell ref="A1:AH1"/>
    <mergeCell ref="A118:AH118"/>
    <mergeCell ref="A37:AH37"/>
    <mergeCell ref="A84:AH84"/>
    <mergeCell ref="A97:AH97"/>
    <mergeCell ref="A4:AH4"/>
    <mergeCell ref="A21:AH21"/>
    <mergeCell ref="A91:AH91"/>
    <mergeCell ref="A113:AH113"/>
    <mergeCell ref="A2:AH2"/>
    <mergeCell ref="A76:AH7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129"/>
  <sheetViews>
    <sheetView workbookViewId="0">
      <pane xSplit="3" ySplit="3" topLeftCell="S4" activePane="bottomRight" state="frozen"/>
      <selection pane="topRight"/>
      <selection pane="bottomLeft"/>
      <selection pane="bottomRight" activeCell="A28" sqref="A28:XFD28"/>
    </sheetView>
  </sheetViews>
  <sheetFormatPr defaultRowHeight="14.5" x14ac:dyDescent="0.35"/>
  <cols>
    <col min="1" max="1" width="7" customWidth="1"/>
    <col min="2" max="2" width="24" customWidth="1"/>
    <col min="3" max="3" width="12" customWidth="1"/>
    <col min="4" max="36" width="5" customWidth="1"/>
    <col min="37" max="37" width="7.7265625" bestFit="1" customWidth="1"/>
    <col min="38" max="38" width="7" customWidth="1"/>
    <col min="39" max="39" width="8" customWidth="1"/>
    <col min="40" max="40" width="9" customWidth="1"/>
    <col min="41" max="41" width="8" customWidth="1"/>
    <col min="42" max="43" width="9" customWidth="1"/>
  </cols>
  <sheetData>
    <row r="1" spans="1:56" ht="30" customHeight="1" x14ac:dyDescent="0.35">
      <c r="A1" s="78" t="s">
        <v>384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</row>
    <row r="2" spans="1:56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N2" s="38"/>
      <c r="AO2" s="59" t="s">
        <v>311</v>
      </c>
      <c r="AP2" s="60">
        <v>4</v>
      </c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</row>
    <row r="3" spans="1:56" ht="35.15" customHeight="1" x14ac:dyDescent="0.35">
      <c r="A3" s="18" t="s">
        <v>14</v>
      </c>
      <c r="B3" s="18" t="s">
        <v>15</v>
      </c>
      <c r="C3" s="18" t="s">
        <v>312</v>
      </c>
      <c r="D3" s="20" t="s">
        <v>356</v>
      </c>
      <c r="E3" s="21" t="s">
        <v>357</v>
      </c>
      <c r="F3" s="19" t="s">
        <v>358</v>
      </c>
      <c r="G3" s="19" t="s">
        <v>359</v>
      </c>
      <c r="H3" s="19" t="s">
        <v>360</v>
      </c>
      <c r="I3" s="19" t="s">
        <v>361</v>
      </c>
      <c r="J3" s="19" t="s">
        <v>362</v>
      </c>
      <c r="K3" s="20" t="s">
        <v>363</v>
      </c>
      <c r="L3" s="21" t="s">
        <v>364</v>
      </c>
      <c r="M3" s="19" t="s">
        <v>365</v>
      </c>
      <c r="N3" s="19" t="s">
        <v>366</v>
      </c>
      <c r="O3" s="19" t="s">
        <v>367</v>
      </c>
      <c r="P3" s="19" t="s">
        <v>368</v>
      </c>
      <c r="Q3" s="19" t="s">
        <v>369</v>
      </c>
      <c r="R3" s="20" t="s">
        <v>370</v>
      </c>
      <c r="S3" s="21" t="s">
        <v>371</v>
      </c>
      <c r="T3" s="19" t="s">
        <v>372</v>
      </c>
      <c r="U3" s="19" t="s">
        <v>373</v>
      </c>
      <c r="V3" s="19" t="s">
        <v>374</v>
      </c>
      <c r="W3" s="19" t="s">
        <v>375</v>
      </c>
      <c r="X3" s="19" t="s">
        <v>376</v>
      </c>
      <c r="Y3" s="20" t="s">
        <v>377</v>
      </c>
      <c r="Z3" s="21" t="s">
        <v>378</v>
      </c>
      <c r="AA3" s="19" t="s">
        <v>379</v>
      </c>
      <c r="AB3" s="19" t="s">
        <v>380</v>
      </c>
      <c r="AC3" s="19" t="s">
        <v>381</v>
      </c>
      <c r="AD3" s="19" t="s">
        <v>382</v>
      </c>
      <c r="AE3" s="19" t="s">
        <v>383</v>
      </c>
      <c r="AF3" s="20" t="s">
        <v>385</v>
      </c>
      <c r="AG3" s="21" t="s">
        <v>386</v>
      </c>
      <c r="AH3" s="19" t="s">
        <v>387</v>
      </c>
      <c r="AI3" s="7" t="s">
        <v>344</v>
      </c>
      <c r="AJ3" s="7" t="s">
        <v>345</v>
      </c>
      <c r="AK3" s="7" t="s">
        <v>29</v>
      </c>
      <c r="AL3" s="34" t="s">
        <v>346</v>
      </c>
      <c r="AM3" s="34" t="s">
        <v>347</v>
      </c>
      <c r="AN3" s="61" t="s">
        <v>348</v>
      </c>
      <c r="AO3" s="42" t="s">
        <v>349</v>
      </c>
      <c r="AP3" s="43" t="s">
        <v>350</v>
      </c>
      <c r="AQ3" s="40" t="s">
        <v>351</v>
      </c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</row>
    <row r="4" spans="1:56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</row>
    <row r="5" spans="1:56" ht="22" customHeight="1" x14ac:dyDescent="0.35">
      <c r="A5" s="8" t="s">
        <v>43</v>
      </c>
      <c r="B5" s="8" t="s">
        <v>44</v>
      </c>
      <c r="C5" s="8" t="s">
        <v>45</v>
      </c>
      <c r="D5" s="23" t="s">
        <v>7</v>
      </c>
      <c r="E5" s="24" t="s">
        <v>9</v>
      </c>
      <c r="F5" s="26" t="s">
        <v>3</v>
      </c>
      <c r="G5" s="26" t="s">
        <v>3</v>
      </c>
      <c r="H5" s="26" t="s">
        <v>3</v>
      </c>
      <c r="I5" s="26" t="s">
        <v>3</v>
      </c>
      <c r="J5" s="26" t="s">
        <v>3</v>
      </c>
      <c r="K5" s="23" t="s">
        <v>7</v>
      </c>
      <c r="L5" s="24" t="s">
        <v>9</v>
      </c>
      <c r="M5" s="26" t="s">
        <v>3</v>
      </c>
      <c r="N5" s="26" t="s">
        <v>3</v>
      </c>
      <c r="O5" s="26" t="s">
        <v>3</v>
      </c>
      <c r="P5" s="26" t="s">
        <v>3</v>
      </c>
      <c r="Q5" s="26" t="s">
        <v>3</v>
      </c>
      <c r="R5" s="23" t="s">
        <v>7</v>
      </c>
      <c r="S5" s="24" t="s">
        <v>9</v>
      </c>
      <c r="T5" s="22" t="s">
        <v>5</v>
      </c>
      <c r="U5" s="26" t="s">
        <v>3</v>
      </c>
      <c r="V5" s="26" t="s">
        <v>3</v>
      </c>
      <c r="W5" s="26" t="s">
        <v>3</v>
      </c>
      <c r="X5" s="26" t="s">
        <v>3</v>
      </c>
      <c r="Y5" s="27" t="s">
        <v>7</v>
      </c>
      <c r="Z5" s="24" t="s">
        <v>9</v>
      </c>
      <c r="AA5" s="26" t="s">
        <v>3</v>
      </c>
      <c r="AB5" s="26" t="s">
        <v>3</v>
      </c>
      <c r="AC5" s="26" t="s">
        <v>3</v>
      </c>
      <c r="AD5" s="22" t="s">
        <v>5</v>
      </c>
      <c r="AE5" s="22" t="s">
        <v>5</v>
      </c>
      <c r="AF5" s="23" t="s">
        <v>7</v>
      </c>
      <c r="AG5" s="24" t="s">
        <v>9</v>
      </c>
      <c r="AH5" s="22" t="s">
        <v>5</v>
      </c>
      <c r="AI5" s="8">
        <f t="shared" ref="AI5:AI19" si="0">COUNTIF(D5:AH5,"ON")</f>
        <v>17</v>
      </c>
      <c r="AJ5" s="8">
        <f t="shared" ref="AJ5:AJ19" si="1">COUNTIF(D5:AH5,"OFF")</f>
        <v>4</v>
      </c>
      <c r="AK5" s="8">
        <f t="shared" ref="AK5:AK19" si="2">COUNTIF(D5:AH5,"OT")</f>
        <v>0</v>
      </c>
      <c r="AL5" s="62">
        <v>1</v>
      </c>
      <c r="AM5" s="33">
        <f t="shared" ref="AM5:AM19" si="3">AI5+AK5+AL5*0.5</f>
        <v>17.5</v>
      </c>
      <c r="AN5" s="63">
        <f t="shared" ref="AN5:AN19" si="4">NETWORKDAYS(DATE(2025,3,1),EOMONTH(DATE(2025,3,1),0))*8</f>
        <v>168</v>
      </c>
      <c r="AO5" s="63">
        <f t="shared" ref="AO5:AO19" si="5">MAX(0,COUNTIF(J5,"ON")+COUNTIF(Q5,"ON")+COUNTIF(X5,"ON")+COUNTIF(AE5,"ON")-AL5)</f>
        <v>2</v>
      </c>
      <c r="AP5" s="63">
        <f t="shared" ref="AP5:AP19" si="6">AO5*$AP$2</f>
        <v>8</v>
      </c>
      <c r="AQ5" s="53">
        <f t="shared" ref="AQ5:AQ19" si="7">AM5-AP5/8</f>
        <v>16.5</v>
      </c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</row>
    <row r="6" spans="1:56" ht="22" customHeight="1" x14ac:dyDescent="0.35">
      <c r="A6" s="8" t="s">
        <v>46</v>
      </c>
      <c r="B6" s="8" t="s">
        <v>47</v>
      </c>
      <c r="C6" s="8" t="s">
        <v>45</v>
      </c>
      <c r="D6" s="23" t="s">
        <v>7</v>
      </c>
      <c r="E6" s="24" t="s">
        <v>9</v>
      </c>
      <c r="F6" s="26" t="s">
        <v>3</v>
      </c>
      <c r="G6" s="26" t="s">
        <v>3</v>
      </c>
      <c r="H6" s="26" t="s">
        <v>3</v>
      </c>
      <c r="I6" s="26" t="s">
        <v>3</v>
      </c>
      <c r="J6" s="26" t="s">
        <v>3</v>
      </c>
      <c r="K6" s="27" t="s">
        <v>7</v>
      </c>
      <c r="L6" s="28" t="s">
        <v>11</v>
      </c>
      <c r="M6" s="26" t="s">
        <v>3</v>
      </c>
      <c r="N6" s="26" t="s">
        <v>3</v>
      </c>
      <c r="O6" s="26" t="s">
        <v>3</v>
      </c>
      <c r="P6" s="26" t="s">
        <v>3</v>
      </c>
      <c r="Q6" s="26" t="s">
        <v>3</v>
      </c>
      <c r="R6" s="23" t="s">
        <v>7</v>
      </c>
      <c r="S6" s="24" t="s">
        <v>9</v>
      </c>
      <c r="T6" s="26" t="s">
        <v>3</v>
      </c>
      <c r="U6" s="26" t="s">
        <v>3</v>
      </c>
      <c r="V6" s="26" t="s">
        <v>3</v>
      </c>
      <c r="W6" s="26" t="s">
        <v>3</v>
      </c>
      <c r="X6" s="26" t="s">
        <v>3</v>
      </c>
      <c r="Y6" s="27" t="s">
        <v>7</v>
      </c>
      <c r="Z6" s="28" t="s">
        <v>11</v>
      </c>
      <c r="AA6" s="26" t="s">
        <v>3</v>
      </c>
      <c r="AB6" s="26" t="s">
        <v>3</v>
      </c>
      <c r="AC6" s="26" t="s">
        <v>3</v>
      </c>
      <c r="AD6" s="26" t="s">
        <v>3</v>
      </c>
      <c r="AE6" s="26" t="s">
        <v>3</v>
      </c>
      <c r="AF6" s="23" t="s">
        <v>7</v>
      </c>
      <c r="AG6" s="24" t="s">
        <v>9</v>
      </c>
      <c r="AH6" s="22" t="s">
        <v>5</v>
      </c>
      <c r="AI6" s="8">
        <f t="shared" si="0"/>
        <v>20</v>
      </c>
      <c r="AJ6" s="8">
        <f t="shared" si="1"/>
        <v>1</v>
      </c>
      <c r="AK6" s="29">
        <f t="shared" si="2"/>
        <v>2</v>
      </c>
      <c r="AL6" s="62">
        <v>2</v>
      </c>
      <c r="AM6" s="33">
        <f t="shared" si="3"/>
        <v>23</v>
      </c>
      <c r="AN6" s="63">
        <f t="shared" si="4"/>
        <v>168</v>
      </c>
      <c r="AO6" s="63">
        <f t="shared" si="5"/>
        <v>2</v>
      </c>
      <c r="AP6" s="63">
        <f t="shared" si="6"/>
        <v>8</v>
      </c>
      <c r="AQ6" s="53">
        <f t="shared" si="7"/>
        <v>22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</row>
    <row r="7" spans="1:56" ht="22" customHeight="1" x14ac:dyDescent="0.35">
      <c r="A7" s="8" t="s">
        <v>48</v>
      </c>
      <c r="B7" s="8" t="s">
        <v>49</v>
      </c>
      <c r="C7" s="8" t="s">
        <v>45</v>
      </c>
      <c r="D7" s="27" t="s">
        <v>7</v>
      </c>
      <c r="E7" s="28" t="s">
        <v>11</v>
      </c>
      <c r="F7" s="26" t="s">
        <v>3</v>
      </c>
      <c r="G7" s="26" t="s">
        <v>3</v>
      </c>
      <c r="H7" s="26" t="s">
        <v>3</v>
      </c>
      <c r="I7" s="26" t="s">
        <v>3</v>
      </c>
      <c r="J7" s="26" t="s">
        <v>3</v>
      </c>
      <c r="K7" s="23" t="s">
        <v>7</v>
      </c>
      <c r="L7" s="24" t="s">
        <v>9</v>
      </c>
      <c r="M7" s="26" t="s">
        <v>3</v>
      </c>
      <c r="N7" s="26" t="s">
        <v>3</v>
      </c>
      <c r="O7" s="26" t="s">
        <v>3</v>
      </c>
      <c r="P7" s="26" t="s">
        <v>3</v>
      </c>
      <c r="Q7" s="26" t="s">
        <v>3</v>
      </c>
      <c r="R7" s="23" t="s">
        <v>7</v>
      </c>
      <c r="S7" s="24" t="s">
        <v>9</v>
      </c>
      <c r="T7" s="22" t="s">
        <v>5</v>
      </c>
      <c r="U7" s="26" t="s">
        <v>3</v>
      </c>
      <c r="V7" s="26" t="s">
        <v>3</v>
      </c>
      <c r="W7" s="26" t="s">
        <v>3</v>
      </c>
      <c r="X7" s="26" t="s">
        <v>3</v>
      </c>
      <c r="Y7" s="23" t="s">
        <v>7</v>
      </c>
      <c r="Z7" s="24" t="s">
        <v>9</v>
      </c>
      <c r="AA7" s="26" t="s">
        <v>3</v>
      </c>
      <c r="AB7" s="26" t="s">
        <v>3</v>
      </c>
      <c r="AC7" s="26" t="s">
        <v>3</v>
      </c>
      <c r="AD7" s="26" t="s">
        <v>3</v>
      </c>
      <c r="AE7" s="26" t="s">
        <v>3</v>
      </c>
      <c r="AF7" s="27" t="s">
        <v>7</v>
      </c>
      <c r="AG7" s="28" t="s">
        <v>11</v>
      </c>
      <c r="AH7" s="26" t="s">
        <v>3</v>
      </c>
      <c r="AI7" s="8">
        <f t="shared" si="0"/>
        <v>20</v>
      </c>
      <c r="AJ7" s="8">
        <f t="shared" si="1"/>
        <v>1</v>
      </c>
      <c r="AK7" s="29">
        <f t="shared" si="2"/>
        <v>2</v>
      </c>
      <c r="AL7" s="62">
        <v>2</v>
      </c>
      <c r="AM7" s="33">
        <f t="shared" si="3"/>
        <v>23</v>
      </c>
      <c r="AN7" s="63">
        <f t="shared" si="4"/>
        <v>168</v>
      </c>
      <c r="AO7" s="63">
        <f t="shared" si="5"/>
        <v>2</v>
      </c>
      <c r="AP7" s="63">
        <f t="shared" si="6"/>
        <v>8</v>
      </c>
      <c r="AQ7" s="53">
        <f t="shared" si="7"/>
        <v>22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</row>
    <row r="8" spans="1:56" ht="22" customHeight="1" x14ac:dyDescent="0.35">
      <c r="A8" s="8" t="s">
        <v>50</v>
      </c>
      <c r="B8" s="8" t="s">
        <v>51</v>
      </c>
      <c r="C8" s="8" t="s">
        <v>45</v>
      </c>
      <c r="D8" s="23" t="s">
        <v>7</v>
      </c>
      <c r="E8" s="24" t="s">
        <v>9</v>
      </c>
      <c r="F8" s="26" t="s">
        <v>3</v>
      </c>
      <c r="G8" s="26" t="s">
        <v>3</v>
      </c>
      <c r="H8" s="26" t="s">
        <v>3</v>
      </c>
      <c r="I8" s="26" t="s">
        <v>3</v>
      </c>
      <c r="J8" s="26" t="s">
        <v>3</v>
      </c>
      <c r="K8" s="27" t="s">
        <v>7</v>
      </c>
      <c r="L8" s="28" t="s">
        <v>11</v>
      </c>
      <c r="M8" s="26" t="s">
        <v>3</v>
      </c>
      <c r="N8" s="26" t="s">
        <v>3</v>
      </c>
      <c r="O8" s="26" t="s">
        <v>3</v>
      </c>
      <c r="P8" s="26" t="s">
        <v>3</v>
      </c>
      <c r="Q8" s="26" t="s">
        <v>3</v>
      </c>
      <c r="R8" s="23" t="s">
        <v>7</v>
      </c>
      <c r="S8" s="24" t="s">
        <v>9</v>
      </c>
      <c r="T8" s="26" t="s">
        <v>3</v>
      </c>
      <c r="U8" s="26" t="s">
        <v>3</v>
      </c>
      <c r="V8" s="22" t="s">
        <v>5</v>
      </c>
      <c r="W8" s="22" t="s">
        <v>5</v>
      </c>
      <c r="X8" s="22" t="s">
        <v>5</v>
      </c>
      <c r="Y8" s="23" t="s">
        <v>7</v>
      </c>
      <c r="Z8" s="24" t="s">
        <v>9</v>
      </c>
      <c r="AA8" s="22" t="s">
        <v>5</v>
      </c>
      <c r="AB8" s="22" t="s">
        <v>5</v>
      </c>
      <c r="AC8" s="22" t="s">
        <v>5</v>
      </c>
      <c r="AD8" s="22" t="s">
        <v>5</v>
      </c>
      <c r="AE8" s="22" t="s">
        <v>5</v>
      </c>
      <c r="AF8" s="23" t="s">
        <v>7</v>
      </c>
      <c r="AG8" s="24" t="s">
        <v>9</v>
      </c>
      <c r="AH8" s="22" t="s">
        <v>5</v>
      </c>
      <c r="AI8" s="8">
        <f t="shared" si="0"/>
        <v>12</v>
      </c>
      <c r="AJ8" s="8">
        <f t="shared" si="1"/>
        <v>9</v>
      </c>
      <c r="AK8" s="29">
        <f t="shared" si="2"/>
        <v>1</v>
      </c>
      <c r="AL8" s="62">
        <v>1</v>
      </c>
      <c r="AM8" s="33">
        <f t="shared" si="3"/>
        <v>13.5</v>
      </c>
      <c r="AN8" s="63">
        <f t="shared" si="4"/>
        <v>168</v>
      </c>
      <c r="AO8" s="63">
        <f t="shared" si="5"/>
        <v>1</v>
      </c>
      <c r="AP8" s="63">
        <f t="shared" si="6"/>
        <v>4</v>
      </c>
      <c r="AQ8" s="53">
        <f t="shared" si="7"/>
        <v>13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</row>
    <row r="9" spans="1:56" ht="22" customHeight="1" x14ac:dyDescent="0.35">
      <c r="A9" s="8" t="s">
        <v>52</v>
      </c>
      <c r="B9" s="8" t="s">
        <v>53</v>
      </c>
      <c r="C9" s="8" t="s">
        <v>45</v>
      </c>
      <c r="D9" s="27" t="s">
        <v>7</v>
      </c>
      <c r="E9" s="28" t="s">
        <v>11</v>
      </c>
      <c r="F9" s="26" t="s">
        <v>3</v>
      </c>
      <c r="G9" s="26" t="s">
        <v>3</v>
      </c>
      <c r="H9" s="26" t="s">
        <v>3</v>
      </c>
      <c r="I9" s="26" t="s">
        <v>3</v>
      </c>
      <c r="J9" s="26" t="s">
        <v>3</v>
      </c>
      <c r="K9" s="23" t="s">
        <v>7</v>
      </c>
      <c r="L9" s="24" t="s">
        <v>9</v>
      </c>
      <c r="M9" s="26" t="s">
        <v>3</v>
      </c>
      <c r="N9" s="26" t="s">
        <v>3</v>
      </c>
      <c r="O9" s="26" t="s">
        <v>3</v>
      </c>
      <c r="P9" s="26" t="s">
        <v>3</v>
      </c>
      <c r="Q9" s="26" t="s">
        <v>3</v>
      </c>
      <c r="R9" s="27" t="s">
        <v>7</v>
      </c>
      <c r="S9" s="28" t="s">
        <v>11</v>
      </c>
      <c r="T9" s="26" t="s">
        <v>3</v>
      </c>
      <c r="U9" s="26" t="s">
        <v>3</v>
      </c>
      <c r="V9" s="26" t="s">
        <v>3</v>
      </c>
      <c r="W9" s="26" t="s">
        <v>3</v>
      </c>
      <c r="X9" s="26" t="s">
        <v>3</v>
      </c>
      <c r="Y9" s="27" t="s">
        <v>7</v>
      </c>
      <c r="Z9" s="24" t="s">
        <v>9</v>
      </c>
      <c r="AA9" s="26" t="s">
        <v>3</v>
      </c>
      <c r="AB9" s="26" t="s">
        <v>3</v>
      </c>
      <c r="AC9" s="26" t="s">
        <v>3</v>
      </c>
      <c r="AD9" s="26" t="s">
        <v>3</v>
      </c>
      <c r="AE9" s="26" t="s">
        <v>3</v>
      </c>
      <c r="AF9" s="23" t="s">
        <v>7</v>
      </c>
      <c r="AG9" s="24" t="s">
        <v>9</v>
      </c>
      <c r="AH9" s="22" t="s">
        <v>5</v>
      </c>
      <c r="AI9" s="8">
        <f t="shared" si="0"/>
        <v>20</v>
      </c>
      <c r="AJ9" s="8">
        <f t="shared" si="1"/>
        <v>1</v>
      </c>
      <c r="AK9" s="29">
        <f t="shared" si="2"/>
        <v>2</v>
      </c>
      <c r="AL9" s="62">
        <v>3</v>
      </c>
      <c r="AM9" s="33">
        <f t="shared" si="3"/>
        <v>23.5</v>
      </c>
      <c r="AN9" s="63">
        <f t="shared" si="4"/>
        <v>168</v>
      </c>
      <c r="AO9" s="63">
        <f t="shared" si="5"/>
        <v>1</v>
      </c>
      <c r="AP9" s="63">
        <f t="shared" si="6"/>
        <v>4</v>
      </c>
      <c r="AQ9" s="53">
        <f t="shared" si="7"/>
        <v>23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</row>
    <row r="10" spans="1:56" ht="22" customHeight="1" x14ac:dyDescent="0.35">
      <c r="A10" s="8" t="s">
        <v>54</v>
      </c>
      <c r="B10" s="8" t="s">
        <v>55</v>
      </c>
      <c r="C10" s="8" t="s">
        <v>45</v>
      </c>
      <c r="D10" s="23" t="s">
        <v>7</v>
      </c>
      <c r="E10" s="24" t="s">
        <v>9</v>
      </c>
      <c r="F10" s="26" t="s">
        <v>3</v>
      </c>
      <c r="G10" s="26" t="s">
        <v>3</v>
      </c>
      <c r="H10" s="26" t="s">
        <v>3</v>
      </c>
      <c r="I10" s="26" t="s">
        <v>3</v>
      </c>
      <c r="J10" s="26" t="s">
        <v>3</v>
      </c>
      <c r="K10" s="27" t="s">
        <v>7</v>
      </c>
      <c r="L10" s="24" t="s">
        <v>9</v>
      </c>
      <c r="M10" s="26" t="s">
        <v>3</v>
      </c>
      <c r="N10" s="26" t="s">
        <v>3</v>
      </c>
      <c r="O10" s="26" t="s">
        <v>3</v>
      </c>
      <c r="P10" s="26" t="s">
        <v>3</v>
      </c>
      <c r="Q10" s="26" t="s">
        <v>3</v>
      </c>
      <c r="R10" s="23" t="s">
        <v>7</v>
      </c>
      <c r="S10" s="24" t="s">
        <v>9</v>
      </c>
      <c r="T10" s="26" t="s">
        <v>3</v>
      </c>
      <c r="U10" s="26" t="s">
        <v>3</v>
      </c>
      <c r="V10" s="26" t="s">
        <v>3</v>
      </c>
      <c r="W10" s="26" t="s">
        <v>3</v>
      </c>
      <c r="X10" s="26" t="s">
        <v>3</v>
      </c>
      <c r="Y10" s="23" t="s">
        <v>7</v>
      </c>
      <c r="Z10" s="24" t="s">
        <v>9</v>
      </c>
      <c r="AA10" s="26" t="s">
        <v>3</v>
      </c>
      <c r="AB10" s="26" t="s">
        <v>3</v>
      </c>
      <c r="AC10" s="26" t="s">
        <v>3</v>
      </c>
      <c r="AD10" s="26" t="s">
        <v>3</v>
      </c>
      <c r="AE10" s="26" t="s">
        <v>3</v>
      </c>
      <c r="AF10" s="27" t="s">
        <v>7</v>
      </c>
      <c r="AG10" s="24" t="s">
        <v>9</v>
      </c>
      <c r="AH10" s="26" t="s">
        <v>3</v>
      </c>
      <c r="AI10" s="8">
        <f t="shared" si="0"/>
        <v>21</v>
      </c>
      <c r="AJ10" s="8">
        <f t="shared" si="1"/>
        <v>0</v>
      </c>
      <c r="AK10" s="8">
        <f t="shared" si="2"/>
        <v>0</v>
      </c>
      <c r="AL10" s="62">
        <v>2</v>
      </c>
      <c r="AM10" s="33">
        <f t="shared" si="3"/>
        <v>22</v>
      </c>
      <c r="AN10" s="63">
        <f t="shared" si="4"/>
        <v>168</v>
      </c>
      <c r="AO10" s="63">
        <f t="shared" si="5"/>
        <v>2</v>
      </c>
      <c r="AP10" s="63">
        <f t="shared" si="6"/>
        <v>8</v>
      </c>
      <c r="AQ10" s="53">
        <f t="shared" si="7"/>
        <v>21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</row>
    <row r="11" spans="1:56" ht="22" customHeight="1" x14ac:dyDescent="0.35">
      <c r="A11" s="8" t="s">
        <v>56</v>
      </c>
      <c r="B11" s="8" t="s">
        <v>57</v>
      </c>
      <c r="C11" s="8" t="s">
        <v>45</v>
      </c>
      <c r="D11" s="27" t="s">
        <v>7</v>
      </c>
      <c r="E11" s="28" t="s">
        <v>11</v>
      </c>
      <c r="F11" s="26" t="s">
        <v>3</v>
      </c>
      <c r="G11" s="26" t="s">
        <v>3</v>
      </c>
      <c r="H11" s="26" t="s">
        <v>3</v>
      </c>
      <c r="I11" s="26" t="s">
        <v>3</v>
      </c>
      <c r="J11" s="22" t="s">
        <v>5</v>
      </c>
      <c r="K11" s="23" t="s">
        <v>7</v>
      </c>
      <c r="L11" s="24" t="s">
        <v>9</v>
      </c>
      <c r="M11" s="26" t="s">
        <v>3</v>
      </c>
      <c r="N11" s="26" t="s">
        <v>3</v>
      </c>
      <c r="O11" s="26" t="s">
        <v>3</v>
      </c>
      <c r="P11" s="26" t="s">
        <v>3</v>
      </c>
      <c r="Q11" s="26" t="s">
        <v>3</v>
      </c>
      <c r="R11" s="27" t="s">
        <v>7</v>
      </c>
      <c r="S11" s="28" t="s">
        <v>11</v>
      </c>
      <c r="T11" s="26" t="s">
        <v>3</v>
      </c>
      <c r="U11" s="26" t="s">
        <v>3</v>
      </c>
      <c r="V11" s="26" t="s">
        <v>3</v>
      </c>
      <c r="W11" s="26" t="s">
        <v>3</v>
      </c>
      <c r="X11" s="26" t="s">
        <v>3</v>
      </c>
      <c r="Y11" s="23" t="s">
        <v>7</v>
      </c>
      <c r="Z11" s="24" t="s">
        <v>9</v>
      </c>
      <c r="AA11" s="22" t="s">
        <v>5</v>
      </c>
      <c r="AB11" s="22" t="s">
        <v>5</v>
      </c>
      <c r="AC11" s="26" t="s">
        <v>3</v>
      </c>
      <c r="AD11" s="26" t="s">
        <v>3</v>
      </c>
      <c r="AE11" s="26" t="s">
        <v>3</v>
      </c>
      <c r="AF11" s="27" t="s">
        <v>7</v>
      </c>
      <c r="AG11" s="28" t="s">
        <v>11</v>
      </c>
      <c r="AH11" s="26" t="s">
        <v>3</v>
      </c>
      <c r="AI11" s="8">
        <f t="shared" si="0"/>
        <v>18</v>
      </c>
      <c r="AJ11" s="8">
        <f t="shared" si="1"/>
        <v>3</v>
      </c>
      <c r="AK11" s="29">
        <f t="shared" si="2"/>
        <v>3</v>
      </c>
      <c r="AL11" s="62">
        <v>3</v>
      </c>
      <c r="AM11" s="33">
        <f t="shared" si="3"/>
        <v>22.5</v>
      </c>
      <c r="AN11" s="63">
        <f t="shared" si="4"/>
        <v>168</v>
      </c>
      <c r="AO11" s="63">
        <f t="shared" si="5"/>
        <v>0</v>
      </c>
      <c r="AP11" s="63">
        <f t="shared" si="6"/>
        <v>0</v>
      </c>
      <c r="AQ11" s="53">
        <f t="shared" si="7"/>
        <v>22.5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</row>
    <row r="12" spans="1:56" ht="22" customHeight="1" x14ac:dyDescent="0.35">
      <c r="A12" s="8" t="s">
        <v>58</v>
      </c>
      <c r="B12" s="8" t="s">
        <v>59</v>
      </c>
      <c r="C12" s="8" t="s">
        <v>45</v>
      </c>
      <c r="D12" s="23" t="s">
        <v>7</v>
      </c>
      <c r="E12" s="24" t="s">
        <v>9</v>
      </c>
      <c r="F12" s="26" t="s">
        <v>3</v>
      </c>
      <c r="G12" s="26" t="s">
        <v>3</v>
      </c>
      <c r="H12" s="26" t="s">
        <v>3</v>
      </c>
      <c r="I12" s="26" t="s">
        <v>3</v>
      </c>
      <c r="J12" s="26" t="s">
        <v>3</v>
      </c>
      <c r="K12" s="27" t="s">
        <v>7</v>
      </c>
      <c r="L12" s="28" t="s">
        <v>11</v>
      </c>
      <c r="M12" s="26" t="s">
        <v>3</v>
      </c>
      <c r="N12" s="26" t="s">
        <v>3</v>
      </c>
      <c r="O12" s="26" t="s">
        <v>3</v>
      </c>
      <c r="P12" s="26" t="s">
        <v>3</v>
      </c>
      <c r="Q12" s="26" t="s">
        <v>3</v>
      </c>
      <c r="R12" s="23" t="s">
        <v>7</v>
      </c>
      <c r="S12" s="24" t="s">
        <v>9</v>
      </c>
      <c r="T12" s="26" t="s">
        <v>3</v>
      </c>
      <c r="U12" s="26" t="s">
        <v>3</v>
      </c>
      <c r="V12" s="26" t="s">
        <v>3</v>
      </c>
      <c r="W12" s="26" t="s">
        <v>3</v>
      </c>
      <c r="X12" s="26" t="s">
        <v>3</v>
      </c>
      <c r="Y12" s="27" t="s">
        <v>7</v>
      </c>
      <c r="Z12" s="28" t="s">
        <v>11</v>
      </c>
      <c r="AA12" s="26" t="s">
        <v>3</v>
      </c>
      <c r="AB12" s="26" t="s">
        <v>3</v>
      </c>
      <c r="AC12" s="26" t="s">
        <v>3</v>
      </c>
      <c r="AD12" s="26" t="s">
        <v>3</v>
      </c>
      <c r="AE12" s="26" t="s">
        <v>3</v>
      </c>
      <c r="AF12" s="23" t="s">
        <v>7</v>
      </c>
      <c r="AG12" s="24" t="s">
        <v>9</v>
      </c>
      <c r="AH12" s="22" t="s">
        <v>5</v>
      </c>
      <c r="AI12" s="8">
        <f t="shared" si="0"/>
        <v>20</v>
      </c>
      <c r="AJ12" s="8">
        <f t="shared" si="1"/>
        <v>1</v>
      </c>
      <c r="AK12" s="29">
        <f t="shared" si="2"/>
        <v>2</v>
      </c>
      <c r="AL12" s="62">
        <v>2</v>
      </c>
      <c r="AM12" s="33">
        <f t="shared" si="3"/>
        <v>23</v>
      </c>
      <c r="AN12" s="63">
        <f t="shared" si="4"/>
        <v>168</v>
      </c>
      <c r="AO12" s="63">
        <f t="shared" si="5"/>
        <v>2</v>
      </c>
      <c r="AP12" s="63">
        <f t="shared" si="6"/>
        <v>8</v>
      </c>
      <c r="AQ12" s="53">
        <f t="shared" si="7"/>
        <v>22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</row>
    <row r="13" spans="1:56" ht="22" customHeight="1" x14ac:dyDescent="0.35">
      <c r="A13" s="8" t="s">
        <v>60</v>
      </c>
      <c r="B13" s="8" t="s">
        <v>61</v>
      </c>
      <c r="C13" s="8" t="s">
        <v>45</v>
      </c>
      <c r="D13" s="27" t="s">
        <v>7</v>
      </c>
      <c r="E13" s="28" t="s">
        <v>11</v>
      </c>
      <c r="F13" s="26" t="s">
        <v>3</v>
      </c>
      <c r="G13" s="26" t="s">
        <v>3</v>
      </c>
      <c r="H13" s="26" t="s">
        <v>3</v>
      </c>
      <c r="I13" s="26" t="s">
        <v>3</v>
      </c>
      <c r="J13" s="26" t="s">
        <v>3</v>
      </c>
      <c r="K13" s="23" t="s">
        <v>7</v>
      </c>
      <c r="L13" s="24" t="s">
        <v>9</v>
      </c>
      <c r="M13" s="26" t="s">
        <v>3</v>
      </c>
      <c r="N13" s="26" t="s">
        <v>3</v>
      </c>
      <c r="O13" s="26" t="s">
        <v>3</v>
      </c>
      <c r="P13" s="26" t="s">
        <v>3</v>
      </c>
      <c r="Q13" s="26" t="s">
        <v>3</v>
      </c>
      <c r="R13" s="27" t="s">
        <v>7</v>
      </c>
      <c r="S13" s="28" t="s">
        <v>11</v>
      </c>
      <c r="T13" s="26" t="s">
        <v>3</v>
      </c>
      <c r="U13" s="26" t="s">
        <v>3</v>
      </c>
      <c r="V13" s="26" t="s">
        <v>3</v>
      </c>
      <c r="W13" s="26" t="s">
        <v>3</v>
      </c>
      <c r="X13" s="26" t="s">
        <v>3</v>
      </c>
      <c r="Y13" s="23" t="s">
        <v>7</v>
      </c>
      <c r="Z13" s="24" t="s">
        <v>9</v>
      </c>
      <c r="AA13" s="26" t="s">
        <v>3</v>
      </c>
      <c r="AB13" s="26" t="s">
        <v>3</v>
      </c>
      <c r="AC13" s="26" t="s">
        <v>3</v>
      </c>
      <c r="AD13" s="26" t="s">
        <v>3</v>
      </c>
      <c r="AE13" s="26" t="s">
        <v>3</v>
      </c>
      <c r="AF13" s="27" t="s">
        <v>7</v>
      </c>
      <c r="AG13" s="28" t="s">
        <v>11</v>
      </c>
      <c r="AH13" s="26" t="s">
        <v>3</v>
      </c>
      <c r="AI13" s="8">
        <f t="shared" si="0"/>
        <v>21</v>
      </c>
      <c r="AJ13" s="8">
        <f t="shared" si="1"/>
        <v>0</v>
      </c>
      <c r="AK13" s="29">
        <f t="shared" si="2"/>
        <v>3</v>
      </c>
      <c r="AL13" s="62">
        <v>3</v>
      </c>
      <c r="AM13" s="33">
        <f t="shared" si="3"/>
        <v>25.5</v>
      </c>
      <c r="AN13" s="63">
        <f t="shared" si="4"/>
        <v>168</v>
      </c>
      <c r="AO13" s="63">
        <f t="shared" si="5"/>
        <v>1</v>
      </c>
      <c r="AP13" s="63">
        <f t="shared" si="6"/>
        <v>4</v>
      </c>
      <c r="AQ13" s="53">
        <f t="shared" si="7"/>
        <v>25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</row>
    <row r="14" spans="1:56" ht="22" customHeight="1" x14ac:dyDescent="0.35">
      <c r="A14" s="8" t="s">
        <v>352</v>
      </c>
      <c r="B14" s="8" t="s">
        <v>353</v>
      </c>
      <c r="C14" s="8" t="s">
        <v>45</v>
      </c>
      <c r="D14" s="27" t="s">
        <v>7</v>
      </c>
      <c r="E14" s="28" t="s">
        <v>11</v>
      </c>
      <c r="F14" s="26" t="s">
        <v>3</v>
      </c>
      <c r="G14" s="26" t="s">
        <v>3</v>
      </c>
      <c r="H14" s="26" t="s">
        <v>3</v>
      </c>
      <c r="I14" s="26" t="s">
        <v>3</v>
      </c>
      <c r="J14" s="26" t="s">
        <v>3</v>
      </c>
      <c r="K14" s="23" t="s">
        <v>7</v>
      </c>
      <c r="L14" s="24" t="s">
        <v>9</v>
      </c>
      <c r="M14" s="22" t="s">
        <v>5</v>
      </c>
      <c r="N14" s="22" t="s">
        <v>5</v>
      </c>
      <c r="O14" s="22" t="s">
        <v>5</v>
      </c>
      <c r="P14" s="22" t="s">
        <v>5</v>
      </c>
      <c r="Q14" s="26" t="s">
        <v>3</v>
      </c>
      <c r="R14" s="27" t="s">
        <v>7</v>
      </c>
      <c r="S14" s="28" t="s">
        <v>11</v>
      </c>
      <c r="T14" s="26" t="s">
        <v>3</v>
      </c>
      <c r="U14" s="26" t="s">
        <v>3</v>
      </c>
      <c r="V14" s="26" t="s">
        <v>3</v>
      </c>
      <c r="W14" s="26" t="s">
        <v>3</v>
      </c>
      <c r="X14" s="26" t="s">
        <v>3</v>
      </c>
      <c r="Y14" s="23" t="s">
        <v>7</v>
      </c>
      <c r="Z14" s="24" t="s">
        <v>9</v>
      </c>
      <c r="AA14" s="26" t="s">
        <v>3</v>
      </c>
      <c r="AB14" s="26" t="s">
        <v>3</v>
      </c>
      <c r="AC14" s="26" t="s">
        <v>3</v>
      </c>
      <c r="AD14" s="26" t="s">
        <v>3</v>
      </c>
      <c r="AE14" s="26" t="s">
        <v>3</v>
      </c>
      <c r="AF14" s="27" t="s">
        <v>7</v>
      </c>
      <c r="AG14" s="28" t="s">
        <v>11</v>
      </c>
      <c r="AH14" s="26" t="s">
        <v>3</v>
      </c>
      <c r="AI14" s="8">
        <f t="shared" si="0"/>
        <v>17</v>
      </c>
      <c r="AJ14" s="8">
        <f t="shared" si="1"/>
        <v>4</v>
      </c>
      <c r="AK14" s="29">
        <f t="shared" si="2"/>
        <v>3</v>
      </c>
      <c r="AL14" s="62">
        <v>3</v>
      </c>
      <c r="AM14" s="33">
        <f t="shared" si="3"/>
        <v>21.5</v>
      </c>
      <c r="AN14" s="63">
        <f t="shared" si="4"/>
        <v>168</v>
      </c>
      <c r="AO14" s="63">
        <f t="shared" si="5"/>
        <v>1</v>
      </c>
      <c r="AP14" s="63">
        <f t="shared" si="6"/>
        <v>4</v>
      </c>
      <c r="AQ14" s="53">
        <f t="shared" si="7"/>
        <v>21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</row>
    <row r="15" spans="1:56" ht="22" customHeight="1" x14ac:dyDescent="0.35">
      <c r="A15" s="8" t="s">
        <v>62</v>
      </c>
      <c r="B15" s="8" t="s">
        <v>63</v>
      </c>
      <c r="C15" s="8" t="s">
        <v>45</v>
      </c>
      <c r="D15" s="23" t="s">
        <v>7</v>
      </c>
      <c r="E15" s="24" t="s">
        <v>9</v>
      </c>
      <c r="F15" s="22" t="s">
        <v>5</v>
      </c>
      <c r="G15" s="22" t="s">
        <v>5</v>
      </c>
      <c r="H15" s="22" t="s">
        <v>5</v>
      </c>
      <c r="I15" s="22" t="s">
        <v>5</v>
      </c>
      <c r="J15" s="22" t="s">
        <v>5</v>
      </c>
      <c r="K15" s="23" t="s">
        <v>7</v>
      </c>
      <c r="L15" s="24" t="s">
        <v>9</v>
      </c>
      <c r="M15" s="26" t="s">
        <v>3</v>
      </c>
      <c r="N15" s="22" t="s">
        <v>5</v>
      </c>
      <c r="O15" s="22" t="s">
        <v>5</v>
      </c>
      <c r="P15" s="22" t="s">
        <v>5</v>
      </c>
      <c r="Q15" s="22" t="s">
        <v>5</v>
      </c>
      <c r="R15" s="23" t="s">
        <v>7</v>
      </c>
      <c r="S15" s="24" t="s">
        <v>9</v>
      </c>
      <c r="T15" s="22" t="s">
        <v>5</v>
      </c>
      <c r="U15" s="22" t="s">
        <v>5</v>
      </c>
      <c r="V15" s="22" t="s">
        <v>5</v>
      </c>
      <c r="W15" s="22" t="s">
        <v>5</v>
      </c>
      <c r="X15" s="22" t="s">
        <v>5</v>
      </c>
      <c r="Y15" s="23" t="s">
        <v>7</v>
      </c>
      <c r="Z15" s="24" t="s">
        <v>9</v>
      </c>
      <c r="AA15" s="22" t="s">
        <v>5</v>
      </c>
      <c r="AB15" s="22" t="s">
        <v>5</v>
      </c>
      <c r="AC15" s="22" t="s">
        <v>5</v>
      </c>
      <c r="AD15" s="22" t="s">
        <v>5</v>
      </c>
      <c r="AE15" s="26" t="s">
        <v>3</v>
      </c>
      <c r="AF15" s="23" t="s">
        <v>7</v>
      </c>
      <c r="AG15" s="24" t="s">
        <v>9</v>
      </c>
      <c r="AH15" s="26" t="s">
        <v>3</v>
      </c>
      <c r="AI15" s="8">
        <f t="shared" si="0"/>
        <v>3</v>
      </c>
      <c r="AJ15" s="25">
        <f t="shared" si="1"/>
        <v>18</v>
      </c>
      <c r="AK15" s="8">
        <f t="shared" si="2"/>
        <v>0</v>
      </c>
      <c r="AL15" s="62">
        <v>0</v>
      </c>
      <c r="AM15" s="33">
        <f t="shared" si="3"/>
        <v>3</v>
      </c>
      <c r="AN15" s="63">
        <f t="shared" si="4"/>
        <v>168</v>
      </c>
      <c r="AO15" s="63">
        <f t="shared" si="5"/>
        <v>1</v>
      </c>
      <c r="AP15" s="63">
        <f t="shared" si="6"/>
        <v>4</v>
      </c>
      <c r="AQ15" s="53">
        <f t="shared" si="7"/>
        <v>2.5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</row>
    <row r="16" spans="1:56" ht="22" customHeight="1" x14ac:dyDescent="0.35">
      <c r="A16" s="8" t="s">
        <v>64</v>
      </c>
      <c r="B16" s="8" t="s">
        <v>63</v>
      </c>
      <c r="C16" s="8" t="s">
        <v>45</v>
      </c>
      <c r="D16" s="23" t="s">
        <v>7</v>
      </c>
      <c r="E16" s="24" t="s">
        <v>9</v>
      </c>
      <c r="F16" s="22" t="s">
        <v>5</v>
      </c>
      <c r="G16" s="22" t="s">
        <v>5</v>
      </c>
      <c r="H16" s="22" t="s">
        <v>5</v>
      </c>
      <c r="I16" s="22" t="s">
        <v>5</v>
      </c>
      <c r="J16" s="22" t="s">
        <v>5</v>
      </c>
      <c r="K16" s="23" t="s">
        <v>7</v>
      </c>
      <c r="L16" s="24" t="s">
        <v>9</v>
      </c>
      <c r="M16" s="26" t="s">
        <v>3</v>
      </c>
      <c r="N16" s="26" t="s">
        <v>3</v>
      </c>
      <c r="O16" s="26" t="s">
        <v>3</v>
      </c>
      <c r="P16" s="26" t="s">
        <v>3</v>
      </c>
      <c r="Q16" s="26" t="s">
        <v>3</v>
      </c>
      <c r="R16" s="27" t="s">
        <v>7</v>
      </c>
      <c r="S16" s="28" t="s">
        <v>11</v>
      </c>
      <c r="T16" s="26" t="s">
        <v>3</v>
      </c>
      <c r="U16" s="26" t="s">
        <v>3</v>
      </c>
      <c r="V16" s="26" t="s">
        <v>3</v>
      </c>
      <c r="W16" s="26" t="s">
        <v>3</v>
      </c>
      <c r="X16" s="26" t="s">
        <v>3</v>
      </c>
      <c r="Y16" s="27" t="s">
        <v>7</v>
      </c>
      <c r="Z16" s="28" t="s">
        <v>11</v>
      </c>
      <c r="AA16" s="26" t="s">
        <v>3</v>
      </c>
      <c r="AB16" s="26" t="s">
        <v>3</v>
      </c>
      <c r="AC16" s="26" t="s">
        <v>3</v>
      </c>
      <c r="AD16" s="26" t="s">
        <v>3</v>
      </c>
      <c r="AE16" s="26" t="s">
        <v>3</v>
      </c>
      <c r="AF16" s="27" t="s">
        <v>7</v>
      </c>
      <c r="AG16" s="28" t="s">
        <v>11</v>
      </c>
      <c r="AH16" s="26" t="s">
        <v>3</v>
      </c>
      <c r="AI16" s="8">
        <f t="shared" si="0"/>
        <v>16</v>
      </c>
      <c r="AJ16" s="8">
        <f t="shared" si="1"/>
        <v>5</v>
      </c>
      <c r="AK16" s="29">
        <f t="shared" si="2"/>
        <v>3</v>
      </c>
      <c r="AL16" s="62">
        <v>3</v>
      </c>
      <c r="AM16" s="33">
        <f t="shared" si="3"/>
        <v>20.5</v>
      </c>
      <c r="AN16" s="63">
        <f t="shared" si="4"/>
        <v>168</v>
      </c>
      <c r="AO16" s="63">
        <f t="shared" si="5"/>
        <v>0</v>
      </c>
      <c r="AP16" s="63">
        <f t="shared" si="6"/>
        <v>0</v>
      </c>
      <c r="AQ16" s="53">
        <f t="shared" si="7"/>
        <v>20.5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</row>
    <row r="17" spans="1:56" ht="22" customHeight="1" x14ac:dyDescent="0.35">
      <c r="A17" s="8" t="s">
        <v>65</v>
      </c>
      <c r="B17" s="8" t="s">
        <v>66</v>
      </c>
      <c r="C17" s="8" t="s">
        <v>45</v>
      </c>
      <c r="D17" s="27" t="s">
        <v>7</v>
      </c>
      <c r="E17" s="28" t="s">
        <v>11</v>
      </c>
      <c r="F17" s="26" t="s">
        <v>3</v>
      </c>
      <c r="G17" s="26" t="s">
        <v>3</v>
      </c>
      <c r="H17" s="26" t="s">
        <v>3</v>
      </c>
      <c r="I17" s="26" t="s">
        <v>3</v>
      </c>
      <c r="J17" s="26" t="s">
        <v>3</v>
      </c>
      <c r="K17" s="27" t="s">
        <v>7</v>
      </c>
      <c r="L17" s="28" t="s">
        <v>11</v>
      </c>
      <c r="M17" s="26" t="s">
        <v>3</v>
      </c>
      <c r="N17" s="22" t="s">
        <v>5</v>
      </c>
      <c r="O17" s="26" t="s">
        <v>3</v>
      </c>
      <c r="P17" s="26" t="s">
        <v>3</v>
      </c>
      <c r="Q17" s="26" t="s">
        <v>3</v>
      </c>
      <c r="R17" s="23" t="s">
        <v>7</v>
      </c>
      <c r="S17" s="24" t="s">
        <v>9</v>
      </c>
      <c r="T17" s="26" t="s">
        <v>3</v>
      </c>
      <c r="U17" s="26" t="s">
        <v>3</v>
      </c>
      <c r="V17" s="26" t="s">
        <v>3</v>
      </c>
      <c r="W17" s="26" t="s">
        <v>3</v>
      </c>
      <c r="X17" s="26" t="s">
        <v>3</v>
      </c>
      <c r="Y17" s="27" t="s">
        <v>7</v>
      </c>
      <c r="Z17" s="28" t="s">
        <v>11</v>
      </c>
      <c r="AA17" s="26" t="s">
        <v>3</v>
      </c>
      <c r="AB17" s="26" t="s">
        <v>3</v>
      </c>
      <c r="AC17" s="26" t="s">
        <v>3</v>
      </c>
      <c r="AD17" s="26" t="s">
        <v>3</v>
      </c>
      <c r="AE17" s="26" t="s">
        <v>3</v>
      </c>
      <c r="AF17" s="27" t="s">
        <v>7</v>
      </c>
      <c r="AG17" s="28" t="s">
        <v>11</v>
      </c>
      <c r="AH17" s="26" t="s">
        <v>3</v>
      </c>
      <c r="AI17" s="8">
        <f t="shared" si="0"/>
        <v>20</v>
      </c>
      <c r="AJ17" s="8">
        <f t="shared" si="1"/>
        <v>1</v>
      </c>
      <c r="AK17" s="29">
        <f t="shared" si="2"/>
        <v>4</v>
      </c>
      <c r="AL17" s="62">
        <v>4</v>
      </c>
      <c r="AM17" s="33">
        <f t="shared" si="3"/>
        <v>26</v>
      </c>
      <c r="AN17" s="63">
        <f t="shared" si="4"/>
        <v>168</v>
      </c>
      <c r="AO17" s="63">
        <f t="shared" si="5"/>
        <v>0</v>
      </c>
      <c r="AP17" s="63">
        <f t="shared" si="6"/>
        <v>0</v>
      </c>
      <c r="AQ17" s="53">
        <f t="shared" si="7"/>
        <v>26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</row>
    <row r="18" spans="1:56" ht="22" customHeight="1" x14ac:dyDescent="0.35">
      <c r="A18" s="8" t="s">
        <v>67</v>
      </c>
      <c r="B18" s="8" t="s">
        <v>68</v>
      </c>
      <c r="C18" s="8" t="s">
        <v>45</v>
      </c>
      <c r="D18" s="23" t="s">
        <v>7</v>
      </c>
      <c r="E18" s="24" t="s">
        <v>9</v>
      </c>
      <c r="F18" s="26" t="s">
        <v>3</v>
      </c>
      <c r="G18" s="26" t="s">
        <v>3</v>
      </c>
      <c r="H18" s="26" t="s">
        <v>3</v>
      </c>
      <c r="I18" s="26" t="s">
        <v>3</v>
      </c>
      <c r="J18" s="26" t="s">
        <v>3</v>
      </c>
      <c r="K18" s="27" t="s">
        <v>7</v>
      </c>
      <c r="L18" s="28" t="s">
        <v>11</v>
      </c>
      <c r="M18" s="26" t="s">
        <v>3</v>
      </c>
      <c r="N18" s="26" t="s">
        <v>3</v>
      </c>
      <c r="O18" s="26" t="s">
        <v>3</v>
      </c>
      <c r="P18" s="26" t="s">
        <v>3</v>
      </c>
      <c r="Q18" s="26" t="s">
        <v>3</v>
      </c>
      <c r="R18" s="23" t="s">
        <v>7</v>
      </c>
      <c r="S18" s="24" t="s">
        <v>9</v>
      </c>
      <c r="T18" s="26" t="s">
        <v>3</v>
      </c>
      <c r="U18" s="26" t="s">
        <v>3</v>
      </c>
      <c r="V18" s="26" t="s">
        <v>3</v>
      </c>
      <c r="W18" s="26" t="s">
        <v>3</v>
      </c>
      <c r="X18" s="26" t="s">
        <v>3</v>
      </c>
      <c r="Y18" s="27" t="s">
        <v>7</v>
      </c>
      <c r="Z18" s="28" t="s">
        <v>11</v>
      </c>
      <c r="AA18" s="26" t="s">
        <v>3</v>
      </c>
      <c r="AB18" s="26" t="s">
        <v>3</v>
      </c>
      <c r="AC18" s="26" t="s">
        <v>3</v>
      </c>
      <c r="AD18" s="26" t="s">
        <v>3</v>
      </c>
      <c r="AE18" s="26" t="s">
        <v>3</v>
      </c>
      <c r="AF18" s="23" t="s">
        <v>7</v>
      </c>
      <c r="AG18" s="24" t="s">
        <v>9</v>
      </c>
      <c r="AH18" s="22" t="s">
        <v>5</v>
      </c>
      <c r="AI18" s="8">
        <f t="shared" si="0"/>
        <v>20</v>
      </c>
      <c r="AJ18" s="8">
        <f t="shared" si="1"/>
        <v>1</v>
      </c>
      <c r="AK18" s="29">
        <f t="shared" si="2"/>
        <v>2</v>
      </c>
      <c r="AL18" s="62">
        <v>2</v>
      </c>
      <c r="AM18" s="33">
        <f t="shared" si="3"/>
        <v>23</v>
      </c>
      <c r="AN18" s="63">
        <f t="shared" si="4"/>
        <v>168</v>
      </c>
      <c r="AO18" s="63">
        <f t="shared" si="5"/>
        <v>2</v>
      </c>
      <c r="AP18" s="63">
        <f t="shared" si="6"/>
        <v>8</v>
      </c>
      <c r="AQ18" s="53">
        <f t="shared" si="7"/>
        <v>22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</row>
    <row r="19" spans="1:56" ht="22" customHeight="1" x14ac:dyDescent="0.35">
      <c r="A19" s="8" t="s">
        <v>69</v>
      </c>
      <c r="B19" s="8" t="s">
        <v>70</v>
      </c>
      <c r="C19" s="8" t="s">
        <v>45</v>
      </c>
      <c r="D19" s="23" t="s">
        <v>7</v>
      </c>
      <c r="E19" s="24" t="s">
        <v>9</v>
      </c>
      <c r="F19" s="22" t="s">
        <v>5</v>
      </c>
      <c r="G19" s="22" t="s">
        <v>5</v>
      </c>
      <c r="H19" s="22" t="s">
        <v>5</v>
      </c>
      <c r="I19" s="22" t="s">
        <v>5</v>
      </c>
      <c r="J19" s="22" t="s">
        <v>5</v>
      </c>
      <c r="K19" s="23" t="s">
        <v>7</v>
      </c>
      <c r="L19" s="24" t="s">
        <v>9</v>
      </c>
      <c r="M19" s="26" t="s">
        <v>3</v>
      </c>
      <c r="N19" s="26" t="s">
        <v>3</v>
      </c>
      <c r="O19" s="26" t="s">
        <v>3</v>
      </c>
      <c r="P19" s="26" t="s">
        <v>3</v>
      </c>
      <c r="Q19" s="26" t="s">
        <v>3</v>
      </c>
      <c r="R19" s="27" t="s">
        <v>7</v>
      </c>
      <c r="S19" s="24" t="s">
        <v>9</v>
      </c>
      <c r="T19" s="26" t="s">
        <v>3</v>
      </c>
      <c r="U19" s="26" t="s">
        <v>3</v>
      </c>
      <c r="V19" s="26" t="s">
        <v>3</v>
      </c>
      <c r="W19" s="26" t="s">
        <v>3</v>
      </c>
      <c r="X19" s="26" t="s">
        <v>3</v>
      </c>
      <c r="Y19" s="23" t="s">
        <v>7</v>
      </c>
      <c r="Z19" s="24" t="s">
        <v>9</v>
      </c>
      <c r="AA19" s="26" t="s">
        <v>3</v>
      </c>
      <c r="AB19" s="26" t="s">
        <v>3</v>
      </c>
      <c r="AC19" s="26" t="s">
        <v>3</v>
      </c>
      <c r="AD19" s="26" t="s">
        <v>3</v>
      </c>
      <c r="AE19" s="26" t="s">
        <v>3</v>
      </c>
      <c r="AF19" s="23" t="s">
        <v>7</v>
      </c>
      <c r="AG19" s="24" t="s">
        <v>9</v>
      </c>
      <c r="AH19" s="22" t="s">
        <v>5</v>
      </c>
      <c r="AI19" s="8">
        <f t="shared" si="0"/>
        <v>15</v>
      </c>
      <c r="AJ19" s="8">
        <f t="shared" si="1"/>
        <v>6</v>
      </c>
      <c r="AK19" s="8">
        <f t="shared" si="2"/>
        <v>0</v>
      </c>
      <c r="AL19" s="62">
        <v>1</v>
      </c>
      <c r="AM19" s="33">
        <f t="shared" si="3"/>
        <v>15.5</v>
      </c>
      <c r="AN19" s="63">
        <f t="shared" si="4"/>
        <v>168</v>
      </c>
      <c r="AO19" s="63">
        <f t="shared" si="5"/>
        <v>2</v>
      </c>
      <c r="AP19" s="63">
        <f t="shared" si="6"/>
        <v>8</v>
      </c>
      <c r="AQ19" s="53">
        <f t="shared" si="7"/>
        <v>14.5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</row>
    <row r="20" spans="1:56" x14ac:dyDescent="0.35"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</row>
    <row r="21" spans="1:56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</row>
    <row r="22" spans="1:56" ht="22" customHeight="1" x14ac:dyDescent="0.35">
      <c r="A22" s="8" t="s">
        <v>72</v>
      </c>
      <c r="B22" s="8" t="s">
        <v>73</v>
      </c>
      <c r="C22" s="8" t="s">
        <v>74</v>
      </c>
      <c r="D22" s="27" t="s">
        <v>7</v>
      </c>
      <c r="E22" s="28" t="s">
        <v>11</v>
      </c>
      <c r="F22" s="26" t="s">
        <v>3</v>
      </c>
      <c r="G22" s="26" t="s">
        <v>3</v>
      </c>
      <c r="H22" s="26" t="s">
        <v>3</v>
      </c>
      <c r="I22" s="26" t="s">
        <v>3</v>
      </c>
      <c r="J22" s="26" t="s">
        <v>3</v>
      </c>
      <c r="K22" s="23" t="s">
        <v>7</v>
      </c>
      <c r="L22" s="28" t="s">
        <v>11</v>
      </c>
      <c r="M22" s="26" t="s">
        <v>3</v>
      </c>
      <c r="N22" s="26" t="s">
        <v>3</v>
      </c>
      <c r="O22" s="26" t="s">
        <v>3</v>
      </c>
      <c r="P22" s="26" t="s">
        <v>3</v>
      </c>
      <c r="Q22" s="26" t="s">
        <v>3</v>
      </c>
      <c r="R22" s="27" t="s">
        <v>7</v>
      </c>
      <c r="S22" s="28" t="s">
        <v>11</v>
      </c>
      <c r="T22" s="26" t="s">
        <v>3</v>
      </c>
      <c r="U22" s="26" t="s">
        <v>3</v>
      </c>
      <c r="V22" s="26" t="s">
        <v>3</v>
      </c>
      <c r="W22" s="26" t="s">
        <v>3</v>
      </c>
      <c r="X22" s="26" t="s">
        <v>3</v>
      </c>
      <c r="Y22" s="23" t="s">
        <v>7</v>
      </c>
      <c r="Z22" s="24" t="s">
        <v>9</v>
      </c>
      <c r="AA22" s="26" t="s">
        <v>3</v>
      </c>
      <c r="AB22" s="26" t="s">
        <v>3</v>
      </c>
      <c r="AC22" s="26" t="s">
        <v>3</v>
      </c>
      <c r="AD22" s="26" t="s">
        <v>3</v>
      </c>
      <c r="AE22" s="26" t="s">
        <v>3</v>
      </c>
      <c r="AF22" s="27" t="s">
        <v>7</v>
      </c>
      <c r="AG22" s="28" t="s">
        <v>11</v>
      </c>
      <c r="AH22" s="26" t="s">
        <v>3</v>
      </c>
      <c r="AI22" s="8">
        <f t="shared" ref="AI22:AI35" si="8">COUNTIF(D22:AH22,"ON")</f>
        <v>21</v>
      </c>
      <c r="AJ22" s="8">
        <f t="shared" ref="AJ22:AJ35" si="9">COUNTIF(D22:AH22,"OFF")</f>
        <v>0</v>
      </c>
      <c r="AK22" s="29">
        <f t="shared" ref="AK22:AK35" si="10">COUNTIF(D22:AH22,"OT")</f>
        <v>4</v>
      </c>
      <c r="AL22" s="62">
        <v>3</v>
      </c>
      <c r="AM22" s="33">
        <f t="shared" ref="AM22:AM35" si="11">AI22+AK22+AL22*0.5</f>
        <v>26.5</v>
      </c>
      <c r="AN22" s="63">
        <f t="shared" ref="AN22:AN35" si="12">NETWORKDAYS(DATE(2025,3,1),EOMONTH(DATE(2025,3,1),0))*8</f>
        <v>168</v>
      </c>
      <c r="AO22" s="63">
        <f t="shared" ref="AO22:AO35" si="13">MAX(0,COUNTIF(J22,"ON")+COUNTIF(Q22,"ON")+COUNTIF(X22,"ON")+COUNTIF(AE22,"ON")-AL22)</f>
        <v>1</v>
      </c>
      <c r="AP22" s="63">
        <f t="shared" ref="AP22:AP35" si="14">AO22*$AP$2</f>
        <v>4</v>
      </c>
      <c r="AQ22" s="53">
        <f t="shared" ref="AQ22:AQ35" si="15">AM22-AP22/8</f>
        <v>26</v>
      </c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</row>
    <row r="23" spans="1:56" ht="22" customHeight="1" x14ac:dyDescent="0.35">
      <c r="A23" s="8" t="s">
        <v>75</v>
      </c>
      <c r="B23" s="8" t="s">
        <v>76</v>
      </c>
      <c r="C23" s="8" t="s">
        <v>74</v>
      </c>
      <c r="D23" s="27" t="s">
        <v>7</v>
      </c>
      <c r="E23" s="28" t="s">
        <v>11</v>
      </c>
      <c r="F23" s="26" t="s">
        <v>3</v>
      </c>
      <c r="G23" s="26" t="s">
        <v>3</v>
      </c>
      <c r="H23" s="26" t="s">
        <v>3</v>
      </c>
      <c r="I23" s="26" t="s">
        <v>3</v>
      </c>
      <c r="J23" s="26" t="s">
        <v>3</v>
      </c>
      <c r="K23" s="23" t="s">
        <v>7</v>
      </c>
      <c r="L23" s="24" t="s">
        <v>9</v>
      </c>
      <c r="M23" s="26" t="s">
        <v>3</v>
      </c>
      <c r="N23" s="26" t="s">
        <v>3</v>
      </c>
      <c r="O23" s="26" t="s">
        <v>3</v>
      </c>
      <c r="P23" s="26" t="s">
        <v>3</v>
      </c>
      <c r="Q23" s="26" t="s">
        <v>3</v>
      </c>
      <c r="R23" s="27" t="s">
        <v>7</v>
      </c>
      <c r="S23" s="28" t="s">
        <v>11</v>
      </c>
      <c r="T23" s="26" t="s">
        <v>3</v>
      </c>
      <c r="U23" s="26" t="s">
        <v>3</v>
      </c>
      <c r="V23" s="26" t="s">
        <v>3</v>
      </c>
      <c r="W23" s="26" t="s">
        <v>3</v>
      </c>
      <c r="X23" s="26" t="s">
        <v>3</v>
      </c>
      <c r="Y23" s="23" t="s">
        <v>7</v>
      </c>
      <c r="Z23" s="24" t="s">
        <v>9</v>
      </c>
      <c r="AA23" s="26" t="s">
        <v>3</v>
      </c>
      <c r="AB23" s="26" t="s">
        <v>3</v>
      </c>
      <c r="AC23" s="26" t="s">
        <v>3</v>
      </c>
      <c r="AD23" s="26" t="s">
        <v>3</v>
      </c>
      <c r="AE23" s="26" t="s">
        <v>3</v>
      </c>
      <c r="AF23" s="27" t="s">
        <v>7</v>
      </c>
      <c r="AG23" s="28" t="s">
        <v>11</v>
      </c>
      <c r="AH23" s="26" t="s">
        <v>3</v>
      </c>
      <c r="AI23" s="8">
        <f t="shared" si="8"/>
        <v>21</v>
      </c>
      <c r="AJ23" s="8">
        <f t="shared" si="9"/>
        <v>0</v>
      </c>
      <c r="AK23" s="29">
        <f t="shared" si="10"/>
        <v>3</v>
      </c>
      <c r="AL23" s="62">
        <v>3</v>
      </c>
      <c r="AM23" s="33">
        <f t="shared" si="11"/>
        <v>25.5</v>
      </c>
      <c r="AN23" s="63">
        <f t="shared" si="12"/>
        <v>168</v>
      </c>
      <c r="AO23" s="63">
        <f t="shared" si="13"/>
        <v>1</v>
      </c>
      <c r="AP23" s="63">
        <f t="shared" si="14"/>
        <v>4</v>
      </c>
      <c r="AQ23" s="53">
        <f t="shared" si="15"/>
        <v>25</v>
      </c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</row>
    <row r="24" spans="1:56" ht="22" customHeight="1" x14ac:dyDescent="0.35">
      <c r="A24" s="8" t="s">
        <v>77</v>
      </c>
      <c r="B24" s="8" t="s">
        <v>78</v>
      </c>
      <c r="C24" s="8" t="s">
        <v>74</v>
      </c>
      <c r="D24" s="23" t="s">
        <v>7</v>
      </c>
      <c r="E24" s="24" t="s">
        <v>9</v>
      </c>
      <c r="F24" s="26" t="s">
        <v>3</v>
      </c>
      <c r="G24" s="26" t="s">
        <v>3</v>
      </c>
      <c r="H24" s="26" t="s">
        <v>3</v>
      </c>
      <c r="I24" s="26" t="s">
        <v>3</v>
      </c>
      <c r="J24" s="26" t="s">
        <v>3</v>
      </c>
      <c r="K24" s="27" t="s">
        <v>7</v>
      </c>
      <c r="L24" s="28" t="s">
        <v>11</v>
      </c>
      <c r="M24" s="26" t="s">
        <v>3</v>
      </c>
      <c r="N24" s="26" t="s">
        <v>3</v>
      </c>
      <c r="O24" s="26" t="s">
        <v>3</v>
      </c>
      <c r="P24" s="26" t="s">
        <v>3</v>
      </c>
      <c r="Q24" s="26" t="s">
        <v>3</v>
      </c>
      <c r="R24" s="23" t="s">
        <v>7</v>
      </c>
      <c r="S24" s="24" t="s">
        <v>9</v>
      </c>
      <c r="T24" s="26" t="s">
        <v>3</v>
      </c>
      <c r="U24" s="26" t="s">
        <v>3</v>
      </c>
      <c r="V24" s="26" t="s">
        <v>3</v>
      </c>
      <c r="W24" s="26" t="s">
        <v>3</v>
      </c>
      <c r="X24" s="26" t="s">
        <v>3</v>
      </c>
      <c r="Y24" s="27" t="s">
        <v>7</v>
      </c>
      <c r="Z24" s="28" t="s">
        <v>11</v>
      </c>
      <c r="AA24" s="26" t="s">
        <v>3</v>
      </c>
      <c r="AB24" s="26" t="s">
        <v>3</v>
      </c>
      <c r="AC24" s="26" t="s">
        <v>3</v>
      </c>
      <c r="AD24" s="26" t="s">
        <v>3</v>
      </c>
      <c r="AE24" s="26" t="s">
        <v>3</v>
      </c>
      <c r="AF24" s="23" t="s">
        <v>7</v>
      </c>
      <c r="AG24" s="24" t="s">
        <v>9</v>
      </c>
      <c r="AH24" s="22" t="s">
        <v>5</v>
      </c>
      <c r="AI24" s="8">
        <f t="shared" si="8"/>
        <v>20</v>
      </c>
      <c r="AJ24" s="8">
        <f t="shared" si="9"/>
        <v>1</v>
      </c>
      <c r="AK24" s="29">
        <f t="shared" si="10"/>
        <v>2</v>
      </c>
      <c r="AL24" s="62">
        <v>2</v>
      </c>
      <c r="AM24" s="33">
        <f t="shared" si="11"/>
        <v>23</v>
      </c>
      <c r="AN24" s="63">
        <f t="shared" si="12"/>
        <v>168</v>
      </c>
      <c r="AO24" s="63">
        <f t="shared" si="13"/>
        <v>2</v>
      </c>
      <c r="AP24" s="63">
        <f t="shared" si="14"/>
        <v>8</v>
      </c>
      <c r="AQ24" s="53">
        <f t="shared" si="15"/>
        <v>22</v>
      </c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</row>
    <row r="25" spans="1:56" ht="22" customHeight="1" x14ac:dyDescent="0.35">
      <c r="A25" s="8" t="s">
        <v>79</v>
      </c>
      <c r="B25" s="8" t="s">
        <v>80</v>
      </c>
      <c r="C25" s="8" t="s">
        <v>74</v>
      </c>
      <c r="D25" s="27" t="s">
        <v>7</v>
      </c>
      <c r="E25" s="28" t="s">
        <v>11</v>
      </c>
      <c r="F25" s="26" t="s">
        <v>3</v>
      </c>
      <c r="G25" s="26" t="s">
        <v>3</v>
      </c>
      <c r="H25" s="26" t="s">
        <v>3</v>
      </c>
      <c r="I25" s="26" t="s">
        <v>3</v>
      </c>
      <c r="J25" s="26" t="s">
        <v>3</v>
      </c>
      <c r="K25" s="27" t="s">
        <v>7</v>
      </c>
      <c r="L25" s="24" t="s">
        <v>9</v>
      </c>
      <c r="M25" s="26" t="s">
        <v>3</v>
      </c>
      <c r="N25" s="26" t="s">
        <v>3</v>
      </c>
      <c r="O25" s="26" t="s">
        <v>3</v>
      </c>
      <c r="P25" s="26" t="s">
        <v>3</v>
      </c>
      <c r="Q25" s="26" t="s">
        <v>3</v>
      </c>
      <c r="R25" s="27" t="s">
        <v>7</v>
      </c>
      <c r="S25" s="28" t="s">
        <v>11</v>
      </c>
      <c r="T25" s="26" t="s">
        <v>3</v>
      </c>
      <c r="U25" s="26" t="s">
        <v>3</v>
      </c>
      <c r="V25" s="26" t="s">
        <v>3</v>
      </c>
      <c r="W25" s="26" t="s">
        <v>3</v>
      </c>
      <c r="X25" s="26" t="s">
        <v>3</v>
      </c>
      <c r="Y25" s="27" t="s">
        <v>7</v>
      </c>
      <c r="Z25" s="24" t="s">
        <v>9</v>
      </c>
      <c r="AA25" s="26" t="s">
        <v>3</v>
      </c>
      <c r="AB25" s="26" t="s">
        <v>3</v>
      </c>
      <c r="AC25" s="26" t="s">
        <v>3</v>
      </c>
      <c r="AD25" s="26" t="s">
        <v>3</v>
      </c>
      <c r="AE25" s="26" t="s">
        <v>3</v>
      </c>
      <c r="AF25" s="27" t="s">
        <v>7</v>
      </c>
      <c r="AG25" s="28" t="s">
        <v>11</v>
      </c>
      <c r="AH25" s="26" t="s">
        <v>3</v>
      </c>
      <c r="AI25" s="8">
        <f t="shared" si="8"/>
        <v>21</v>
      </c>
      <c r="AJ25" s="8">
        <f t="shared" si="9"/>
        <v>0</v>
      </c>
      <c r="AK25" s="29">
        <f t="shared" si="10"/>
        <v>3</v>
      </c>
      <c r="AL25" s="62">
        <v>5</v>
      </c>
      <c r="AM25" s="33">
        <f t="shared" si="11"/>
        <v>26.5</v>
      </c>
      <c r="AN25" s="63">
        <f t="shared" si="12"/>
        <v>168</v>
      </c>
      <c r="AO25" s="63">
        <f t="shared" si="13"/>
        <v>0</v>
      </c>
      <c r="AP25" s="63">
        <f t="shared" si="14"/>
        <v>0</v>
      </c>
      <c r="AQ25" s="53">
        <f t="shared" si="15"/>
        <v>26.5</v>
      </c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</row>
    <row r="26" spans="1:56" ht="22" customHeight="1" x14ac:dyDescent="0.35">
      <c r="A26" s="8" t="s">
        <v>81</v>
      </c>
      <c r="B26" s="8" t="s">
        <v>82</v>
      </c>
      <c r="C26" s="8" t="s">
        <v>74</v>
      </c>
      <c r="D26" s="27" t="s">
        <v>7</v>
      </c>
      <c r="E26" s="28" t="s">
        <v>11</v>
      </c>
      <c r="F26" s="26" t="s">
        <v>3</v>
      </c>
      <c r="G26" s="26" t="s">
        <v>3</v>
      </c>
      <c r="H26" s="26" t="s">
        <v>3</v>
      </c>
      <c r="I26" s="26" t="s">
        <v>3</v>
      </c>
      <c r="J26" s="26" t="s">
        <v>3</v>
      </c>
      <c r="K26" s="23" t="s">
        <v>7</v>
      </c>
      <c r="L26" s="24" t="s">
        <v>9</v>
      </c>
      <c r="M26" s="26" t="s">
        <v>3</v>
      </c>
      <c r="N26" s="26" t="s">
        <v>3</v>
      </c>
      <c r="O26" s="26" t="s">
        <v>3</v>
      </c>
      <c r="P26" s="26" t="s">
        <v>3</v>
      </c>
      <c r="Q26" s="26" t="s">
        <v>3</v>
      </c>
      <c r="R26" s="27" t="s">
        <v>7</v>
      </c>
      <c r="S26" s="28" t="s">
        <v>11</v>
      </c>
      <c r="T26" s="26" t="s">
        <v>3</v>
      </c>
      <c r="U26" s="26" t="s">
        <v>3</v>
      </c>
      <c r="V26" s="26" t="s">
        <v>3</v>
      </c>
      <c r="W26" s="26" t="s">
        <v>3</v>
      </c>
      <c r="X26" s="26" t="s">
        <v>3</v>
      </c>
      <c r="Y26" s="23" t="s">
        <v>7</v>
      </c>
      <c r="Z26" s="24" t="s">
        <v>9</v>
      </c>
      <c r="AA26" s="26" t="s">
        <v>3</v>
      </c>
      <c r="AB26" s="26" t="s">
        <v>3</v>
      </c>
      <c r="AC26" s="26" t="s">
        <v>3</v>
      </c>
      <c r="AD26" s="26" t="s">
        <v>3</v>
      </c>
      <c r="AE26" s="26" t="s">
        <v>3</v>
      </c>
      <c r="AF26" s="27" t="s">
        <v>7</v>
      </c>
      <c r="AG26" s="28" t="s">
        <v>11</v>
      </c>
      <c r="AH26" s="26" t="s">
        <v>3</v>
      </c>
      <c r="AI26" s="8">
        <f t="shared" si="8"/>
        <v>21</v>
      </c>
      <c r="AJ26" s="8">
        <f t="shared" si="9"/>
        <v>0</v>
      </c>
      <c r="AK26" s="29">
        <f t="shared" si="10"/>
        <v>3</v>
      </c>
      <c r="AL26" s="62">
        <v>3</v>
      </c>
      <c r="AM26" s="33">
        <f t="shared" si="11"/>
        <v>25.5</v>
      </c>
      <c r="AN26" s="63">
        <f t="shared" si="12"/>
        <v>168</v>
      </c>
      <c r="AO26" s="63">
        <f t="shared" si="13"/>
        <v>1</v>
      </c>
      <c r="AP26" s="63">
        <f t="shared" si="14"/>
        <v>4</v>
      </c>
      <c r="AQ26" s="53">
        <f t="shared" si="15"/>
        <v>25</v>
      </c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</row>
    <row r="27" spans="1:56" ht="22" customHeight="1" x14ac:dyDescent="0.35">
      <c r="A27" s="8" t="s">
        <v>83</v>
      </c>
      <c r="B27" s="8" t="s">
        <v>84</v>
      </c>
      <c r="C27" s="8" t="s">
        <v>74</v>
      </c>
      <c r="D27" s="23" t="s">
        <v>7</v>
      </c>
      <c r="E27" s="24" t="s">
        <v>9</v>
      </c>
      <c r="F27" s="26" t="s">
        <v>3</v>
      </c>
      <c r="G27" s="26" t="s">
        <v>3</v>
      </c>
      <c r="H27" s="26" t="s">
        <v>3</v>
      </c>
      <c r="I27" s="26" t="s">
        <v>3</v>
      </c>
      <c r="J27" s="26" t="s">
        <v>3</v>
      </c>
      <c r="K27" s="27" t="s">
        <v>7</v>
      </c>
      <c r="L27" s="28" t="s">
        <v>11</v>
      </c>
      <c r="M27" s="26" t="s">
        <v>3</v>
      </c>
      <c r="N27" s="26" t="s">
        <v>3</v>
      </c>
      <c r="O27" s="26" t="s">
        <v>3</v>
      </c>
      <c r="P27" s="26" t="s">
        <v>3</v>
      </c>
      <c r="Q27" s="26" t="s">
        <v>3</v>
      </c>
      <c r="R27" s="23" t="s">
        <v>7</v>
      </c>
      <c r="S27" s="24" t="s">
        <v>9</v>
      </c>
      <c r="T27" s="26" t="s">
        <v>3</v>
      </c>
      <c r="U27" s="26" t="s">
        <v>3</v>
      </c>
      <c r="V27" s="26" t="s">
        <v>3</v>
      </c>
      <c r="W27" s="26" t="s">
        <v>3</v>
      </c>
      <c r="X27" s="26" t="s">
        <v>3</v>
      </c>
      <c r="Y27" s="27" t="s">
        <v>7</v>
      </c>
      <c r="Z27" s="28" t="s">
        <v>11</v>
      </c>
      <c r="AA27" s="26" t="s">
        <v>3</v>
      </c>
      <c r="AB27" s="26" t="s">
        <v>3</v>
      </c>
      <c r="AC27" s="26" t="s">
        <v>3</v>
      </c>
      <c r="AD27" s="26" t="s">
        <v>3</v>
      </c>
      <c r="AE27" s="26" t="s">
        <v>3</v>
      </c>
      <c r="AF27" s="23" t="s">
        <v>7</v>
      </c>
      <c r="AG27" s="24" t="s">
        <v>9</v>
      </c>
      <c r="AH27" s="22" t="s">
        <v>5</v>
      </c>
      <c r="AI27" s="8">
        <f t="shared" si="8"/>
        <v>20</v>
      </c>
      <c r="AJ27" s="8">
        <f t="shared" si="9"/>
        <v>1</v>
      </c>
      <c r="AK27" s="29">
        <f t="shared" si="10"/>
        <v>2</v>
      </c>
      <c r="AL27" s="62">
        <v>2</v>
      </c>
      <c r="AM27" s="33">
        <f t="shared" si="11"/>
        <v>23</v>
      </c>
      <c r="AN27" s="63">
        <f t="shared" si="12"/>
        <v>168</v>
      </c>
      <c r="AO27" s="63">
        <f t="shared" si="13"/>
        <v>2</v>
      </c>
      <c r="AP27" s="63">
        <f t="shared" si="14"/>
        <v>8</v>
      </c>
      <c r="AQ27" s="53">
        <f t="shared" si="15"/>
        <v>22</v>
      </c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</row>
    <row r="28" spans="1:56" ht="22" customHeight="1" x14ac:dyDescent="0.35">
      <c r="A28" s="8" t="s">
        <v>85</v>
      </c>
      <c r="B28" s="8" t="s">
        <v>86</v>
      </c>
      <c r="C28" s="8" t="s">
        <v>74</v>
      </c>
      <c r="D28" s="27" t="s">
        <v>7</v>
      </c>
      <c r="E28" s="24" t="s">
        <v>9</v>
      </c>
      <c r="F28" s="26" t="s">
        <v>3</v>
      </c>
      <c r="G28" s="26" t="s">
        <v>3</v>
      </c>
      <c r="H28" s="26" t="s">
        <v>3</v>
      </c>
      <c r="I28" s="26" t="s">
        <v>3</v>
      </c>
      <c r="J28" s="26" t="s">
        <v>3</v>
      </c>
      <c r="K28" s="27" t="s">
        <v>7</v>
      </c>
      <c r="L28" s="28" t="s">
        <v>11</v>
      </c>
      <c r="M28" s="26" t="s">
        <v>3</v>
      </c>
      <c r="N28" s="26" t="s">
        <v>3</v>
      </c>
      <c r="O28" s="26" t="s">
        <v>3</v>
      </c>
      <c r="P28" s="26" t="s">
        <v>3</v>
      </c>
      <c r="Q28" s="26" t="s">
        <v>3</v>
      </c>
      <c r="R28" s="27" t="s">
        <v>7</v>
      </c>
      <c r="S28" s="28" t="s">
        <v>11</v>
      </c>
      <c r="T28" s="26" t="s">
        <v>3</v>
      </c>
      <c r="U28" s="26" t="s">
        <v>3</v>
      </c>
      <c r="V28" s="26" t="s">
        <v>3</v>
      </c>
      <c r="W28" s="26" t="s">
        <v>3</v>
      </c>
      <c r="X28" s="26" t="s">
        <v>3</v>
      </c>
      <c r="Y28" s="27" t="s">
        <v>7</v>
      </c>
      <c r="Z28" s="28" t="s">
        <v>11</v>
      </c>
      <c r="AA28" s="26" t="s">
        <v>3</v>
      </c>
      <c r="AB28" s="26" t="s">
        <v>3</v>
      </c>
      <c r="AC28" s="26" t="s">
        <v>3</v>
      </c>
      <c r="AD28" s="26" t="s">
        <v>3</v>
      </c>
      <c r="AE28" s="26" t="s">
        <v>3</v>
      </c>
      <c r="AF28" s="27" t="s">
        <v>7</v>
      </c>
      <c r="AG28" s="28" t="s">
        <v>11</v>
      </c>
      <c r="AH28" s="26" t="s">
        <v>3</v>
      </c>
      <c r="AI28" s="8">
        <f t="shared" si="8"/>
        <v>21</v>
      </c>
      <c r="AJ28" s="8">
        <f t="shared" si="9"/>
        <v>0</v>
      </c>
      <c r="AK28" s="29">
        <f t="shared" si="10"/>
        <v>4</v>
      </c>
      <c r="AL28" s="62">
        <v>5</v>
      </c>
      <c r="AM28" s="33">
        <f t="shared" si="11"/>
        <v>27.5</v>
      </c>
      <c r="AN28" s="63">
        <f t="shared" si="12"/>
        <v>168</v>
      </c>
      <c r="AO28" s="63">
        <f t="shared" si="13"/>
        <v>0</v>
      </c>
      <c r="AP28" s="63">
        <f t="shared" si="14"/>
        <v>0</v>
      </c>
      <c r="AQ28" s="53">
        <f t="shared" si="15"/>
        <v>27.5</v>
      </c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</row>
    <row r="29" spans="1:56" ht="22" customHeight="1" x14ac:dyDescent="0.35">
      <c r="A29" s="8" t="s">
        <v>87</v>
      </c>
      <c r="B29" s="8" t="s">
        <v>88</v>
      </c>
      <c r="C29" s="8" t="s">
        <v>74</v>
      </c>
      <c r="D29" s="27" t="s">
        <v>7</v>
      </c>
      <c r="E29" s="28" t="s">
        <v>11</v>
      </c>
      <c r="F29" s="26" t="s">
        <v>3</v>
      </c>
      <c r="G29" s="26" t="s">
        <v>3</v>
      </c>
      <c r="H29" s="26" t="s">
        <v>3</v>
      </c>
      <c r="I29" s="26" t="s">
        <v>3</v>
      </c>
      <c r="J29" s="26" t="s">
        <v>3</v>
      </c>
      <c r="K29" s="27" t="s">
        <v>7</v>
      </c>
      <c r="L29" s="24" t="s">
        <v>9</v>
      </c>
      <c r="M29" s="26" t="s">
        <v>3</v>
      </c>
      <c r="N29" s="26" t="s">
        <v>3</v>
      </c>
      <c r="O29" s="26" t="s">
        <v>3</v>
      </c>
      <c r="P29" s="26" t="s">
        <v>3</v>
      </c>
      <c r="Q29" s="26" t="s">
        <v>3</v>
      </c>
      <c r="R29" s="27" t="s">
        <v>7</v>
      </c>
      <c r="S29" s="28" t="s">
        <v>11</v>
      </c>
      <c r="T29" s="26" t="s">
        <v>3</v>
      </c>
      <c r="U29" s="26" t="s">
        <v>3</v>
      </c>
      <c r="V29" s="26" t="s">
        <v>3</v>
      </c>
      <c r="W29" s="26" t="s">
        <v>3</v>
      </c>
      <c r="X29" s="26" t="s">
        <v>3</v>
      </c>
      <c r="Y29" s="27" t="s">
        <v>7</v>
      </c>
      <c r="Z29" s="24" t="s">
        <v>9</v>
      </c>
      <c r="AA29" s="26" t="s">
        <v>3</v>
      </c>
      <c r="AB29" s="26" t="s">
        <v>3</v>
      </c>
      <c r="AC29" s="26" t="s">
        <v>3</v>
      </c>
      <c r="AD29" s="26" t="s">
        <v>3</v>
      </c>
      <c r="AE29" s="26" t="s">
        <v>3</v>
      </c>
      <c r="AF29" s="27" t="s">
        <v>7</v>
      </c>
      <c r="AG29" s="28" t="s">
        <v>11</v>
      </c>
      <c r="AH29" s="26" t="s">
        <v>3</v>
      </c>
      <c r="AI29" s="8">
        <f t="shared" si="8"/>
        <v>21</v>
      </c>
      <c r="AJ29" s="8">
        <f t="shared" si="9"/>
        <v>0</v>
      </c>
      <c r="AK29" s="29">
        <f t="shared" si="10"/>
        <v>3</v>
      </c>
      <c r="AL29" s="62">
        <v>5</v>
      </c>
      <c r="AM29" s="33">
        <f t="shared" si="11"/>
        <v>26.5</v>
      </c>
      <c r="AN29" s="63">
        <f t="shared" si="12"/>
        <v>168</v>
      </c>
      <c r="AO29" s="63">
        <f t="shared" si="13"/>
        <v>0</v>
      </c>
      <c r="AP29" s="63">
        <f t="shared" si="14"/>
        <v>0</v>
      </c>
      <c r="AQ29" s="53">
        <f t="shared" si="15"/>
        <v>26.5</v>
      </c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</row>
    <row r="30" spans="1:56" ht="22" customHeight="1" x14ac:dyDescent="0.35">
      <c r="A30" s="8" t="s">
        <v>89</v>
      </c>
      <c r="B30" s="8" t="s">
        <v>90</v>
      </c>
      <c r="C30" s="8" t="s">
        <v>74</v>
      </c>
      <c r="D30" s="23" t="s">
        <v>7</v>
      </c>
      <c r="E30" s="24" t="s">
        <v>9</v>
      </c>
      <c r="F30" s="26" t="s">
        <v>3</v>
      </c>
      <c r="G30" s="26" t="s">
        <v>3</v>
      </c>
      <c r="H30" s="26" t="s">
        <v>3</v>
      </c>
      <c r="I30" s="26" t="s">
        <v>3</v>
      </c>
      <c r="J30" s="26" t="s">
        <v>3</v>
      </c>
      <c r="K30" s="27" t="s">
        <v>7</v>
      </c>
      <c r="L30" s="24" t="s">
        <v>9</v>
      </c>
      <c r="M30" s="26" t="s">
        <v>3</v>
      </c>
      <c r="N30" s="26" t="s">
        <v>3</v>
      </c>
      <c r="O30" s="26" t="s">
        <v>3</v>
      </c>
      <c r="P30" s="26" t="s">
        <v>3</v>
      </c>
      <c r="Q30" s="26" t="s">
        <v>3</v>
      </c>
      <c r="R30" s="23" t="s">
        <v>7</v>
      </c>
      <c r="S30" s="24" t="s">
        <v>9</v>
      </c>
      <c r="T30" s="26" t="s">
        <v>3</v>
      </c>
      <c r="U30" s="26" t="s">
        <v>3</v>
      </c>
      <c r="V30" s="26" t="s">
        <v>3</v>
      </c>
      <c r="W30" s="26" t="s">
        <v>3</v>
      </c>
      <c r="X30" s="26" t="s">
        <v>3</v>
      </c>
      <c r="Y30" s="27" t="s">
        <v>7</v>
      </c>
      <c r="Z30" s="28" t="s">
        <v>11</v>
      </c>
      <c r="AA30" s="26" t="s">
        <v>3</v>
      </c>
      <c r="AB30" s="26" t="s">
        <v>3</v>
      </c>
      <c r="AC30" s="26" t="s">
        <v>3</v>
      </c>
      <c r="AD30" s="26" t="s">
        <v>3</v>
      </c>
      <c r="AE30" s="26" t="s">
        <v>3</v>
      </c>
      <c r="AF30" s="23" t="s">
        <v>7</v>
      </c>
      <c r="AG30" s="24" t="s">
        <v>9</v>
      </c>
      <c r="AH30" s="22" t="s">
        <v>5</v>
      </c>
      <c r="AI30" s="8">
        <f t="shared" si="8"/>
        <v>20</v>
      </c>
      <c r="AJ30" s="8">
        <f t="shared" si="9"/>
        <v>1</v>
      </c>
      <c r="AK30" s="29">
        <f t="shared" si="10"/>
        <v>1</v>
      </c>
      <c r="AL30" s="62">
        <v>2</v>
      </c>
      <c r="AM30" s="33">
        <f t="shared" si="11"/>
        <v>22</v>
      </c>
      <c r="AN30" s="63">
        <f t="shared" si="12"/>
        <v>168</v>
      </c>
      <c r="AO30" s="63">
        <f t="shared" si="13"/>
        <v>2</v>
      </c>
      <c r="AP30" s="63">
        <f t="shared" si="14"/>
        <v>8</v>
      </c>
      <c r="AQ30" s="53">
        <f t="shared" si="15"/>
        <v>21</v>
      </c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</row>
    <row r="31" spans="1:56" ht="22" customHeight="1" x14ac:dyDescent="0.35">
      <c r="A31" s="8" t="s">
        <v>91</v>
      </c>
      <c r="B31" s="8" t="s">
        <v>92</v>
      </c>
      <c r="C31" s="8" t="s">
        <v>74</v>
      </c>
      <c r="D31" s="27" t="s">
        <v>7</v>
      </c>
      <c r="E31" s="28" t="s">
        <v>11</v>
      </c>
      <c r="F31" s="22" t="s">
        <v>5</v>
      </c>
      <c r="G31" s="22" t="s">
        <v>5</v>
      </c>
      <c r="H31" s="22" t="s">
        <v>5</v>
      </c>
      <c r="I31" s="22" t="s">
        <v>5</v>
      </c>
      <c r="J31" s="22" t="s">
        <v>5</v>
      </c>
      <c r="K31" s="23" t="s">
        <v>7</v>
      </c>
      <c r="L31" s="24" t="s">
        <v>9</v>
      </c>
      <c r="M31" s="22" t="s">
        <v>5</v>
      </c>
      <c r="N31" s="26" t="s">
        <v>3</v>
      </c>
      <c r="O31" s="26" t="s">
        <v>3</v>
      </c>
      <c r="P31" s="26" t="s">
        <v>3</v>
      </c>
      <c r="Q31" s="26" t="s">
        <v>3</v>
      </c>
      <c r="R31" s="27" t="s">
        <v>7</v>
      </c>
      <c r="S31" s="28" t="s">
        <v>11</v>
      </c>
      <c r="T31" s="26" t="s">
        <v>3</v>
      </c>
      <c r="U31" s="26" t="s">
        <v>3</v>
      </c>
      <c r="V31" s="26" t="s">
        <v>3</v>
      </c>
      <c r="W31" s="26" t="s">
        <v>3</v>
      </c>
      <c r="X31" s="26" t="s">
        <v>3</v>
      </c>
      <c r="Y31" s="23" t="s">
        <v>7</v>
      </c>
      <c r="Z31" s="24" t="s">
        <v>9</v>
      </c>
      <c r="AA31" s="26" t="s">
        <v>3</v>
      </c>
      <c r="AB31" s="26" t="s">
        <v>3</v>
      </c>
      <c r="AC31" s="26" t="s">
        <v>3</v>
      </c>
      <c r="AD31" s="26" t="s">
        <v>3</v>
      </c>
      <c r="AE31" s="26" t="s">
        <v>3</v>
      </c>
      <c r="AF31" s="27" t="s">
        <v>7</v>
      </c>
      <c r="AG31" s="28" t="s">
        <v>11</v>
      </c>
      <c r="AH31" s="26" t="s">
        <v>3</v>
      </c>
      <c r="AI31" s="8">
        <f t="shared" si="8"/>
        <v>15</v>
      </c>
      <c r="AJ31" s="8">
        <f t="shared" si="9"/>
        <v>6</v>
      </c>
      <c r="AK31" s="29">
        <f t="shared" si="10"/>
        <v>3</v>
      </c>
      <c r="AL31" s="62">
        <v>3</v>
      </c>
      <c r="AM31" s="33">
        <f t="shared" si="11"/>
        <v>19.5</v>
      </c>
      <c r="AN31" s="63">
        <f t="shared" si="12"/>
        <v>168</v>
      </c>
      <c r="AO31" s="63">
        <f t="shared" si="13"/>
        <v>0</v>
      </c>
      <c r="AP31" s="63">
        <f t="shared" si="14"/>
        <v>0</v>
      </c>
      <c r="AQ31" s="53">
        <f t="shared" si="15"/>
        <v>19.5</v>
      </c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 spans="1:56" ht="22" customHeight="1" x14ac:dyDescent="0.35">
      <c r="A32" s="8" t="s">
        <v>93</v>
      </c>
      <c r="B32" s="8" t="s">
        <v>94</v>
      </c>
      <c r="C32" s="8" t="s">
        <v>74</v>
      </c>
      <c r="D32" s="23" t="s">
        <v>7</v>
      </c>
      <c r="E32" s="24" t="s">
        <v>9</v>
      </c>
      <c r="F32" s="26" t="s">
        <v>3</v>
      </c>
      <c r="G32" s="26" t="s">
        <v>3</v>
      </c>
      <c r="H32" s="26" t="s">
        <v>3</v>
      </c>
      <c r="I32" s="26" t="s">
        <v>3</v>
      </c>
      <c r="J32" s="26" t="s">
        <v>3</v>
      </c>
      <c r="K32" s="27" t="s">
        <v>7</v>
      </c>
      <c r="L32" s="28" t="s">
        <v>11</v>
      </c>
      <c r="M32" s="26" t="s">
        <v>3</v>
      </c>
      <c r="N32" s="26" t="s">
        <v>3</v>
      </c>
      <c r="O32" s="26" t="s">
        <v>3</v>
      </c>
      <c r="P32" s="26" t="s">
        <v>3</v>
      </c>
      <c r="Q32" s="26" t="s">
        <v>3</v>
      </c>
      <c r="R32" s="23" t="s">
        <v>7</v>
      </c>
      <c r="S32" s="24" t="s">
        <v>9</v>
      </c>
      <c r="T32" s="26" t="s">
        <v>3</v>
      </c>
      <c r="U32" s="26" t="s">
        <v>3</v>
      </c>
      <c r="V32" s="26" t="s">
        <v>3</v>
      </c>
      <c r="W32" s="26" t="s">
        <v>3</v>
      </c>
      <c r="X32" s="26" t="s">
        <v>3</v>
      </c>
      <c r="Y32" s="27" t="s">
        <v>7</v>
      </c>
      <c r="Z32" s="28" t="s">
        <v>11</v>
      </c>
      <c r="AA32" s="26" t="s">
        <v>3</v>
      </c>
      <c r="AB32" s="26" t="s">
        <v>3</v>
      </c>
      <c r="AC32" s="26" t="s">
        <v>3</v>
      </c>
      <c r="AD32" s="26" t="s">
        <v>3</v>
      </c>
      <c r="AE32" s="26" t="s">
        <v>3</v>
      </c>
      <c r="AF32" s="23" t="s">
        <v>7</v>
      </c>
      <c r="AG32" s="24" t="s">
        <v>9</v>
      </c>
      <c r="AH32" s="22" t="s">
        <v>5</v>
      </c>
      <c r="AI32" s="8">
        <f t="shared" si="8"/>
        <v>20</v>
      </c>
      <c r="AJ32" s="8">
        <f t="shared" si="9"/>
        <v>1</v>
      </c>
      <c r="AK32" s="29">
        <f t="shared" si="10"/>
        <v>2</v>
      </c>
      <c r="AL32" s="62">
        <v>2</v>
      </c>
      <c r="AM32" s="33">
        <f t="shared" si="11"/>
        <v>23</v>
      </c>
      <c r="AN32" s="63">
        <f t="shared" si="12"/>
        <v>168</v>
      </c>
      <c r="AO32" s="63">
        <f t="shared" si="13"/>
        <v>2</v>
      </c>
      <c r="AP32" s="63">
        <f t="shared" si="14"/>
        <v>8</v>
      </c>
      <c r="AQ32" s="53">
        <f t="shared" si="15"/>
        <v>22</v>
      </c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</row>
    <row r="33" spans="1:56" ht="22" customHeight="1" x14ac:dyDescent="0.35">
      <c r="A33" s="8" t="s">
        <v>95</v>
      </c>
      <c r="B33" s="8" t="s">
        <v>96</v>
      </c>
      <c r="C33" s="8" t="s">
        <v>74</v>
      </c>
      <c r="D33" s="23" t="s">
        <v>7</v>
      </c>
      <c r="E33" s="24" t="s">
        <v>9</v>
      </c>
      <c r="F33" s="22" t="s">
        <v>5</v>
      </c>
      <c r="G33" s="22" t="s">
        <v>5</v>
      </c>
      <c r="H33" s="22" t="s">
        <v>5</v>
      </c>
      <c r="I33" s="22" t="s">
        <v>5</v>
      </c>
      <c r="J33" s="22" t="s">
        <v>5</v>
      </c>
      <c r="K33" s="23" t="s">
        <v>7</v>
      </c>
      <c r="L33" s="24" t="s">
        <v>9</v>
      </c>
      <c r="M33" s="22" t="s">
        <v>5</v>
      </c>
      <c r="N33" s="22" t="s">
        <v>5</v>
      </c>
      <c r="O33" s="22" t="s">
        <v>5</v>
      </c>
      <c r="P33" s="22" t="s">
        <v>5</v>
      </c>
      <c r="Q33" s="22" t="s">
        <v>5</v>
      </c>
      <c r="R33" s="23" t="s">
        <v>7</v>
      </c>
      <c r="S33" s="24" t="s">
        <v>9</v>
      </c>
      <c r="T33" s="22" t="s">
        <v>5</v>
      </c>
      <c r="U33" s="22" t="s">
        <v>5</v>
      </c>
      <c r="V33" s="22" t="s">
        <v>5</v>
      </c>
      <c r="W33" s="22" t="s">
        <v>5</v>
      </c>
      <c r="X33" s="22" t="s">
        <v>5</v>
      </c>
      <c r="Y33" s="23" t="s">
        <v>7</v>
      </c>
      <c r="Z33" s="24" t="s">
        <v>9</v>
      </c>
      <c r="AA33" s="22" t="s">
        <v>5</v>
      </c>
      <c r="AB33" s="22" t="s">
        <v>5</v>
      </c>
      <c r="AC33" s="22" t="s">
        <v>5</v>
      </c>
      <c r="AD33" s="22" t="s">
        <v>5</v>
      </c>
      <c r="AE33" s="22" t="s">
        <v>5</v>
      </c>
      <c r="AF33" s="23" t="s">
        <v>7</v>
      </c>
      <c r="AG33" s="24" t="s">
        <v>9</v>
      </c>
      <c r="AH33" s="22" t="s">
        <v>5</v>
      </c>
      <c r="AI33" s="8">
        <f t="shared" si="8"/>
        <v>0</v>
      </c>
      <c r="AJ33" s="25">
        <f t="shared" si="9"/>
        <v>21</v>
      </c>
      <c r="AK33" s="8">
        <f t="shared" si="10"/>
        <v>0</v>
      </c>
      <c r="AL33" s="62">
        <v>0</v>
      </c>
      <c r="AM33" s="33">
        <f t="shared" si="11"/>
        <v>0</v>
      </c>
      <c r="AN33" s="63">
        <f t="shared" si="12"/>
        <v>168</v>
      </c>
      <c r="AO33" s="63">
        <f t="shared" si="13"/>
        <v>0</v>
      </c>
      <c r="AP33" s="63">
        <f t="shared" si="14"/>
        <v>0</v>
      </c>
      <c r="AQ33" s="53">
        <f t="shared" si="15"/>
        <v>0</v>
      </c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</row>
    <row r="34" spans="1:56" ht="22" customHeight="1" x14ac:dyDescent="0.35">
      <c r="A34" s="8" t="s">
        <v>97</v>
      </c>
      <c r="B34" s="8" t="s">
        <v>98</v>
      </c>
      <c r="C34" s="8" t="s">
        <v>74</v>
      </c>
      <c r="D34" s="23" t="s">
        <v>7</v>
      </c>
      <c r="E34" s="24" t="s">
        <v>9</v>
      </c>
      <c r="F34" s="22" t="s">
        <v>5</v>
      </c>
      <c r="G34" s="22" t="s">
        <v>5</v>
      </c>
      <c r="H34" s="22" t="s">
        <v>5</v>
      </c>
      <c r="I34" s="22" t="s">
        <v>5</v>
      </c>
      <c r="J34" s="22" t="s">
        <v>5</v>
      </c>
      <c r="K34" s="23" t="s">
        <v>7</v>
      </c>
      <c r="L34" s="24" t="s">
        <v>9</v>
      </c>
      <c r="M34" s="22" t="s">
        <v>5</v>
      </c>
      <c r="N34" s="22" t="s">
        <v>5</v>
      </c>
      <c r="O34" s="22" t="s">
        <v>5</v>
      </c>
      <c r="P34" s="22" t="s">
        <v>5</v>
      </c>
      <c r="Q34" s="22" t="s">
        <v>5</v>
      </c>
      <c r="R34" s="23" t="s">
        <v>7</v>
      </c>
      <c r="S34" s="24" t="s">
        <v>9</v>
      </c>
      <c r="T34" s="22" t="s">
        <v>5</v>
      </c>
      <c r="U34" s="22" t="s">
        <v>5</v>
      </c>
      <c r="V34" s="22" t="s">
        <v>5</v>
      </c>
      <c r="W34" s="22" t="s">
        <v>5</v>
      </c>
      <c r="X34" s="22" t="s">
        <v>5</v>
      </c>
      <c r="Y34" s="23" t="s">
        <v>7</v>
      </c>
      <c r="Z34" s="24" t="s">
        <v>9</v>
      </c>
      <c r="AA34" s="22" t="s">
        <v>5</v>
      </c>
      <c r="AB34" s="22" t="s">
        <v>5</v>
      </c>
      <c r="AC34" s="22" t="s">
        <v>5</v>
      </c>
      <c r="AD34" s="22" t="s">
        <v>5</v>
      </c>
      <c r="AE34" s="22" t="s">
        <v>5</v>
      </c>
      <c r="AF34" s="23" t="s">
        <v>7</v>
      </c>
      <c r="AG34" s="24" t="s">
        <v>9</v>
      </c>
      <c r="AH34" s="22" t="s">
        <v>5</v>
      </c>
      <c r="AI34" s="8">
        <f t="shared" si="8"/>
        <v>0</v>
      </c>
      <c r="AJ34" s="25">
        <f t="shared" si="9"/>
        <v>21</v>
      </c>
      <c r="AK34" s="8">
        <f t="shared" si="10"/>
        <v>0</v>
      </c>
      <c r="AL34" s="62">
        <v>0</v>
      </c>
      <c r="AM34" s="33">
        <f t="shared" si="11"/>
        <v>0</v>
      </c>
      <c r="AN34" s="63">
        <f t="shared" si="12"/>
        <v>168</v>
      </c>
      <c r="AO34" s="63">
        <f t="shared" si="13"/>
        <v>0</v>
      </c>
      <c r="AP34" s="63">
        <f t="shared" si="14"/>
        <v>0</v>
      </c>
      <c r="AQ34" s="53">
        <f t="shared" si="15"/>
        <v>0</v>
      </c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</row>
    <row r="35" spans="1:56" ht="22" customHeight="1" x14ac:dyDescent="0.35">
      <c r="A35" s="8" t="s">
        <v>99</v>
      </c>
      <c r="B35" s="8" t="s">
        <v>100</v>
      </c>
      <c r="C35" s="8" t="s">
        <v>74</v>
      </c>
      <c r="D35" s="27" t="s">
        <v>7</v>
      </c>
      <c r="E35" s="24" t="s">
        <v>9</v>
      </c>
      <c r="F35" s="26" t="s">
        <v>3</v>
      </c>
      <c r="G35" s="26" t="s">
        <v>3</v>
      </c>
      <c r="H35" s="26" t="s">
        <v>3</v>
      </c>
      <c r="I35" s="26" t="s">
        <v>3</v>
      </c>
      <c r="J35" s="26" t="s">
        <v>3</v>
      </c>
      <c r="K35" s="27" t="s">
        <v>7</v>
      </c>
      <c r="L35" s="24" t="s">
        <v>9</v>
      </c>
      <c r="M35" s="26" t="s">
        <v>3</v>
      </c>
      <c r="N35" s="26" t="s">
        <v>3</v>
      </c>
      <c r="O35" s="26" t="s">
        <v>3</v>
      </c>
      <c r="P35" s="26" t="s">
        <v>3</v>
      </c>
      <c r="Q35" s="26" t="s">
        <v>3</v>
      </c>
      <c r="R35" s="27" t="s">
        <v>7</v>
      </c>
      <c r="S35" s="24" t="s">
        <v>9</v>
      </c>
      <c r="T35" s="26" t="s">
        <v>3</v>
      </c>
      <c r="U35" s="26" t="s">
        <v>3</v>
      </c>
      <c r="V35" s="26" t="s">
        <v>3</v>
      </c>
      <c r="W35" s="26" t="s">
        <v>3</v>
      </c>
      <c r="X35" s="26" t="s">
        <v>3</v>
      </c>
      <c r="Y35" s="27" t="s">
        <v>7</v>
      </c>
      <c r="Z35" s="24" t="s">
        <v>9</v>
      </c>
      <c r="AA35" s="26" t="s">
        <v>3</v>
      </c>
      <c r="AB35" s="26" t="s">
        <v>3</v>
      </c>
      <c r="AC35" s="26" t="s">
        <v>3</v>
      </c>
      <c r="AD35" s="26" t="s">
        <v>3</v>
      </c>
      <c r="AE35" s="26" t="s">
        <v>3</v>
      </c>
      <c r="AF35" s="23" t="s">
        <v>7</v>
      </c>
      <c r="AG35" s="24" t="s">
        <v>9</v>
      </c>
      <c r="AH35" s="26" t="s">
        <v>3</v>
      </c>
      <c r="AI35" s="8">
        <f t="shared" si="8"/>
        <v>21</v>
      </c>
      <c r="AJ35" s="8">
        <f t="shared" si="9"/>
        <v>0</v>
      </c>
      <c r="AK35" s="8">
        <f t="shared" si="10"/>
        <v>0</v>
      </c>
      <c r="AL35" s="62">
        <v>4</v>
      </c>
      <c r="AM35" s="33">
        <f t="shared" si="11"/>
        <v>23</v>
      </c>
      <c r="AN35" s="63">
        <f t="shared" si="12"/>
        <v>168</v>
      </c>
      <c r="AO35" s="63">
        <f t="shared" si="13"/>
        <v>0</v>
      </c>
      <c r="AP35" s="63">
        <f t="shared" si="14"/>
        <v>0</v>
      </c>
      <c r="AQ35" s="53">
        <f t="shared" si="15"/>
        <v>23</v>
      </c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</row>
    <row r="36" spans="1:56" x14ac:dyDescent="0.35"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</row>
    <row r="37" spans="1:56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</row>
    <row r="38" spans="1:56" ht="22" customHeight="1" x14ac:dyDescent="0.35">
      <c r="A38" s="8" t="s">
        <v>102</v>
      </c>
      <c r="B38" s="8" t="s">
        <v>103</v>
      </c>
      <c r="C38" s="8" t="s">
        <v>104</v>
      </c>
      <c r="D38" s="27" t="s">
        <v>7</v>
      </c>
      <c r="E38" s="28" t="s">
        <v>11</v>
      </c>
      <c r="F38" s="26" t="s">
        <v>3</v>
      </c>
      <c r="G38" s="26" t="s">
        <v>3</v>
      </c>
      <c r="H38" s="26" t="s">
        <v>3</v>
      </c>
      <c r="I38" s="26" t="s">
        <v>3</v>
      </c>
      <c r="J38" s="26" t="s">
        <v>3</v>
      </c>
      <c r="K38" s="27" t="s">
        <v>7</v>
      </c>
      <c r="L38" s="28" t="s">
        <v>11</v>
      </c>
      <c r="M38" s="26" t="s">
        <v>3</v>
      </c>
      <c r="N38" s="22" t="s">
        <v>5</v>
      </c>
      <c r="O38" s="26" t="s">
        <v>3</v>
      </c>
      <c r="P38" s="26" t="s">
        <v>3</v>
      </c>
      <c r="Q38" s="26" t="s">
        <v>3</v>
      </c>
      <c r="R38" s="27" t="s">
        <v>7</v>
      </c>
      <c r="S38" s="24" t="s">
        <v>9</v>
      </c>
      <c r="T38" s="26" t="s">
        <v>3</v>
      </c>
      <c r="U38" s="26" t="s">
        <v>3</v>
      </c>
      <c r="V38" s="26" t="s">
        <v>3</v>
      </c>
      <c r="W38" s="26" t="s">
        <v>3</v>
      </c>
      <c r="X38" s="26" t="s">
        <v>3</v>
      </c>
      <c r="Y38" s="27" t="s">
        <v>7</v>
      </c>
      <c r="Z38" s="28" t="s">
        <v>11</v>
      </c>
      <c r="AA38" s="26" t="s">
        <v>3</v>
      </c>
      <c r="AB38" s="22" t="s">
        <v>5</v>
      </c>
      <c r="AC38" s="22" t="s">
        <v>5</v>
      </c>
      <c r="AD38" s="26" t="s">
        <v>3</v>
      </c>
      <c r="AE38" s="26" t="s">
        <v>3</v>
      </c>
      <c r="AF38" s="27" t="s">
        <v>7</v>
      </c>
      <c r="AG38" s="28" t="s">
        <v>11</v>
      </c>
      <c r="AH38" s="26" t="s">
        <v>3</v>
      </c>
      <c r="AI38" s="8">
        <f t="shared" ref="AI38:AI74" si="16">COUNTIF(D38:AH38,"ON")</f>
        <v>18</v>
      </c>
      <c r="AJ38" s="8">
        <f t="shared" ref="AJ38:AJ74" si="17">COUNTIF(D38:AH38,"OFF")</f>
        <v>3</v>
      </c>
      <c r="AK38" s="29">
        <f t="shared" ref="AK38:AK74" si="18">COUNTIF(D38:AH38,"OT")</f>
        <v>4</v>
      </c>
      <c r="AL38" s="62">
        <v>5</v>
      </c>
      <c r="AM38" s="33">
        <f t="shared" ref="AM38:AM74" si="19">AI38+AK38+AL38*0.5</f>
        <v>24.5</v>
      </c>
      <c r="AN38" s="63">
        <f t="shared" ref="AN38:AN74" si="20">NETWORKDAYS(DATE(2025,3,1),EOMONTH(DATE(2025,3,1),0))*8</f>
        <v>168</v>
      </c>
      <c r="AO38" s="63">
        <f t="shared" ref="AO38:AO74" si="21">MAX(0,COUNTIF(J38,"ON")+COUNTIF(Q38,"ON")+COUNTIF(X38,"ON")+COUNTIF(AE38,"ON")-AL38)</f>
        <v>0</v>
      </c>
      <c r="AP38" s="63">
        <f t="shared" ref="AP38:AP74" si="22">AO38*$AP$2</f>
        <v>0</v>
      </c>
      <c r="AQ38" s="53">
        <f t="shared" ref="AQ38:AQ74" si="23">AM38-AP38/8</f>
        <v>24.5</v>
      </c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</row>
    <row r="39" spans="1:56" ht="22" customHeight="1" x14ac:dyDescent="0.35">
      <c r="A39" s="8" t="s">
        <v>105</v>
      </c>
      <c r="B39" s="8" t="s">
        <v>106</v>
      </c>
      <c r="C39" s="8" t="s">
        <v>104</v>
      </c>
      <c r="D39" s="27" t="s">
        <v>7</v>
      </c>
      <c r="E39" s="28" t="s">
        <v>11</v>
      </c>
      <c r="F39" s="26" t="s">
        <v>3</v>
      </c>
      <c r="G39" s="26" t="s">
        <v>3</v>
      </c>
      <c r="H39" s="26" t="s">
        <v>3</v>
      </c>
      <c r="I39" s="26" t="s">
        <v>3</v>
      </c>
      <c r="J39" s="26" t="s">
        <v>3</v>
      </c>
      <c r="K39" s="27" t="s">
        <v>7</v>
      </c>
      <c r="L39" s="28" t="s">
        <v>11</v>
      </c>
      <c r="M39" s="26" t="s">
        <v>3</v>
      </c>
      <c r="N39" s="26" t="s">
        <v>3</v>
      </c>
      <c r="O39" s="26" t="s">
        <v>3</v>
      </c>
      <c r="P39" s="26" t="s">
        <v>3</v>
      </c>
      <c r="Q39" s="26" t="s">
        <v>3</v>
      </c>
      <c r="R39" s="27" t="s">
        <v>7</v>
      </c>
      <c r="S39" s="28" t="s">
        <v>11</v>
      </c>
      <c r="T39" s="26" t="s">
        <v>3</v>
      </c>
      <c r="U39" s="26" t="s">
        <v>3</v>
      </c>
      <c r="V39" s="26" t="s">
        <v>3</v>
      </c>
      <c r="W39" s="22" t="s">
        <v>5</v>
      </c>
      <c r="X39" s="22" t="s">
        <v>5</v>
      </c>
      <c r="Y39" s="23" t="s">
        <v>7</v>
      </c>
      <c r="Z39" s="24" t="s">
        <v>9</v>
      </c>
      <c r="AA39" s="22" t="s">
        <v>5</v>
      </c>
      <c r="AB39" s="22" t="s">
        <v>5</v>
      </c>
      <c r="AC39" s="22" t="s">
        <v>5</v>
      </c>
      <c r="AD39" s="22" t="s">
        <v>5</v>
      </c>
      <c r="AE39" s="22" t="s">
        <v>5</v>
      </c>
      <c r="AF39" s="23" t="s">
        <v>7</v>
      </c>
      <c r="AG39" s="24" t="s">
        <v>9</v>
      </c>
      <c r="AH39" s="22" t="s">
        <v>5</v>
      </c>
      <c r="AI39" s="8">
        <f t="shared" si="16"/>
        <v>13</v>
      </c>
      <c r="AJ39" s="8">
        <f t="shared" si="17"/>
        <v>8</v>
      </c>
      <c r="AK39" s="29">
        <f t="shared" si="18"/>
        <v>3</v>
      </c>
      <c r="AL39" s="62">
        <v>3</v>
      </c>
      <c r="AM39" s="33">
        <f t="shared" si="19"/>
        <v>17.5</v>
      </c>
      <c r="AN39" s="63">
        <f t="shared" si="20"/>
        <v>168</v>
      </c>
      <c r="AO39" s="63">
        <f t="shared" si="21"/>
        <v>0</v>
      </c>
      <c r="AP39" s="63">
        <f t="shared" si="22"/>
        <v>0</v>
      </c>
      <c r="AQ39" s="53">
        <f t="shared" si="23"/>
        <v>17.5</v>
      </c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</row>
    <row r="40" spans="1:56" ht="22" customHeight="1" x14ac:dyDescent="0.35">
      <c r="A40" s="8" t="s">
        <v>107</v>
      </c>
      <c r="B40" s="8" t="s">
        <v>108</v>
      </c>
      <c r="C40" s="8" t="s">
        <v>104</v>
      </c>
      <c r="D40" s="27" t="s">
        <v>7</v>
      </c>
      <c r="E40" s="28" t="s">
        <v>11</v>
      </c>
      <c r="F40" s="26" t="s">
        <v>3</v>
      </c>
      <c r="G40" s="26" t="s">
        <v>3</v>
      </c>
      <c r="H40" s="26" t="s">
        <v>3</v>
      </c>
      <c r="I40" s="26" t="s">
        <v>3</v>
      </c>
      <c r="J40" s="26" t="s">
        <v>3</v>
      </c>
      <c r="K40" s="27" t="s">
        <v>7</v>
      </c>
      <c r="L40" s="28" t="s">
        <v>11</v>
      </c>
      <c r="M40" s="26" t="s">
        <v>3</v>
      </c>
      <c r="N40" s="26" t="s">
        <v>3</v>
      </c>
      <c r="O40" s="26" t="s">
        <v>3</v>
      </c>
      <c r="P40" s="26" t="s">
        <v>3</v>
      </c>
      <c r="Q40" s="26" t="s">
        <v>3</v>
      </c>
      <c r="R40" s="27" t="s">
        <v>7</v>
      </c>
      <c r="S40" s="28" t="s">
        <v>11</v>
      </c>
      <c r="T40" s="26" t="s">
        <v>3</v>
      </c>
      <c r="U40" s="26" t="s">
        <v>3</v>
      </c>
      <c r="V40" s="26" t="s">
        <v>3</v>
      </c>
      <c r="W40" s="26" t="s">
        <v>3</v>
      </c>
      <c r="X40" s="26" t="s">
        <v>3</v>
      </c>
      <c r="Y40" s="23" t="s">
        <v>7</v>
      </c>
      <c r="Z40" s="24" t="s">
        <v>9</v>
      </c>
      <c r="AA40" s="26" t="s">
        <v>3</v>
      </c>
      <c r="AB40" s="26" t="s">
        <v>3</v>
      </c>
      <c r="AC40" s="26" t="s">
        <v>3</v>
      </c>
      <c r="AD40" s="26" t="s">
        <v>3</v>
      </c>
      <c r="AE40" s="26" t="s">
        <v>3</v>
      </c>
      <c r="AF40" s="27" t="s">
        <v>7</v>
      </c>
      <c r="AG40" s="24" t="s">
        <v>9</v>
      </c>
      <c r="AH40" s="26" t="s">
        <v>3</v>
      </c>
      <c r="AI40" s="8">
        <f t="shared" si="16"/>
        <v>21</v>
      </c>
      <c r="AJ40" s="8">
        <f t="shared" si="17"/>
        <v>0</v>
      </c>
      <c r="AK40" s="29">
        <f t="shared" si="18"/>
        <v>3</v>
      </c>
      <c r="AL40" s="62">
        <v>4</v>
      </c>
      <c r="AM40" s="33">
        <f t="shared" si="19"/>
        <v>26</v>
      </c>
      <c r="AN40" s="63">
        <f t="shared" si="20"/>
        <v>168</v>
      </c>
      <c r="AO40" s="63">
        <f t="shared" si="21"/>
        <v>0</v>
      </c>
      <c r="AP40" s="63">
        <f t="shared" si="22"/>
        <v>0</v>
      </c>
      <c r="AQ40" s="53">
        <f t="shared" si="23"/>
        <v>26</v>
      </c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</row>
    <row r="41" spans="1:56" ht="22" customHeight="1" x14ac:dyDescent="0.35">
      <c r="A41" s="8" t="s">
        <v>109</v>
      </c>
      <c r="B41" s="8" t="s">
        <v>110</v>
      </c>
      <c r="C41" s="8" t="s">
        <v>104</v>
      </c>
      <c r="D41" s="27" t="s">
        <v>7</v>
      </c>
      <c r="E41" s="28" t="s">
        <v>11</v>
      </c>
      <c r="F41" s="26" t="s">
        <v>3</v>
      </c>
      <c r="G41" s="26" t="s">
        <v>3</v>
      </c>
      <c r="H41" s="26" t="s">
        <v>3</v>
      </c>
      <c r="I41" s="26" t="s">
        <v>3</v>
      </c>
      <c r="J41" s="26" t="s">
        <v>3</v>
      </c>
      <c r="K41" s="27" t="s">
        <v>7</v>
      </c>
      <c r="L41" s="28" t="s">
        <v>11</v>
      </c>
      <c r="M41" s="26" t="s">
        <v>3</v>
      </c>
      <c r="N41" s="26" t="s">
        <v>3</v>
      </c>
      <c r="O41" s="26" t="s">
        <v>3</v>
      </c>
      <c r="P41" s="26" t="s">
        <v>3</v>
      </c>
      <c r="Q41" s="26" t="s">
        <v>3</v>
      </c>
      <c r="R41" s="27" t="s">
        <v>7</v>
      </c>
      <c r="S41" s="24" t="s">
        <v>9</v>
      </c>
      <c r="T41" s="26" t="s">
        <v>3</v>
      </c>
      <c r="U41" s="26" t="s">
        <v>3</v>
      </c>
      <c r="V41" s="26" t="s">
        <v>3</v>
      </c>
      <c r="W41" s="26" t="s">
        <v>3</v>
      </c>
      <c r="X41" s="26" t="s">
        <v>3</v>
      </c>
      <c r="Y41" s="27" t="s">
        <v>7</v>
      </c>
      <c r="Z41" s="28" t="s">
        <v>11</v>
      </c>
      <c r="AA41" s="26" t="s">
        <v>3</v>
      </c>
      <c r="AB41" s="26" t="s">
        <v>3</v>
      </c>
      <c r="AC41" s="26" t="s">
        <v>3</v>
      </c>
      <c r="AD41" s="26" t="s">
        <v>3</v>
      </c>
      <c r="AE41" s="26" t="s">
        <v>3</v>
      </c>
      <c r="AF41" s="27" t="s">
        <v>7</v>
      </c>
      <c r="AG41" s="28" t="s">
        <v>11</v>
      </c>
      <c r="AH41" s="22" t="s">
        <v>5</v>
      </c>
      <c r="AI41" s="8">
        <f t="shared" si="16"/>
        <v>20</v>
      </c>
      <c r="AJ41" s="8">
        <f t="shared" si="17"/>
        <v>1</v>
      </c>
      <c r="AK41" s="29">
        <f t="shared" si="18"/>
        <v>4</v>
      </c>
      <c r="AL41" s="62">
        <v>5</v>
      </c>
      <c r="AM41" s="33">
        <f t="shared" si="19"/>
        <v>26.5</v>
      </c>
      <c r="AN41" s="63">
        <f t="shared" si="20"/>
        <v>168</v>
      </c>
      <c r="AO41" s="63">
        <f t="shared" si="21"/>
        <v>0</v>
      </c>
      <c r="AP41" s="63">
        <f t="shared" si="22"/>
        <v>0</v>
      </c>
      <c r="AQ41" s="53">
        <f t="shared" si="23"/>
        <v>26.5</v>
      </c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</row>
    <row r="42" spans="1:56" ht="22" customHeight="1" x14ac:dyDescent="0.35">
      <c r="A42" s="8" t="s">
        <v>111</v>
      </c>
      <c r="B42" s="8" t="s">
        <v>112</v>
      </c>
      <c r="C42" s="8" t="s">
        <v>104</v>
      </c>
      <c r="D42" s="27" t="s">
        <v>7</v>
      </c>
      <c r="E42" s="28" t="s">
        <v>11</v>
      </c>
      <c r="F42" s="26" t="s">
        <v>3</v>
      </c>
      <c r="G42" s="26" t="s">
        <v>3</v>
      </c>
      <c r="H42" s="26" t="s">
        <v>3</v>
      </c>
      <c r="I42" s="26" t="s">
        <v>3</v>
      </c>
      <c r="J42" s="26" t="s">
        <v>3</v>
      </c>
      <c r="K42" s="27" t="s">
        <v>7</v>
      </c>
      <c r="L42" s="28" t="s">
        <v>11</v>
      </c>
      <c r="M42" s="26" t="s">
        <v>3</v>
      </c>
      <c r="N42" s="26" t="s">
        <v>3</v>
      </c>
      <c r="O42" s="26" t="s">
        <v>3</v>
      </c>
      <c r="P42" s="26" t="s">
        <v>3</v>
      </c>
      <c r="Q42" s="26" t="s">
        <v>3</v>
      </c>
      <c r="R42" s="27" t="s">
        <v>7</v>
      </c>
      <c r="S42" s="28" t="s">
        <v>11</v>
      </c>
      <c r="T42" s="26" t="s">
        <v>3</v>
      </c>
      <c r="U42" s="26" t="s">
        <v>3</v>
      </c>
      <c r="V42" s="26" t="s">
        <v>3</v>
      </c>
      <c r="W42" s="26" t="s">
        <v>3</v>
      </c>
      <c r="X42" s="26" t="s">
        <v>3</v>
      </c>
      <c r="Y42" s="27" t="s">
        <v>7</v>
      </c>
      <c r="Z42" s="28" t="s">
        <v>11</v>
      </c>
      <c r="AA42" s="26" t="s">
        <v>3</v>
      </c>
      <c r="AB42" s="22" t="s">
        <v>5</v>
      </c>
      <c r="AC42" s="22" t="s">
        <v>5</v>
      </c>
      <c r="AD42" s="22" t="s">
        <v>5</v>
      </c>
      <c r="AE42" s="26" t="s">
        <v>3</v>
      </c>
      <c r="AF42" s="27" t="s">
        <v>7</v>
      </c>
      <c r="AG42" s="28" t="s">
        <v>11</v>
      </c>
      <c r="AH42" s="22" t="s">
        <v>5</v>
      </c>
      <c r="AI42" s="8">
        <f t="shared" si="16"/>
        <v>17</v>
      </c>
      <c r="AJ42" s="8">
        <f t="shared" si="17"/>
        <v>4</v>
      </c>
      <c r="AK42" s="29">
        <f t="shared" si="18"/>
        <v>5</v>
      </c>
      <c r="AL42" s="62">
        <v>5</v>
      </c>
      <c r="AM42" s="33">
        <f t="shared" si="19"/>
        <v>24.5</v>
      </c>
      <c r="AN42" s="63">
        <f t="shared" si="20"/>
        <v>168</v>
      </c>
      <c r="AO42" s="63">
        <f t="shared" si="21"/>
        <v>0</v>
      </c>
      <c r="AP42" s="63">
        <f t="shared" si="22"/>
        <v>0</v>
      </c>
      <c r="AQ42" s="53">
        <f t="shared" si="23"/>
        <v>24.5</v>
      </c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</row>
    <row r="43" spans="1:56" ht="22" customHeight="1" x14ac:dyDescent="0.35">
      <c r="A43" s="8" t="s">
        <v>113</v>
      </c>
      <c r="B43" s="8" t="s">
        <v>114</v>
      </c>
      <c r="C43" s="8" t="s">
        <v>104</v>
      </c>
      <c r="D43" s="27" t="s">
        <v>7</v>
      </c>
      <c r="E43" s="28" t="s">
        <v>11</v>
      </c>
      <c r="F43" s="26" t="s">
        <v>3</v>
      </c>
      <c r="G43" s="26" t="s">
        <v>3</v>
      </c>
      <c r="H43" s="26" t="s">
        <v>3</v>
      </c>
      <c r="I43" s="26" t="s">
        <v>3</v>
      </c>
      <c r="J43" s="26" t="s">
        <v>3</v>
      </c>
      <c r="K43" s="27" t="s">
        <v>7</v>
      </c>
      <c r="L43" s="28" t="s">
        <v>11</v>
      </c>
      <c r="M43" s="26" t="s">
        <v>3</v>
      </c>
      <c r="N43" s="26" t="s">
        <v>3</v>
      </c>
      <c r="O43" s="26" t="s">
        <v>3</v>
      </c>
      <c r="P43" s="26" t="s">
        <v>3</v>
      </c>
      <c r="Q43" s="26" t="s">
        <v>3</v>
      </c>
      <c r="R43" s="27" t="s">
        <v>7</v>
      </c>
      <c r="S43" s="24" t="s">
        <v>9</v>
      </c>
      <c r="T43" s="26" t="s">
        <v>3</v>
      </c>
      <c r="U43" s="26" t="s">
        <v>3</v>
      </c>
      <c r="V43" s="26" t="s">
        <v>3</v>
      </c>
      <c r="W43" s="26" t="s">
        <v>3</v>
      </c>
      <c r="X43" s="26" t="s">
        <v>3</v>
      </c>
      <c r="Y43" s="27" t="s">
        <v>7</v>
      </c>
      <c r="Z43" s="28" t="s">
        <v>11</v>
      </c>
      <c r="AA43" s="26" t="s">
        <v>3</v>
      </c>
      <c r="AB43" s="26" t="s">
        <v>3</v>
      </c>
      <c r="AC43" s="26" t="s">
        <v>3</v>
      </c>
      <c r="AD43" s="26" t="s">
        <v>3</v>
      </c>
      <c r="AE43" s="26" t="s">
        <v>3</v>
      </c>
      <c r="AF43" s="27" t="s">
        <v>7</v>
      </c>
      <c r="AG43" s="28" t="s">
        <v>11</v>
      </c>
      <c r="AH43" s="26" t="s">
        <v>3</v>
      </c>
      <c r="AI43" s="8">
        <f t="shared" si="16"/>
        <v>21</v>
      </c>
      <c r="AJ43" s="8">
        <f t="shared" si="17"/>
        <v>0</v>
      </c>
      <c r="AK43" s="29">
        <f t="shared" si="18"/>
        <v>4</v>
      </c>
      <c r="AL43" s="62">
        <v>5</v>
      </c>
      <c r="AM43" s="33">
        <f t="shared" si="19"/>
        <v>27.5</v>
      </c>
      <c r="AN43" s="63">
        <f t="shared" si="20"/>
        <v>168</v>
      </c>
      <c r="AO43" s="63">
        <f t="shared" si="21"/>
        <v>0</v>
      </c>
      <c r="AP43" s="63">
        <f t="shared" si="22"/>
        <v>0</v>
      </c>
      <c r="AQ43" s="53">
        <f t="shared" si="23"/>
        <v>27.5</v>
      </c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</row>
    <row r="44" spans="1:56" ht="22" customHeight="1" x14ac:dyDescent="0.35">
      <c r="A44" s="8" t="s">
        <v>115</v>
      </c>
      <c r="B44" s="8" t="s">
        <v>116</v>
      </c>
      <c r="C44" s="8" t="s">
        <v>104</v>
      </c>
      <c r="D44" s="27" t="s">
        <v>7</v>
      </c>
      <c r="E44" s="28" t="s">
        <v>11</v>
      </c>
      <c r="F44" s="26" t="s">
        <v>3</v>
      </c>
      <c r="G44" s="26" t="s">
        <v>3</v>
      </c>
      <c r="H44" s="26" t="s">
        <v>3</v>
      </c>
      <c r="I44" s="22" t="s">
        <v>5</v>
      </c>
      <c r="J44" s="26" t="s">
        <v>3</v>
      </c>
      <c r="K44" s="27" t="s">
        <v>7</v>
      </c>
      <c r="L44" s="28" t="s">
        <v>11</v>
      </c>
      <c r="M44" s="26" t="s">
        <v>3</v>
      </c>
      <c r="N44" s="22" t="s">
        <v>5</v>
      </c>
      <c r="O44" s="26" t="s">
        <v>3</v>
      </c>
      <c r="P44" s="26" t="s">
        <v>3</v>
      </c>
      <c r="Q44" s="26" t="s">
        <v>3</v>
      </c>
      <c r="R44" s="27" t="s">
        <v>7</v>
      </c>
      <c r="S44" s="28" t="s">
        <v>11</v>
      </c>
      <c r="T44" s="26" t="s">
        <v>3</v>
      </c>
      <c r="U44" s="26" t="s">
        <v>3</v>
      </c>
      <c r="V44" s="26" t="s">
        <v>3</v>
      </c>
      <c r="W44" s="22" t="s">
        <v>5</v>
      </c>
      <c r="X44" s="22" t="s">
        <v>5</v>
      </c>
      <c r="Y44" s="23" t="s">
        <v>7</v>
      </c>
      <c r="Z44" s="24" t="s">
        <v>9</v>
      </c>
      <c r="AA44" s="22" t="s">
        <v>5</v>
      </c>
      <c r="AB44" s="22" t="s">
        <v>5</v>
      </c>
      <c r="AC44" s="22" t="s">
        <v>5</v>
      </c>
      <c r="AD44" s="22" t="s">
        <v>5</v>
      </c>
      <c r="AE44" s="22" t="s">
        <v>5</v>
      </c>
      <c r="AF44" s="23" t="s">
        <v>7</v>
      </c>
      <c r="AG44" s="24" t="s">
        <v>9</v>
      </c>
      <c r="AH44" s="22" t="s">
        <v>5</v>
      </c>
      <c r="AI44" s="8">
        <f t="shared" si="16"/>
        <v>11</v>
      </c>
      <c r="AJ44" s="8">
        <f t="shared" si="17"/>
        <v>10</v>
      </c>
      <c r="AK44" s="29">
        <f t="shared" si="18"/>
        <v>3</v>
      </c>
      <c r="AL44" s="62">
        <v>3</v>
      </c>
      <c r="AM44" s="33">
        <f t="shared" si="19"/>
        <v>15.5</v>
      </c>
      <c r="AN44" s="63">
        <f t="shared" si="20"/>
        <v>168</v>
      </c>
      <c r="AO44" s="63">
        <f t="shared" si="21"/>
        <v>0</v>
      </c>
      <c r="AP44" s="63">
        <f t="shared" si="22"/>
        <v>0</v>
      </c>
      <c r="AQ44" s="53">
        <f t="shared" si="23"/>
        <v>15.5</v>
      </c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</row>
    <row r="45" spans="1:56" ht="22" customHeight="1" x14ac:dyDescent="0.35">
      <c r="A45" s="8" t="s">
        <v>117</v>
      </c>
      <c r="B45" s="8" t="s">
        <v>118</v>
      </c>
      <c r="C45" s="8" t="s">
        <v>104</v>
      </c>
      <c r="D45" s="27" t="s">
        <v>7</v>
      </c>
      <c r="E45" s="28" t="s">
        <v>11</v>
      </c>
      <c r="F45" s="26" t="s">
        <v>3</v>
      </c>
      <c r="G45" s="26" t="s">
        <v>3</v>
      </c>
      <c r="H45" s="26" t="s">
        <v>3</v>
      </c>
      <c r="I45" s="26" t="s">
        <v>3</v>
      </c>
      <c r="J45" s="26" t="s">
        <v>3</v>
      </c>
      <c r="K45" s="27" t="s">
        <v>7</v>
      </c>
      <c r="L45" s="28" t="s">
        <v>11</v>
      </c>
      <c r="M45" s="26" t="s">
        <v>3</v>
      </c>
      <c r="N45" s="26" t="s">
        <v>3</v>
      </c>
      <c r="O45" s="26" t="s">
        <v>3</v>
      </c>
      <c r="P45" s="26" t="s">
        <v>3</v>
      </c>
      <c r="Q45" s="26" t="s">
        <v>3</v>
      </c>
      <c r="R45" s="27" t="s">
        <v>7</v>
      </c>
      <c r="S45" s="28" t="s">
        <v>11</v>
      </c>
      <c r="T45" s="26" t="s">
        <v>3</v>
      </c>
      <c r="U45" s="26" t="s">
        <v>3</v>
      </c>
      <c r="V45" s="26" t="s">
        <v>3</v>
      </c>
      <c r="W45" s="22" t="s">
        <v>5</v>
      </c>
      <c r="X45" s="22" t="s">
        <v>5</v>
      </c>
      <c r="Y45" s="23" t="s">
        <v>7</v>
      </c>
      <c r="Z45" s="24" t="s">
        <v>9</v>
      </c>
      <c r="AA45" s="22" t="s">
        <v>5</v>
      </c>
      <c r="AB45" s="22" t="s">
        <v>5</v>
      </c>
      <c r="AC45" s="22" t="s">
        <v>5</v>
      </c>
      <c r="AD45" s="22" t="s">
        <v>5</v>
      </c>
      <c r="AE45" s="22" t="s">
        <v>5</v>
      </c>
      <c r="AF45" s="23" t="s">
        <v>7</v>
      </c>
      <c r="AG45" s="24" t="s">
        <v>9</v>
      </c>
      <c r="AH45" s="22" t="s">
        <v>5</v>
      </c>
      <c r="AI45" s="8">
        <f t="shared" si="16"/>
        <v>13</v>
      </c>
      <c r="AJ45" s="8">
        <f t="shared" si="17"/>
        <v>8</v>
      </c>
      <c r="AK45" s="29">
        <f t="shared" si="18"/>
        <v>3</v>
      </c>
      <c r="AL45" s="62">
        <v>3</v>
      </c>
      <c r="AM45" s="33">
        <f t="shared" si="19"/>
        <v>17.5</v>
      </c>
      <c r="AN45" s="63">
        <f t="shared" si="20"/>
        <v>168</v>
      </c>
      <c r="AO45" s="63">
        <f t="shared" si="21"/>
        <v>0</v>
      </c>
      <c r="AP45" s="63">
        <f t="shared" si="22"/>
        <v>0</v>
      </c>
      <c r="AQ45" s="53">
        <f t="shared" si="23"/>
        <v>17.5</v>
      </c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</row>
    <row r="46" spans="1:56" ht="22" customHeight="1" x14ac:dyDescent="0.35">
      <c r="A46" s="8" t="s">
        <v>119</v>
      </c>
      <c r="B46" s="8" t="s">
        <v>120</v>
      </c>
      <c r="C46" s="8" t="s">
        <v>104</v>
      </c>
      <c r="D46" s="27" t="s">
        <v>7</v>
      </c>
      <c r="E46" s="28" t="s">
        <v>11</v>
      </c>
      <c r="F46" s="26" t="s">
        <v>3</v>
      </c>
      <c r="G46" s="26" t="s">
        <v>3</v>
      </c>
      <c r="H46" s="26" t="s">
        <v>3</v>
      </c>
      <c r="I46" s="26" t="s">
        <v>3</v>
      </c>
      <c r="J46" s="26" t="s">
        <v>3</v>
      </c>
      <c r="K46" s="27" t="s">
        <v>7</v>
      </c>
      <c r="L46" s="28" t="s">
        <v>11</v>
      </c>
      <c r="M46" s="26" t="s">
        <v>3</v>
      </c>
      <c r="N46" s="26" t="s">
        <v>3</v>
      </c>
      <c r="O46" s="26" t="s">
        <v>3</v>
      </c>
      <c r="P46" s="26" t="s">
        <v>3</v>
      </c>
      <c r="Q46" s="26" t="s">
        <v>3</v>
      </c>
      <c r="R46" s="27" t="s">
        <v>7</v>
      </c>
      <c r="S46" s="28" t="s">
        <v>11</v>
      </c>
      <c r="T46" s="26" t="s">
        <v>3</v>
      </c>
      <c r="U46" s="26" t="s">
        <v>3</v>
      </c>
      <c r="V46" s="26" t="s">
        <v>3</v>
      </c>
      <c r="W46" s="22" t="s">
        <v>5</v>
      </c>
      <c r="X46" s="22" t="s">
        <v>5</v>
      </c>
      <c r="Y46" s="23" t="s">
        <v>7</v>
      </c>
      <c r="Z46" s="24" t="s">
        <v>9</v>
      </c>
      <c r="AA46" s="22" t="s">
        <v>5</v>
      </c>
      <c r="AB46" s="22" t="s">
        <v>5</v>
      </c>
      <c r="AC46" s="22" t="s">
        <v>5</v>
      </c>
      <c r="AD46" s="22" t="s">
        <v>5</v>
      </c>
      <c r="AE46" s="22" t="s">
        <v>5</v>
      </c>
      <c r="AF46" s="23" t="s">
        <v>7</v>
      </c>
      <c r="AG46" s="24" t="s">
        <v>9</v>
      </c>
      <c r="AH46" s="22" t="s">
        <v>5</v>
      </c>
      <c r="AI46" s="8">
        <f t="shared" si="16"/>
        <v>13</v>
      </c>
      <c r="AJ46" s="8">
        <f t="shared" si="17"/>
        <v>8</v>
      </c>
      <c r="AK46" s="29">
        <f t="shared" si="18"/>
        <v>3</v>
      </c>
      <c r="AL46" s="62">
        <v>3</v>
      </c>
      <c r="AM46" s="33">
        <f t="shared" si="19"/>
        <v>17.5</v>
      </c>
      <c r="AN46" s="63">
        <f t="shared" si="20"/>
        <v>168</v>
      </c>
      <c r="AO46" s="63">
        <f t="shared" si="21"/>
        <v>0</v>
      </c>
      <c r="AP46" s="63">
        <f t="shared" si="22"/>
        <v>0</v>
      </c>
      <c r="AQ46" s="53">
        <f t="shared" si="23"/>
        <v>17.5</v>
      </c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</row>
    <row r="47" spans="1:56" ht="22" customHeight="1" x14ac:dyDescent="0.35">
      <c r="A47" s="8" t="s">
        <v>121</v>
      </c>
      <c r="B47" s="8" t="s">
        <v>122</v>
      </c>
      <c r="C47" s="8" t="s">
        <v>104</v>
      </c>
      <c r="D47" s="27" t="s">
        <v>7</v>
      </c>
      <c r="E47" s="28" t="s">
        <v>11</v>
      </c>
      <c r="F47" s="26" t="s">
        <v>3</v>
      </c>
      <c r="G47" s="26" t="s">
        <v>3</v>
      </c>
      <c r="H47" s="26" t="s">
        <v>3</v>
      </c>
      <c r="I47" s="26" t="s">
        <v>3</v>
      </c>
      <c r="J47" s="26" t="s">
        <v>3</v>
      </c>
      <c r="K47" s="27" t="s">
        <v>7</v>
      </c>
      <c r="L47" s="28" t="s">
        <v>11</v>
      </c>
      <c r="M47" s="26" t="s">
        <v>3</v>
      </c>
      <c r="N47" s="26" t="s">
        <v>3</v>
      </c>
      <c r="O47" s="26" t="s">
        <v>3</v>
      </c>
      <c r="P47" s="26" t="s">
        <v>3</v>
      </c>
      <c r="Q47" s="26" t="s">
        <v>3</v>
      </c>
      <c r="R47" s="23" t="s">
        <v>7</v>
      </c>
      <c r="S47" s="24" t="s">
        <v>9</v>
      </c>
      <c r="T47" s="22" t="s">
        <v>5</v>
      </c>
      <c r="U47" s="22" t="s">
        <v>5</v>
      </c>
      <c r="V47" s="22" t="s">
        <v>5</v>
      </c>
      <c r="W47" s="26" t="s">
        <v>3</v>
      </c>
      <c r="X47" s="26" t="s">
        <v>3</v>
      </c>
      <c r="Y47" s="27" t="s">
        <v>7</v>
      </c>
      <c r="Z47" s="28" t="s">
        <v>11</v>
      </c>
      <c r="AA47" s="26" t="s">
        <v>3</v>
      </c>
      <c r="AB47" s="26" t="s">
        <v>3</v>
      </c>
      <c r="AC47" s="26" t="s">
        <v>3</v>
      </c>
      <c r="AD47" s="26" t="s">
        <v>3</v>
      </c>
      <c r="AE47" s="26" t="s">
        <v>3</v>
      </c>
      <c r="AF47" s="27" t="s">
        <v>7</v>
      </c>
      <c r="AG47" s="28" t="s">
        <v>11</v>
      </c>
      <c r="AH47" s="26" t="s">
        <v>3</v>
      </c>
      <c r="AI47" s="8">
        <f t="shared" si="16"/>
        <v>18</v>
      </c>
      <c r="AJ47" s="8">
        <f t="shared" si="17"/>
        <v>3</v>
      </c>
      <c r="AK47" s="29">
        <f t="shared" si="18"/>
        <v>4</v>
      </c>
      <c r="AL47" s="62">
        <v>4</v>
      </c>
      <c r="AM47" s="33">
        <f t="shared" si="19"/>
        <v>24</v>
      </c>
      <c r="AN47" s="63">
        <f t="shared" si="20"/>
        <v>168</v>
      </c>
      <c r="AO47" s="63">
        <f t="shared" si="21"/>
        <v>0</v>
      </c>
      <c r="AP47" s="63">
        <f t="shared" si="22"/>
        <v>0</v>
      </c>
      <c r="AQ47" s="53">
        <f t="shared" si="23"/>
        <v>24</v>
      </c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</row>
    <row r="48" spans="1:56" ht="22" customHeight="1" x14ac:dyDescent="0.35">
      <c r="A48" s="8" t="s">
        <v>123</v>
      </c>
      <c r="B48" s="8" t="s">
        <v>124</v>
      </c>
      <c r="C48" s="8" t="s">
        <v>104</v>
      </c>
      <c r="D48" s="27" t="s">
        <v>7</v>
      </c>
      <c r="E48" s="28" t="s">
        <v>11</v>
      </c>
      <c r="F48" s="26" t="s">
        <v>3</v>
      </c>
      <c r="G48" s="26" t="s">
        <v>3</v>
      </c>
      <c r="H48" s="26" t="s">
        <v>3</v>
      </c>
      <c r="I48" s="22" t="s">
        <v>5</v>
      </c>
      <c r="J48" s="26" t="s">
        <v>3</v>
      </c>
      <c r="K48" s="27" t="s">
        <v>7</v>
      </c>
      <c r="L48" s="28" t="s">
        <v>11</v>
      </c>
      <c r="M48" s="26" t="s">
        <v>3</v>
      </c>
      <c r="N48" s="22" t="s">
        <v>5</v>
      </c>
      <c r="O48" s="26" t="s">
        <v>3</v>
      </c>
      <c r="P48" s="26" t="s">
        <v>3</v>
      </c>
      <c r="Q48" s="26" t="s">
        <v>3</v>
      </c>
      <c r="R48" s="27" t="s">
        <v>7</v>
      </c>
      <c r="S48" s="24" t="s">
        <v>9</v>
      </c>
      <c r="T48" s="22" t="s">
        <v>5</v>
      </c>
      <c r="U48" s="22" t="s">
        <v>5</v>
      </c>
      <c r="V48" s="26" t="s">
        <v>3</v>
      </c>
      <c r="W48" s="26" t="s">
        <v>3</v>
      </c>
      <c r="X48" s="26" t="s">
        <v>3</v>
      </c>
      <c r="Y48" s="27" t="s">
        <v>7</v>
      </c>
      <c r="Z48" s="28" t="s">
        <v>11</v>
      </c>
      <c r="AA48" s="26" t="s">
        <v>3</v>
      </c>
      <c r="AB48" s="26" t="s">
        <v>3</v>
      </c>
      <c r="AC48" s="26" t="s">
        <v>3</v>
      </c>
      <c r="AD48" s="26" t="s">
        <v>3</v>
      </c>
      <c r="AE48" s="26" t="s">
        <v>3</v>
      </c>
      <c r="AF48" s="27" t="s">
        <v>7</v>
      </c>
      <c r="AG48" s="28" t="s">
        <v>11</v>
      </c>
      <c r="AH48" s="26" t="s">
        <v>3</v>
      </c>
      <c r="AI48" s="8">
        <f t="shared" si="16"/>
        <v>17</v>
      </c>
      <c r="AJ48" s="8">
        <f t="shared" si="17"/>
        <v>4</v>
      </c>
      <c r="AK48" s="29">
        <f t="shared" si="18"/>
        <v>4</v>
      </c>
      <c r="AL48" s="62">
        <v>5</v>
      </c>
      <c r="AM48" s="33">
        <f t="shared" si="19"/>
        <v>23.5</v>
      </c>
      <c r="AN48" s="63">
        <f t="shared" si="20"/>
        <v>168</v>
      </c>
      <c r="AO48" s="63">
        <f t="shared" si="21"/>
        <v>0</v>
      </c>
      <c r="AP48" s="63">
        <f t="shared" si="22"/>
        <v>0</v>
      </c>
      <c r="AQ48" s="53">
        <f t="shared" si="23"/>
        <v>23.5</v>
      </c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</row>
    <row r="49" spans="1:56" ht="22" customHeight="1" x14ac:dyDescent="0.35">
      <c r="A49" s="8" t="s">
        <v>125</v>
      </c>
      <c r="B49" s="8" t="s">
        <v>126</v>
      </c>
      <c r="C49" s="8" t="s">
        <v>104</v>
      </c>
      <c r="D49" s="27" t="s">
        <v>7</v>
      </c>
      <c r="E49" s="28" t="s">
        <v>11</v>
      </c>
      <c r="F49" s="26" t="s">
        <v>3</v>
      </c>
      <c r="G49" s="26" t="s">
        <v>3</v>
      </c>
      <c r="H49" s="26" t="s">
        <v>3</v>
      </c>
      <c r="I49" s="26" t="s">
        <v>3</v>
      </c>
      <c r="J49" s="26" t="s">
        <v>3</v>
      </c>
      <c r="K49" s="27" t="s">
        <v>7</v>
      </c>
      <c r="L49" s="28" t="s">
        <v>11</v>
      </c>
      <c r="M49" s="26" t="s">
        <v>3</v>
      </c>
      <c r="N49" s="26" t="s">
        <v>3</v>
      </c>
      <c r="O49" s="26" t="s">
        <v>3</v>
      </c>
      <c r="P49" s="26" t="s">
        <v>3</v>
      </c>
      <c r="Q49" s="26" t="s">
        <v>3</v>
      </c>
      <c r="R49" s="27" t="s">
        <v>7</v>
      </c>
      <c r="S49" s="28" t="s">
        <v>11</v>
      </c>
      <c r="T49" s="26" t="s">
        <v>3</v>
      </c>
      <c r="U49" s="26" t="s">
        <v>3</v>
      </c>
      <c r="V49" s="26" t="s">
        <v>3</v>
      </c>
      <c r="W49" s="26" t="s">
        <v>3</v>
      </c>
      <c r="X49" s="26" t="s">
        <v>3</v>
      </c>
      <c r="Y49" s="27" t="s">
        <v>7</v>
      </c>
      <c r="Z49" s="28" t="s">
        <v>11</v>
      </c>
      <c r="AA49" s="26" t="s">
        <v>3</v>
      </c>
      <c r="AB49" s="26" t="s">
        <v>3</v>
      </c>
      <c r="AC49" s="26" t="s">
        <v>3</v>
      </c>
      <c r="AD49" s="26" t="s">
        <v>3</v>
      </c>
      <c r="AE49" s="26" t="s">
        <v>3</v>
      </c>
      <c r="AF49" s="27" t="s">
        <v>7</v>
      </c>
      <c r="AG49" s="28" t="s">
        <v>11</v>
      </c>
      <c r="AH49" s="26" t="s">
        <v>3</v>
      </c>
      <c r="AI49" s="8">
        <f t="shared" si="16"/>
        <v>21</v>
      </c>
      <c r="AJ49" s="8">
        <f t="shared" si="17"/>
        <v>0</v>
      </c>
      <c r="AK49" s="29">
        <f t="shared" si="18"/>
        <v>5</v>
      </c>
      <c r="AL49" s="62">
        <v>5</v>
      </c>
      <c r="AM49" s="33">
        <f t="shared" si="19"/>
        <v>28.5</v>
      </c>
      <c r="AN49" s="63">
        <f t="shared" si="20"/>
        <v>168</v>
      </c>
      <c r="AO49" s="63">
        <f t="shared" si="21"/>
        <v>0</v>
      </c>
      <c r="AP49" s="63">
        <f t="shared" si="22"/>
        <v>0</v>
      </c>
      <c r="AQ49" s="53">
        <f t="shared" si="23"/>
        <v>28.5</v>
      </c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</row>
    <row r="50" spans="1:56" ht="22" customHeight="1" x14ac:dyDescent="0.35">
      <c r="A50" s="8" t="s">
        <v>127</v>
      </c>
      <c r="B50" s="8" t="s">
        <v>128</v>
      </c>
      <c r="C50" s="8" t="s">
        <v>104</v>
      </c>
      <c r="D50" s="27" t="s">
        <v>7</v>
      </c>
      <c r="E50" s="28" t="s">
        <v>11</v>
      </c>
      <c r="F50" s="26" t="s">
        <v>3</v>
      </c>
      <c r="G50" s="26" t="s">
        <v>3</v>
      </c>
      <c r="H50" s="26" t="s">
        <v>3</v>
      </c>
      <c r="I50" s="26" t="s">
        <v>3</v>
      </c>
      <c r="J50" s="26" t="s">
        <v>3</v>
      </c>
      <c r="K50" s="27" t="s">
        <v>7</v>
      </c>
      <c r="L50" s="28" t="s">
        <v>11</v>
      </c>
      <c r="M50" s="26" t="s">
        <v>3</v>
      </c>
      <c r="N50" s="26" t="s">
        <v>3</v>
      </c>
      <c r="O50" s="22" t="s">
        <v>5</v>
      </c>
      <c r="P50" s="26" t="s">
        <v>3</v>
      </c>
      <c r="Q50" s="26" t="s">
        <v>3</v>
      </c>
      <c r="R50" s="27" t="s">
        <v>7</v>
      </c>
      <c r="S50" s="28" t="s">
        <v>11</v>
      </c>
      <c r="T50" s="22" t="s">
        <v>5</v>
      </c>
      <c r="U50" s="22" t="s">
        <v>5</v>
      </c>
      <c r="V50" s="22" t="s">
        <v>5</v>
      </c>
      <c r="W50" s="22" t="s">
        <v>5</v>
      </c>
      <c r="X50" s="22" t="s">
        <v>5</v>
      </c>
      <c r="Y50" s="23" t="s">
        <v>7</v>
      </c>
      <c r="Z50" s="24" t="s">
        <v>9</v>
      </c>
      <c r="AA50" s="22" t="s">
        <v>5</v>
      </c>
      <c r="AB50" s="22" t="s">
        <v>5</v>
      </c>
      <c r="AC50" s="22" t="s">
        <v>5</v>
      </c>
      <c r="AD50" s="22" t="s">
        <v>5</v>
      </c>
      <c r="AE50" s="22" t="s">
        <v>5</v>
      </c>
      <c r="AF50" s="23" t="s">
        <v>7</v>
      </c>
      <c r="AG50" s="24" t="s">
        <v>9</v>
      </c>
      <c r="AH50" s="22" t="s">
        <v>5</v>
      </c>
      <c r="AI50" s="8">
        <f t="shared" si="16"/>
        <v>9</v>
      </c>
      <c r="AJ50" s="25">
        <f t="shared" si="17"/>
        <v>12</v>
      </c>
      <c r="AK50" s="29">
        <f t="shared" si="18"/>
        <v>3</v>
      </c>
      <c r="AL50" s="62">
        <v>3</v>
      </c>
      <c r="AM50" s="33">
        <f t="shared" si="19"/>
        <v>13.5</v>
      </c>
      <c r="AN50" s="63">
        <f t="shared" si="20"/>
        <v>168</v>
      </c>
      <c r="AO50" s="63">
        <f t="shared" si="21"/>
        <v>0</v>
      </c>
      <c r="AP50" s="63">
        <f t="shared" si="22"/>
        <v>0</v>
      </c>
      <c r="AQ50" s="53">
        <f t="shared" si="23"/>
        <v>13.5</v>
      </c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</row>
    <row r="51" spans="1:56" ht="22" customHeight="1" x14ac:dyDescent="0.35">
      <c r="A51" s="8" t="s">
        <v>129</v>
      </c>
      <c r="B51" s="8" t="s">
        <v>130</v>
      </c>
      <c r="C51" s="8" t="s">
        <v>104</v>
      </c>
      <c r="D51" s="27" t="s">
        <v>7</v>
      </c>
      <c r="E51" s="28" t="s">
        <v>11</v>
      </c>
      <c r="F51" s="26" t="s">
        <v>3</v>
      </c>
      <c r="G51" s="26" t="s">
        <v>3</v>
      </c>
      <c r="H51" s="26" t="s">
        <v>3</v>
      </c>
      <c r="I51" s="26" t="s">
        <v>3</v>
      </c>
      <c r="J51" s="26" t="s">
        <v>3</v>
      </c>
      <c r="K51" s="27" t="s">
        <v>7</v>
      </c>
      <c r="L51" s="28" t="s">
        <v>11</v>
      </c>
      <c r="M51" s="26" t="s">
        <v>3</v>
      </c>
      <c r="N51" s="26" t="s">
        <v>3</v>
      </c>
      <c r="O51" s="26" t="s">
        <v>3</v>
      </c>
      <c r="P51" s="26" t="s">
        <v>3</v>
      </c>
      <c r="Q51" s="26" t="s">
        <v>3</v>
      </c>
      <c r="R51" s="27" t="s">
        <v>7</v>
      </c>
      <c r="S51" s="24" t="s">
        <v>9</v>
      </c>
      <c r="T51" s="26" t="s">
        <v>3</v>
      </c>
      <c r="U51" s="26" t="s">
        <v>3</v>
      </c>
      <c r="V51" s="26" t="s">
        <v>3</v>
      </c>
      <c r="W51" s="22" t="s">
        <v>5</v>
      </c>
      <c r="X51" s="22" t="s">
        <v>5</v>
      </c>
      <c r="Y51" s="23" t="s">
        <v>7</v>
      </c>
      <c r="Z51" s="24" t="s">
        <v>9</v>
      </c>
      <c r="AA51" s="22" t="s">
        <v>5</v>
      </c>
      <c r="AB51" s="22" t="s">
        <v>5</v>
      </c>
      <c r="AC51" s="26" t="s">
        <v>3</v>
      </c>
      <c r="AD51" s="26" t="s">
        <v>3</v>
      </c>
      <c r="AE51" s="26" t="s">
        <v>3</v>
      </c>
      <c r="AF51" s="27" t="s">
        <v>7</v>
      </c>
      <c r="AG51" s="28" t="s">
        <v>11</v>
      </c>
      <c r="AH51" s="26" t="s">
        <v>3</v>
      </c>
      <c r="AI51" s="8">
        <f t="shared" si="16"/>
        <v>17</v>
      </c>
      <c r="AJ51" s="8">
        <f t="shared" si="17"/>
        <v>4</v>
      </c>
      <c r="AK51" s="29">
        <f t="shared" si="18"/>
        <v>3</v>
      </c>
      <c r="AL51" s="62">
        <v>4</v>
      </c>
      <c r="AM51" s="33">
        <f t="shared" si="19"/>
        <v>22</v>
      </c>
      <c r="AN51" s="63">
        <f t="shared" si="20"/>
        <v>168</v>
      </c>
      <c r="AO51" s="63">
        <f t="shared" si="21"/>
        <v>0</v>
      </c>
      <c r="AP51" s="63">
        <f t="shared" si="22"/>
        <v>0</v>
      </c>
      <c r="AQ51" s="53">
        <f t="shared" si="23"/>
        <v>22</v>
      </c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</row>
    <row r="52" spans="1:56" ht="22" customHeight="1" x14ac:dyDescent="0.35">
      <c r="A52" s="8" t="s">
        <v>131</v>
      </c>
      <c r="B52" s="8" t="s">
        <v>132</v>
      </c>
      <c r="C52" s="8" t="s">
        <v>104</v>
      </c>
      <c r="D52" s="27" t="s">
        <v>7</v>
      </c>
      <c r="E52" s="28" t="s">
        <v>11</v>
      </c>
      <c r="F52" s="26" t="s">
        <v>3</v>
      </c>
      <c r="G52" s="26" t="s">
        <v>3</v>
      </c>
      <c r="H52" s="26" t="s">
        <v>3</v>
      </c>
      <c r="I52" s="26" t="s">
        <v>3</v>
      </c>
      <c r="J52" s="26" t="s">
        <v>3</v>
      </c>
      <c r="K52" s="27" t="s">
        <v>7</v>
      </c>
      <c r="L52" s="28" t="s">
        <v>11</v>
      </c>
      <c r="M52" s="26" t="s">
        <v>3</v>
      </c>
      <c r="N52" s="22" t="s">
        <v>5</v>
      </c>
      <c r="O52" s="26" t="s">
        <v>3</v>
      </c>
      <c r="P52" s="26" t="s">
        <v>3</v>
      </c>
      <c r="Q52" s="26" t="s">
        <v>3</v>
      </c>
      <c r="R52" s="27" t="s">
        <v>7</v>
      </c>
      <c r="S52" s="24" t="s">
        <v>9</v>
      </c>
      <c r="T52" s="22" t="s">
        <v>5</v>
      </c>
      <c r="U52" s="22" t="s">
        <v>5</v>
      </c>
      <c r="V52" s="22" t="s">
        <v>5</v>
      </c>
      <c r="W52" s="22" t="s">
        <v>5</v>
      </c>
      <c r="X52" s="22" t="s">
        <v>5</v>
      </c>
      <c r="Y52" s="23" t="s">
        <v>7</v>
      </c>
      <c r="Z52" s="24" t="s">
        <v>9</v>
      </c>
      <c r="AA52" s="22" t="s">
        <v>5</v>
      </c>
      <c r="AB52" s="22" t="s">
        <v>5</v>
      </c>
      <c r="AC52" s="22" t="s">
        <v>5</v>
      </c>
      <c r="AD52" s="22" t="s">
        <v>5</v>
      </c>
      <c r="AE52" s="22" t="s">
        <v>5</v>
      </c>
      <c r="AF52" s="23" t="s">
        <v>7</v>
      </c>
      <c r="AG52" s="24" t="s">
        <v>9</v>
      </c>
      <c r="AH52" s="22" t="s">
        <v>5</v>
      </c>
      <c r="AI52" s="8">
        <f t="shared" si="16"/>
        <v>9</v>
      </c>
      <c r="AJ52" s="25">
        <f t="shared" si="17"/>
        <v>12</v>
      </c>
      <c r="AK52" s="29">
        <f t="shared" si="18"/>
        <v>2</v>
      </c>
      <c r="AL52" s="62">
        <v>3</v>
      </c>
      <c r="AM52" s="33">
        <f t="shared" si="19"/>
        <v>12.5</v>
      </c>
      <c r="AN52" s="63">
        <f t="shared" si="20"/>
        <v>168</v>
      </c>
      <c r="AO52" s="63">
        <f t="shared" si="21"/>
        <v>0</v>
      </c>
      <c r="AP52" s="63">
        <f t="shared" si="22"/>
        <v>0</v>
      </c>
      <c r="AQ52" s="53">
        <f t="shared" si="23"/>
        <v>12.5</v>
      </c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</row>
    <row r="53" spans="1:56" ht="22" customHeight="1" x14ac:dyDescent="0.35">
      <c r="A53" s="8" t="s">
        <v>133</v>
      </c>
      <c r="B53" s="8" t="s">
        <v>134</v>
      </c>
      <c r="C53" s="8" t="s">
        <v>104</v>
      </c>
      <c r="D53" s="27" t="s">
        <v>7</v>
      </c>
      <c r="E53" s="28" t="s">
        <v>11</v>
      </c>
      <c r="F53" s="26" t="s">
        <v>3</v>
      </c>
      <c r="G53" s="26" t="s">
        <v>3</v>
      </c>
      <c r="H53" s="26" t="s">
        <v>3</v>
      </c>
      <c r="I53" s="26" t="s">
        <v>3</v>
      </c>
      <c r="J53" s="26" t="s">
        <v>3</v>
      </c>
      <c r="K53" s="27" t="s">
        <v>7</v>
      </c>
      <c r="L53" s="28" t="s">
        <v>11</v>
      </c>
      <c r="M53" s="26" t="s">
        <v>3</v>
      </c>
      <c r="N53" s="26" t="s">
        <v>3</v>
      </c>
      <c r="O53" s="26" t="s">
        <v>3</v>
      </c>
      <c r="P53" s="26" t="s">
        <v>3</v>
      </c>
      <c r="Q53" s="26" t="s">
        <v>3</v>
      </c>
      <c r="R53" s="27" t="s">
        <v>7</v>
      </c>
      <c r="S53" s="28" t="s">
        <v>11</v>
      </c>
      <c r="T53" s="26" t="s">
        <v>3</v>
      </c>
      <c r="U53" s="26" t="s">
        <v>3</v>
      </c>
      <c r="V53" s="26" t="s">
        <v>3</v>
      </c>
      <c r="W53" s="26" t="s">
        <v>3</v>
      </c>
      <c r="X53" s="26" t="s">
        <v>3</v>
      </c>
      <c r="Y53" s="27" t="s">
        <v>7</v>
      </c>
      <c r="Z53" s="28" t="s">
        <v>11</v>
      </c>
      <c r="AA53" s="26" t="s">
        <v>3</v>
      </c>
      <c r="AB53" s="22" t="s">
        <v>5</v>
      </c>
      <c r="AC53" s="22" t="s">
        <v>5</v>
      </c>
      <c r="AD53" s="22" t="s">
        <v>5</v>
      </c>
      <c r="AE53" s="22" t="s">
        <v>5</v>
      </c>
      <c r="AF53" s="27" t="s">
        <v>7</v>
      </c>
      <c r="AG53" s="28" t="s">
        <v>11</v>
      </c>
      <c r="AH53" s="26" t="s">
        <v>3</v>
      </c>
      <c r="AI53" s="8">
        <f t="shared" si="16"/>
        <v>17</v>
      </c>
      <c r="AJ53" s="8">
        <f t="shared" si="17"/>
        <v>4</v>
      </c>
      <c r="AK53" s="29">
        <f t="shared" si="18"/>
        <v>5</v>
      </c>
      <c r="AL53" s="62">
        <v>5</v>
      </c>
      <c r="AM53" s="33">
        <f t="shared" si="19"/>
        <v>24.5</v>
      </c>
      <c r="AN53" s="63">
        <f t="shared" si="20"/>
        <v>168</v>
      </c>
      <c r="AO53" s="63">
        <f t="shared" si="21"/>
        <v>0</v>
      </c>
      <c r="AP53" s="63">
        <f t="shared" si="22"/>
        <v>0</v>
      </c>
      <c r="AQ53" s="53">
        <f t="shared" si="23"/>
        <v>24.5</v>
      </c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</row>
    <row r="54" spans="1:56" ht="22" customHeight="1" x14ac:dyDescent="0.35">
      <c r="A54" s="8" t="s">
        <v>135</v>
      </c>
      <c r="B54" s="8" t="s">
        <v>136</v>
      </c>
      <c r="C54" s="8" t="s">
        <v>104</v>
      </c>
      <c r="D54" s="27" t="s">
        <v>7</v>
      </c>
      <c r="E54" s="28" t="s">
        <v>11</v>
      </c>
      <c r="F54" s="26" t="s">
        <v>3</v>
      </c>
      <c r="G54" s="26" t="s">
        <v>3</v>
      </c>
      <c r="H54" s="26" t="s">
        <v>3</v>
      </c>
      <c r="I54" s="26" t="s">
        <v>3</v>
      </c>
      <c r="J54" s="26" t="s">
        <v>3</v>
      </c>
      <c r="K54" s="27" t="s">
        <v>7</v>
      </c>
      <c r="L54" s="28" t="s">
        <v>11</v>
      </c>
      <c r="M54" s="26" t="s">
        <v>3</v>
      </c>
      <c r="N54" s="26" t="s">
        <v>3</v>
      </c>
      <c r="O54" s="26" t="s">
        <v>3</v>
      </c>
      <c r="P54" s="26" t="s">
        <v>3</v>
      </c>
      <c r="Q54" s="26" t="s">
        <v>3</v>
      </c>
      <c r="R54" s="27" t="s">
        <v>7</v>
      </c>
      <c r="S54" s="28" t="s">
        <v>11</v>
      </c>
      <c r="T54" s="26" t="s">
        <v>3</v>
      </c>
      <c r="U54" s="26" t="s">
        <v>3</v>
      </c>
      <c r="V54" s="26" t="s">
        <v>3</v>
      </c>
      <c r="W54" s="22" t="s">
        <v>5</v>
      </c>
      <c r="X54" s="22" t="s">
        <v>5</v>
      </c>
      <c r="Y54" s="23" t="s">
        <v>7</v>
      </c>
      <c r="Z54" s="24" t="s">
        <v>9</v>
      </c>
      <c r="AA54" s="22" t="s">
        <v>5</v>
      </c>
      <c r="AB54" s="22" t="s">
        <v>5</v>
      </c>
      <c r="AC54" s="22" t="s">
        <v>5</v>
      </c>
      <c r="AD54" s="22" t="s">
        <v>5</v>
      </c>
      <c r="AE54" s="22" t="s">
        <v>5</v>
      </c>
      <c r="AF54" s="23" t="s">
        <v>7</v>
      </c>
      <c r="AG54" s="24" t="s">
        <v>9</v>
      </c>
      <c r="AH54" s="22" t="s">
        <v>5</v>
      </c>
      <c r="AI54" s="8">
        <f t="shared" si="16"/>
        <v>13</v>
      </c>
      <c r="AJ54" s="8">
        <f t="shared" si="17"/>
        <v>8</v>
      </c>
      <c r="AK54" s="29">
        <f t="shared" si="18"/>
        <v>3</v>
      </c>
      <c r="AL54" s="62">
        <v>3</v>
      </c>
      <c r="AM54" s="33">
        <f t="shared" si="19"/>
        <v>17.5</v>
      </c>
      <c r="AN54" s="63">
        <f t="shared" si="20"/>
        <v>168</v>
      </c>
      <c r="AO54" s="63">
        <f t="shared" si="21"/>
        <v>0</v>
      </c>
      <c r="AP54" s="63">
        <f t="shared" si="22"/>
        <v>0</v>
      </c>
      <c r="AQ54" s="53">
        <f t="shared" si="23"/>
        <v>17.5</v>
      </c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</row>
    <row r="55" spans="1:56" ht="22" customHeight="1" x14ac:dyDescent="0.35">
      <c r="A55" s="8" t="s">
        <v>137</v>
      </c>
      <c r="B55" s="8" t="s">
        <v>138</v>
      </c>
      <c r="C55" s="8" t="s">
        <v>104</v>
      </c>
      <c r="D55" s="27" t="s">
        <v>7</v>
      </c>
      <c r="E55" s="28" t="s">
        <v>11</v>
      </c>
      <c r="F55" s="26" t="s">
        <v>3</v>
      </c>
      <c r="G55" s="26" t="s">
        <v>3</v>
      </c>
      <c r="H55" s="26" t="s">
        <v>3</v>
      </c>
      <c r="I55" s="26" t="s">
        <v>3</v>
      </c>
      <c r="J55" s="26" t="s">
        <v>3</v>
      </c>
      <c r="K55" s="27" t="s">
        <v>7</v>
      </c>
      <c r="L55" s="28" t="s">
        <v>11</v>
      </c>
      <c r="M55" s="26" t="s">
        <v>3</v>
      </c>
      <c r="N55" s="26" t="s">
        <v>3</v>
      </c>
      <c r="O55" s="26" t="s">
        <v>3</v>
      </c>
      <c r="P55" s="26" t="s">
        <v>3</v>
      </c>
      <c r="Q55" s="26" t="s">
        <v>3</v>
      </c>
      <c r="R55" s="27" t="s">
        <v>7</v>
      </c>
      <c r="S55" s="24" t="s">
        <v>9</v>
      </c>
      <c r="T55" s="22" t="s">
        <v>5</v>
      </c>
      <c r="U55" s="22" t="s">
        <v>5</v>
      </c>
      <c r="V55" s="22" t="s">
        <v>5</v>
      </c>
      <c r="W55" s="26" t="s">
        <v>3</v>
      </c>
      <c r="X55" s="26" t="s">
        <v>3</v>
      </c>
      <c r="Y55" s="27" t="s">
        <v>7</v>
      </c>
      <c r="Z55" s="28" t="s">
        <v>11</v>
      </c>
      <c r="AA55" s="26" t="s">
        <v>3</v>
      </c>
      <c r="AB55" s="26" t="s">
        <v>3</v>
      </c>
      <c r="AC55" s="26" t="s">
        <v>3</v>
      </c>
      <c r="AD55" s="26" t="s">
        <v>3</v>
      </c>
      <c r="AE55" s="26" t="s">
        <v>3</v>
      </c>
      <c r="AF55" s="27" t="s">
        <v>7</v>
      </c>
      <c r="AG55" s="28" t="s">
        <v>11</v>
      </c>
      <c r="AH55" s="26" t="s">
        <v>3</v>
      </c>
      <c r="AI55" s="8">
        <f t="shared" si="16"/>
        <v>18</v>
      </c>
      <c r="AJ55" s="8">
        <f t="shared" si="17"/>
        <v>3</v>
      </c>
      <c r="AK55" s="29">
        <f t="shared" si="18"/>
        <v>4</v>
      </c>
      <c r="AL55" s="62">
        <v>5</v>
      </c>
      <c r="AM55" s="33">
        <f t="shared" si="19"/>
        <v>24.5</v>
      </c>
      <c r="AN55" s="63">
        <f t="shared" si="20"/>
        <v>168</v>
      </c>
      <c r="AO55" s="63">
        <f t="shared" si="21"/>
        <v>0</v>
      </c>
      <c r="AP55" s="63">
        <f t="shared" si="22"/>
        <v>0</v>
      </c>
      <c r="AQ55" s="53">
        <f t="shared" si="23"/>
        <v>24.5</v>
      </c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</row>
    <row r="56" spans="1:56" ht="22" customHeight="1" x14ac:dyDescent="0.35">
      <c r="A56" s="8" t="s">
        <v>139</v>
      </c>
      <c r="B56" s="8" t="s">
        <v>140</v>
      </c>
      <c r="C56" s="8" t="s">
        <v>104</v>
      </c>
      <c r="D56" s="27" t="s">
        <v>7</v>
      </c>
      <c r="E56" s="28" t="s">
        <v>11</v>
      </c>
      <c r="F56" s="26" t="s">
        <v>3</v>
      </c>
      <c r="G56" s="26" t="s">
        <v>3</v>
      </c>
      <c r="H56" s="26" t="s">
        <v>3</v>
      </c>
      <c r="I56" s="26" t="s">
        <v>3</v>
      </c>
      <c r="J56" s="26" t="s">
        <v>3</v>
      </c>
      <c r="K56" s="27" t="s">
        <v>7</v>
      </c>
      <c r="L56" s="28" t="s">
        <v>11</v>
      </c>
      <c r="M56" s="22" t="s">
        <v>5</v>
      </c>
      <c r="N56" s="26" t="s">
        <v>3</v>
      </c>
      <c r="O56" s="26" t="s">
        <v>3</v>
      </c>
      <c r="P56" s="26" t="s">
        <v>3</v>
      </c>
      <c r="Q56" s="26" t="s">
        <v>3</v>
      </c>
      <c r="R56" s="27" t="s">
        <v>7</v>
      </c>
      <c r="S56" s="28" t="s">
        <v>11</v>
      </c>
      <c r="T56" s="26" t="s">
        <v>3</v>
      </c>
      <c r="U56" s="26" t="s">
        <v>3</v>
      </c>
      <c r="V56" s="22" t="s">
        <v>5</v>
      </c>
      <c r="W56" s="22" t="s">
        <v>5</v>
      </c>
      <c r="X56" s="22" t="s">
        <v>5</v>
      </c>
      <c r="Y56" s="23" t="s">
        <v>7</v>
      </c>
      <c r="Z56" s="24" t="s">
        <v>9</v>
      </c>
      <c r="AA56" s="22" t="s">
        <v>5</v>
      </c>
      <c r="AB56" s="22" t="s">
        <v>5</v>
      </c>
      <c r="AC56" s="26" t="s">
        <v>3</v>
      </c>
      <c r="AD56" s="26" t="s">
        <v>3</v>
      </c>
      <c r="AE56" s="26" t="s">
        <v>3</v>
      </c>
      <c r="AF56" s="27" t="s">
        <v>7</v>
      </c>
      <c r="AG56" s="28" t="s">
        <v>11</v>
      </c>
      <c r="AH56" s="26" t="s">
        <v>3</v>
      </c>
      <c r="AI56" s="8">
        <f t="shared" si="16"/>
        <v>15</v>
      </c>
      <c r="AJ56" s="8">
        <f t="shared" si="17"/>
        <v>6</v>
      </c>
      <c r="AK56" s="29">
        <f t="shared" si="18"/>
        <v>4</v>
      </c>
      <c r="AL56" s="62">
        <v>4</v>
      </c>
      <c r="AM56" s="33">
        <f t="shared" si="19"/>
        <v>21</v>
      </c>
      <c r="AN56" s="63">
        <f t="shared" si="20"/>
        <v>168</v>
      </c>
      <c r="AO56" s="63">
        <f t="shared" si="21"/>
        <v>0</v>
      </c>
      <c r="AP56" s="63">
        <f t="shared" si="22"/>
        <v>0</v>
      </c>
      <c r="AQ56" s="53">
        <f t="shared" si="23"/>
        <v>21</v>
      </c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spans="1:56" ht="22" customHeight="1" x14ac:dyDescent="0.35">
      <c r="A57" s="8" t="s">
        <v>141</v>
      </c>
      <c r="B57" s="8" t="s">
        <v>142</v>
      </c>
      <c r="C57" s="8" t="s">
        <v>104</v>
      </c>
      <c r="D57" s="27" t="s">
        <v>7</v>
      </c>
      <c r="E57" s="24" t="s">
        <v>9</v>
      </c>
      <c r="F57" s="26" t="s">
        <v>3</v>
      </c>
      <c r="G57" s="26" t="s">
        <v>3</v>
      </c>
      <c r="H57" s="26" t="s">
        <v>3</v>
      </c>
      <c r="I57" s="26" t="s">
        <v>3</v>
      </c>
      <c r="J57" s="26" t="s">
        <v>3</v>
      </c>
      <c r="K57" s="23" t="s">
        <v>7</v>
      </c>
      <c r="L57" s="24" t="s">
        <v>9</v>
      </c>
      <c r="M57" s="22" t="s">
        <v>5</v>
      </c>
      <c r="N57" s="22" t="s">
        <v>5</v>
      </c>
      <c r="O57" s="26" t="s">
        <v>3</v>
      </c>
      <c r="P57" s="26" t="s">
        <v>3</v>
      </c>
      <c r="Q57" s="26" t="s">
        <v>3</v>
      </c>
      <c r="R57" s="27" t="s">
        <v>7</v>
      </c>
      <c r="S57" s="24" t="s">
        <v>9</v>
      </c>
      <c r="T57" s="22" t="s">
        <v>5</v>
      </c>
      <c r="U57" s="22" t="s">
        <v>5</v>
      </c>
      <c r="V57" s="22" t="s">
        <v>5</v>
      </c>
      <c r="W57" s="22" t="s">
        <v>5</v>
      </c>
      <c r="X57" s="22" t="s">
        <v>5</v>
      </c>
      <c r="Y57" s="23" t="s">
        <v>7</v>
      </c>
      <c r="Z57" s="24" t="s">
        <v>9</v>
      </c>
      <c r="AA57" s="22" t="s">
        <v>5</v>
      </c>
      <c r="AB57" s="22" t="s">
        <v>5</v>
      </c>
      <c r="AC57" s="22" t="s">
        <v>5</v>
      </c>
      <c r="AD57" s="22" t="s">
        <v>5</v>
      </c>
      <c r="AE57" s="22" t="s">
        <v>5</v>
      </c>
      <c r="AF57" s="23" t="s">
        <v>7</v>
      </c>
      <c r="AG57" s="24" t="s">
        <v>9</v>
      </c>
      <c r="AH57" s="22" t="s">
        <v>5</v>
      </c>
      <c r="AI57" s="8">
        <f t="shared" si="16"/>
        <v>8</v>
      </c>
      <c r="AJ57" s="25">
        <f t="shared" si="17"/>
        <v>13</v>
      </c>
      <c r="AK57" s="8">
        <f t="shared" si="18"/>
        <v>0</v>
      </c>
      <c r="AL57" s="62">
        <v>2</v>
      </c>
      <c r="AM57" s="33">
        <f t="shared" si="19"/>
        <v>9</v>
      </c>
      <c r="AN57" s="63">
        <f t="shared" si="20"/>
        <v>168</v>
      </c>
      <c r="AO57" s="63">
        <f t="shared" si="21"/>
        <v>0</v>
      </c>
      <c r="AP57" s="63">
        <f t="shared" si="22"/>
        <v>0</v>
      </c>
      <c r="AQ57" s="53">
        <f t="shared" si="23"/>
        <v>9</v>
      </c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</row>
    <row r="58" spans="1:56" ht="22" customHeight="1" x14ac:dyDescent="0.35">
      <c r="A58" s="8" t="s">
        <v>143</v>
      </c>
      <c r="B58" s="8" t="s">
        <v>144</v>
      </c>
      <c r="C58" s="8" t="s">
        <v>104</v>
      </c>
      <c r="D58" s="27" t="s">
        <v>7</v>
      </c>
      <c r="E58" s="28" t="s">
        <v>11</v>
      </c>
      <c r="F58" s="26" t="s">
        <v>3</v>
      </c>
      <c r="G58" s="26" t="s">
        <v>3</v>
      </c>
      <c r="H58" s="26" t="s">
        <v>3</v>
      </c>
      <c r="I58" s="22" t="s">
        <v>5</v>
      </c>
      <c r="J58" s="26" t="s">
        <v>3</v>
      </c>
      <c r="K58" s="27" t="s">
        <v>7</v>
      </c>
      <c r="L58" s="28" t="s">
        <v>11</v>
      </c>
      <c r="M58" s="26" t="s">
        <v>3</v>
      </c>
      <c r="N58" s="22" t="s">
        <v>5</v>
      </c>
      <c r="O58" s="26" t="s">
        <v>3</v>
      </c>
      <c r="P58" s="26" t="s">
        <v>3</v>
      </c>
      <c r="Q58" s="26" t="s">
        <v>3</v>
      </c>
      <c r="R58" s="27" t="s">
        <v>7</v>
      </c>
      <c r="S58" s="28" t="s">
        <v>11</v>
      </c>
      <c r="T58" s="26" t="s">
        <v>3</v>
      </c>
      <c r="U58" s="26" t="s">
        <v>3</v>
      </c>
      <c r="V58" s="26" t="s">
        <v>3</v>
      </c>
      <c r="W58" s="22" t="s">
        <v>5</v>
      </c>
      <c r="X58" s="22" t="s">
        <v>5</v>
      </c>
      <c r="Y58" s="23" t="s">
        <v>7</v>
      </c>
      <c r="Z58" s="24" t="s">
        <v>9</v>
      </c>
      <c r="AA58" s="26" t="s">
        <v>3</v>
      </c>
      <c r="AB58" s="26" t="s">
        <v>3</v>
      </c>
      <c r="AC58" s="26" t="s">
        <v>3</v>
      </c>
      <c r="AD58" s="26" t="s">
        <v>3</v>
      </c>
      <c r="AE58" s="26" t="s">
        <v>3</v>
      </c>
      <c r="AF58" s="27" t="s">
        <v>7</v>
      </c>
      <c r="AG58" s="28" t="s">
        <v>11</v>
      </c>
      <c r="AH58" s="26" t="s">
        <v>3</v>
      </c>
      <c r="AI58" s="8">
        <f t="shared" si="16"/>
        <v>17</v>
      </c>
      <c r="AJ58" s="8">
        <f t="shared" si="17"/>
        <v>4</v>
      </c>
      <c r="AK58" s="29">
        <f t="shared" si="18"/>
        <v>4</v>
      </c>
      <c r="AL58" s="62">
        <v>4</v>
      </c>
      <c r="AM58" s="33">
        <f t="shared" si="19"/>
        <v>23</v>
      </c>
      <c r="AN58" s="63">
        <f t="shared" si="20"/>
        <v>168</v>
      </c>
      <c r="AO58" s="63">
        <f t="shared" si="21"/>
        <v>0</v>
      </c>
      <c r="AP58" s="63">
        <f t="shared" si="22"/>
        <v>0</v>
      </c>
      <c r="AQ58" s="53">
        <f t="shared" si="23"/>
        <v>23</v>
      </c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</row>
    <row r="59" spans="1:56" ht="22" customHeight="1" x14ac:dyDescent="0.35">
      <c r="A59" s="8" t="s">
        <v>145</v>
      </c>
      <c r="B59" s="8" t="s">
        <v>146</v>
      </c>
      <c r="C59" s="8" t="s">
        <v>104</v>
      </c>
      <c r="D59" s="27" t="s">
        <v>7</v>
      </c>
      <c r="E59" s="28" t="s">
        <v>11</v>
      </c>
      <c r="F59" s="26" t="s">
        <v>3</v>
      </c>
      <c r="G59" s="26" t="s">
        <v>3</v>
      </c>
      <c r="H59" s="26" t="s">
        <v>3</v>
      </c>
      <c r="I59" s="26" t="s">
        <v>3</v>
      </c>
      <c r="J59" s="26" t="s">
        <v>3</v>
      </c>
      <c r="K59" s="27" t="s">
        <v>7</v>
      </c>
      <c r="L59" s="28" t="s">
        <v>11</v>
      </c>
      <c r="M59" s="26" t="s">
        <v>3</v>
      </c>
      <c r="N59" s="26" t="s">
        <v>3</v>
      </c>
      <c r="O59" s="26" t="s">
        <v>3</v>
      </c>
      <c r="P59" s="26" t="s">
        <v>3</v>
      </c>
      <c r="Q59" s="26" t="s">
        <v>3</v>
      </c>
      <c r="R59" s="27" t="s">
        <v>7</v>
      </c>
      <c r="S59" s="28" t="s">
        <v>11</v>
      </c>
      <c r="T59" s="26" t="s">
        <v>3</v>
      </c>
      <c r="U59" s="26" t="s">
        <v>3</v>
      </c>
      <c r="V59" s="26" t="s">
        <v>3</v>
      </c>
      <c r="W59" s="26" t="s">
        <v>3</v>
      </c>
      <c r="X59" s="26" t="s">
        <v>3</v>
      </c>
      <c r="Y59" s="23" t="s">
        <v>7</v>
      </c>
      <c r="Z59" s="24" t="s">
        <v>9</v>
      </c>
      <c r="AA59" s="22" t="s">
        <v>5</v>
      </c>
      <c r="AB59" s="26" t="s">
        <v>3</v>
      </c>
      <c r="AC59" s="26" t="s">
        <v>3</v>
      </c>
      <c r="AD59" s="26" t="s">
        <v>3</v>
      </c>
      <c r="AE59" s="26" t="s">
        <v>3</v>
      </c>
      <c r="AF59" s="27" t="s">
        <v>7</v>
      </c>
      <c r="AG59" s="28" t="s">
        <v>11</v>
      </c>
      <c r="AH59" s="26" t="s">
        <v>3</v>
      </c>
      <c r="AI59" s="8">
        <f t="shared" si="16"/>
        <v>20</v>
      </c>
      <c r="AJ59" s="8">
        <f t="shared" si="17"/>
        <v>1</v>
      </c>
      <c r="AK59" s="29">
        <f t="shared" si="18"/>
        <v>4</v>
      </c>
      <c r="AL59" s="62">
        <v>4</v>
      </c>
      <c r="AM59" s="33">
        <f t="shared" si="19"/>
        <v>26</v>
      </c>
      <c r="AN59" s="63">
        <f t="shared" si="20"/>
        <v>168</v>
      </c>
      <c r="AO59" s="63">
        <f t="shared" si="21"/>
        <v>0</v>
      </c>
      <c r="AP59" s="63">
        <f t="shared" si="22"/>
        <v>0</v>
      </c>
      <c r="AQ59" s="53">
        <f t="shared" si="23"/>
        <v>26</v>
      </c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</row>
    <row r="60" spans="1:56" ht="22" customHeight="1" x14ac:dyDescent="0.35">
      <c r="A60" s="8" t="s">
        <v>147</v>
      </c>
      <c r="B60" s="8" t="s">
        <v>148</v>
      </c>
      <c r="C60" s="8" t="s">
        <v>104</v>
      </c>
      <c r="D60" s="27" t="s">
        <v>7</v>
      </c>
      <c r="E60" s="28" t="s">
        <v>11</v>
      </c>
      <c r="F60" s="26" t="s">
        <v>3</v>
      </c>
      <c r="G60" s="26" t="s">
        <v>3</v>
      </c>
      <c r="H60" s="26" t="s">
        <v>3</v>
      </c>
      <c r="I60" s="26" t="s">
        <v>3</v>
      </c>
      <c r="J60" s="26" t="s">
        <v>3</v>
      </c>
      <c r="K60" s="27" t="s">
        <v>7</v>
      </c>
      <c r="L60" s="28" t="s">
        <v>11</v>
      </c>
      <c r="M60" s="26" t="s">
        <v>3</v>
      </c>
      <c r="N60" s="26" t="s">
        <v>3</v>
      </c>
      <c r="O60" s="26" t="s">
        <v>3</v>
      </c>
      <c r="P60" s="26" t="s">
        <v>3</v>
      </c>
      <c r="Q60" s="26" t="s">
        <v>3</v>
      </c>
      <c r="R60" s="27" t="s">
        <v>7</v>
      </c>
      <c r="S60" s="24" t="s">
        <v>9</v>
      </c>
      <c r="T60" s="22" t="s">
        <v>5</v>
      </c>
      <c r="U60" s="22" t="s">
        <v>5</v>
      </c>
      <c r="V60" s="22" t="s">
        <v>5</v>
      </c>
      <c r="W60" s="22" t="s">
        <v>5</v>
      </c>
      <c r="X60" s="22" t="s">
        <v>5</v>
      </c>
      <c r="Y60" s="23" t="s">
        <v>7</v>
      </c>
      <c r="Z60" s="24" t="s">
        <v>9</v>
      </c>
      <c r="AA60" s="22" t="s">
        <v>5</v>
      </c>
      <c r="AB60" s="22" t="s">
        <v>5</v>
      </c>
      <c r="AC60" s="22" t="s">
        <v>5</v>
      </c>
      <c r="AD60" s="22" t="s">
        <v>5</v>
      </c>
      <c r="AE60" s="22" t="s">
        <v>5</v>
      </c>
      <c r="AF60" s="23" t="s">
        <v>7</v>
      </c>
      <c r="AG60" s="24" t="s">
        <v>9</v>
      </c>
      <c r="AH60" s="22" t="s">
        <v>5</v>
      </c>
      <c r="AI60" s="8">
        <f t="shared" si="16"/>
        <v>10</v>
      </c>
      <c r="AJ60" s="25">
        <f t="shared" si="17"/>
        <v>11</v>
      </c>
      <c r="AK60" s="29">
        <f t="shared" si="18"/>
        <v>2</v>
      </c>
      <c r="AL60" s="62">
        <v>3</v>
      </c>
      <c r="AM60" s="33">
        <f t="shared" si="19"/>
        <v>13.5</v>
      </c>
      <c r="AN60" s="63">
        <f t="shared" si="20"/>
        <v>168</v>
      </c>
      <c r="AO60" s="63">
        <f t="shared" si="21"/>
        <v>0</v>
      </c>
      <c r="AP60" s="63">
        <f t="shared" si="22"/>
        <v>0</v>
      </c>
      <c r="AQ60" s="53">
        <f t="shared" si="23"/>
        <v>13.5</v>
      </c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</row>
    <row r="61" spans="1:56" ht="22" customHeight="1" x14ac:dyDescent="0.35">
      <c r="A61" s="8" t="s">
        <v>149</v>
      </c>
      <c r="B61" s="8" t="s">
        <v>150</v>
      </c>
      <c r="C61" s="8" t="s">
        <v>104</v>
      </c>
      <c r="D61" s="27" t="s">
        <v>7</v>
      </c>
      <c r="E61" s="28" t="s">
        <v>11</v>
      </c>
      <c r="F61" s="26" t="s">
        <v>3</v>
      </c>
      <c r="G61" s="26" t="s">
        <v>3</v>
      </c>
      <c r="H61" s="26" t="s">
        <v>3</v>
      </c>
      <c r="I61" s="26" t="s">
        <v>3</v>
      </c>
      <c r="J61" s="26" t="s">
        <v>3</v>
      </c>
      <c r="K61" s="27" t="s">
        <v>7</v>
      </c>
      <c r="L61" s="28" t="s">
        <v>11</v>
      </c>
      <c r="M61" s="26" t="s">
        <v>3</v>
      </c>
      <c r="N61" s="26" t="s">
        <v>3</v>
      </c>
      <c r="O61" s="26" t="s">
        <v>3</v>
      </c>
      <c r="P61" s="26" t="s">
        <v>3</v>
      </c>
      <c r="Q61" s="26" t="s">
        <v>3</v>
      </c>
      <c r="R61" s="27" t="s">
        <v>7</v>
      </c>
      <c r="S61" s="24" t="s">
        <v>9</v>
      </c>
      <c r="T61" s="26" t="s">
        <v>3</v>
      </c>
      <c r="U61" s="26" t="s">
        <v>3</v>
      </c>
      <c r="V61" s="26" t="s">
        <v>3</v>
      </c>
      <c r="W61" s="22" t="s">
        <v>5</v>
      </c>
      <c r="X61" s="22" t="s">
        <v>5</v>
      </c>
      <c r="Y61" s="23" t="s">
        <v>7</v>
      </c>
      <c r="Z61" s="24" t="s">
        <v>9</v>
      </c>
      <c r="AA61" s="22" t="s">
        <v>5</v>
      </c>
      <c r="AB61" s="22" t="s">
        <v>5</v>
      </c>
      <c r="AC61" s="22" t="s">
        <v>5</v>
      </c>
      <c r="AD61" s="22" t="s">
        <v>5</v>
      </c>
      <c r="AE61" s="22" t="s">
        <v>5</v>
      </c>
      <c r="AF61" s="23" t="s">
        <v>7</v>
      </c>
      <c r="AG61" s="24" t="s">
        <v>9</v>
      </c>
      <c r="AH61" s="22" t="s">
        <v>5</v>
      </c>
      <c r="AI61" s="8">
        <f t="shared" si="16"/>
        <v>13</v>
      </c>
      <c r="AJ61" s="8">
        <f t="shared" si="17"/>
        <v>8</v>
      </c>
      <c r="AK61" s="29">
        <f t="shared" si="18"/>
        <v>2</v>
      </c>
      <c r="AL61" s="62">
        <v>3</v>
      </c>
      <c r="AM61" s="33">
        <f t="shared" si="19"/>
        <v>16.5</v>
      </c>
      <c r="AN61" s="63">
        <f t="shared" si="20"/>
        <v>168</v>
      </c>
      <c r="AO61" s="63">
        <f t="shared" si="21"/>
        <v>0</v>
      </c>
      <c r="AP61" s="63">
        <f t="shared" si="22"/>
        <v>0</v>
      </c>
      <c r="AQ61" s="53">
        <f t="shared" si="23"/>
        <v>16.5</v>
      </c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</row>
    <row r="62" spans="1:56" ht="22" customHeight="1" x14ac:dyDescent="0.35">
      <c r="A62" s="8" t="s">
        <v>151</v>
      </c>
      <c r="B62" s="8" t="s">
        <v>152</v>
      </c>
      <c r="C62" s="8" t="s">
        <v>104</v>
      </c>
      <c r="D62" s="27" t="s">
        <v>7</v>
      </c>
      <c r="E62" s="28" t="s">
        <v>11</v>
      </c>
      <c r="F62" s="26" t="s">
        <v>3</v>
      </c>
      <c r="G62" s="26" t="s">
        <v>3</v>
      </c>
      <c r="H62" s="26" t="s">
        <v>3</v>
      </c>
      <c r="I62" s="22" t="s">
        <v>5</v>
      </c>
      <c r="J62" s="26" t="s">
        <v>3</v>
      </c>
      <c r="K62" s="27" t="s">
        <v>7</v>
      </c>
      <c r="L62" s="28" t="s">
        <v>11</v>
      </c>
      <c r="M62" s="26" t="s">
        <v>3</v>
      </c>
      <c r="N62" s="26" t="s">
        <v>3</v>
      </c>
      <c r="O62" s="26" t="s">
        <v>3</v>
      </c>
      <c r="P62" s="26" t="s">
        <v>3</v>
      </c>
      <c r="Q62" s="26" t="s">
        <v>3</v>
      </c>
      <c r="R62" s="27" t="s">
        <v>7</v>
      </c>
      <c r="S62" s="28" t="s">
        <v>11</v>
      </c>
      <c r="T62" s="26" t="s">
        <v>3</v>
      </c>
      <c r="U62" s="26" t="s">
        <v>3</v>
      </c>
      <c r="V62" s="26" t="s">
        <v>3</v>
      </c>
      <c r="W62" s="26" t="s">
        <v>3</v>
      </c>
      <c r="X62" s="26" t="s">
        <v>3</v>
      </c>
      <c r="Y62" s="27" t="s">
        <v>7</v>
      </c>
      <c r="Z62" s="28" t="s">
        <v>11</v>
      </c>
      <c r="AA62" s="26" t="s">
        <v>3</v>
      </c>
      <c r="AB62" s="26" t="s">
        <v>3</v>
      </c>
      <c r="AC62" s="26" t="s">
        <v>3</v>
      </c>
      <c r="AD62" s="26" t="s">
        <v>3</v>
      </c>
      <c r="AE62" s="26" t="s">
        <v>3</v>
      </c>
      <c r="AF62" s="23" t="s">
        <v>7</v>
      </c>
      <c r="AG62" s="24" t="s">
        <v>9</v>
      </c>
      <c r="AH62" s="22" t="s">
        <v>5</v>
      </c>
      <c r="AI62" s="8">
        <f t="shared" si="16"/>
        <v>19</v>
      </c>
      <c r="AJ62" s="8">
        <f t="shared" si="17"/>
        <v>2</v>
      </c>
      <c r="AK62" s="29">
        <f t="shared" si="18"/>
        <v>4</v>
      </c>
      <c r="AL62" s="62">
        <v>4</v>
      </c>
      <c r="AM62" s="33">
        <f t="shared" si="19"/>
        <v>25</v>
      </c>
      <c r="AN62" s="63">
        <f t="shared" si="20"/>
        <v>168</v>
      </c>
      <c r="AO62" s="63">
        <f t="shared" si="21"/>
        <v>0</v>
      </c>
      <c r="AP62" s="63">
        <f t="shared" si="22"/>
        <v>0</v>
      </c>
      <c r="AQ62" s="53">
        <f t="shared" si="23"/>
        <v>25</v>
      </c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</row>
    <row r="63" spans="1:56" ht="22" customHeight="1" x14ac:dyDescent="0.35">
      <c r="A63" s="8" t="s">
        <v>153</v>
      </c>
      <c r="B63" s="8" t="s">
        <v>154</v>
      </c>
      <c r="C63" s="8" t="s">
        <v>104</v>
      </c>
      <c r="D63" s="27" t="s">
        <v>7</v>
      </c>
      <c r="E63" s="28" t="s">
        <v>11</v>
      </c>
      <c r="F63" s="26" t="s">
        <v>3</v>
      </c>
      <c r="G63" s="26" t="s">
        <v>3</v>
      </c>
      <c r="H63" s="26" t="s">
        <v>3</v>
      </c>
      <c r="I63" s="22" t="s">
        <v>5</v>
      </c>
      <c r="J63" s="26" t="s">
        <v>3</v>
      </c>
      <c r="K63" s="27" t="s">
        <v>7</v>
      </c>
      <c r="L63" s="28" t="s">
        <v>11</v>
      </c>
      <c r="M63" s="26" t="s">
        <v>3</v>
      </c>
      <c r="N63" s="22" t="s">
        <v>5</v>
      </c>
      <c r="O63" s="26" t="s">
        <v>3</v>
      </c>
      <c r="P63" s="26" t="s">
        <v>3</v>
      </c>
      <c r="Q63" s="26" t="s">
        <v>3</v>
      </c>
      <c r="R63" s="27" t="s">
        <v>7</v>
      </c>
      <c r="S63" s="24" t="s">
        <v>9</v>
      </c>
      <c r="T63" s="22" t="s">
        <v>5</v>
      </c>
      <c r="U63" s="22" t="s">
        <v>5</v>
      </c>
      <c r="V63" s="22" t="s">
        <v>5</v>
      </c>
      <c r="W63" s="22" t="s">
        <v>5</v>
      </c>
      <c r="X63" s="22" t="s">
        <v>5</v>
      </c>
      <c r="Y63" s="23" t="s">
        <v>7</v>
      </c>
      <c r="Z63" s="24" t="s">
        <v>9</v>
      </c>
      <c r="AA63" s="22" t="s">
        <v>5</v>
      </c>
      <c r="AB63" s="22" t="s">
        <v>5</v>
      </c>
      <c r="AC63" s="22" t="s">
        <v>5</v>
      </c>
      <c r="AD63" s="22" t="s">
        <v>5</v>
      </c>
      <c r="AE63" s="22" t="s">
        <v>5</v>
      </c>
      <c r="AF63" s="23" t="s">
        <v>7</v>
      </c>
      <c r="AG63" s="24" t="s">
        <v>9</v>
      </c>
      <c r="AH63" s="22" t="s">
        <v>5</v>
      </c>
      <c r="AI63" s="8">
        <f t="shared" si="16"/>
        <v>8</v>
      </c>
      <c r="AJ63" s="25">
        <f t="shared" si="17"/>
        <v>13</v>
      </c>
      <c r="AK63" s="29">
        <f t="shared" si="18"/>
        <v>2</v>
      </c>
      <c r="AL63" s="62">
        <v>3</v>
      </c>
      <c r="AM63" s="33">
        <f t="shared" si="19"/>
        <v>11.5</v>
      </c>
      <c r="AN63" s="63">
        <f t="shared" si="20"/>
        <v>168</v>
      </c>
      <c r="AO63" s="63">
        <f t="shared" si="21"/>
        <v>0</v>
      </c>
      <c r="AP63" s="63">
        <f t="shared" si="22"/>
        <v>0</v>
      </c>
      <c r="AQ63" s="53">
        <f t="shared" si="23"/>
        <v>11.5</v>
      </c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</row>
    <row r="64" spans="1:56" ht="22" customHeight="1" x14ac:dyDescent="0.35">
      <c r="A64" s="8" t="s">
        <v>155</v>
      </c>
      <c r="B64" s="8" t="s">
        <v>156</v>
      </c>
      <c r="C64" s="8" t="s">
        <v>104</v>
      </c>
      <c r="D64" s="27" t="s">
        <v>7</v>
      </c>
      <c r="E64" s="24" t="s">
        <v>9</v>
      </c>
      <c r="F64" s="26" t="s">
        <v>3</v>
      </c>
      <c r="G64" s="26" t="s">
        <v>3</v>
      </c>
      <c r="H64" s="26" t="s">
        <v>3</v>
      </c>
      <c r="I64" s="22" t="s">
        <v>5</v>
      </c>
      <c r="J64" s="26" t="s">
        <v>3</v>
      </c>
      <c r="K64" s="27" t="s">
        <v>7</v>
      </c>
      <c r="L64" s="28" t="s">
        <v>11</v>
      </c>
      <c r="M64" s="22" t="s">
        <v>5</v>
      </c>
      <c r="N64" s="22" t="s">
        <v>5</v>
      </c>
      <c r="O64" s="22" t="s">
        <v>5</v>
      </c>
      <c r="P64" s="22" t="s">
        <v>5</v>
      </c>
      <c r="Q64" s="22" t="s">
        <v>5</v>
      </c>
      <c r="R64" s="23" t="s">
        <v>7</v>
      </c>
      <c r="S64" s="24" t="s">
        <v>9</v>
      </c>
      <c r="T64" s="22" t="s">
        <v>5</v>
      </c>
      <c r="U64" s="22" t="s">
        <v>5</v>
      </c>
      <c r="V64" s="22" t="s">
        <v>5</v>
      </c>
      <c r="W64" s="22" t="s">
        <v>5</v>
      </c>
      <c r="X64" s="22" t="s">
        <v>5</v>
      </c>
      <c r="Y64" s="27" t="s">
        <v>7</v>
      </c>
      <c r="Z64" s="28" t="s">
        <v>11</v>
      </c>
      <c r="AA64" s="26" t="s">
        <v>3</v>
      </c>
      <c r="AB64" s="26" t="s">
        <v>3</v>
      </c>
      <c r="AC64" s="26" t="s">
        <v>3</v>
      </c>
      <c r="AD64" s="26" t="s">
        <v>3</v>
      </c>
      <c r="AE64" s="26" t="s">
        <v>3</v>
      </c>
      <c r="AF64" s="27" t="s">
        <v>7</v>
      </c>
      <c r="AG64" s="28" t="s">
        <v>11</v>
      </c>
      <c r="AH64" s="22" t="s">
        <v>5</v>
      </c>
      <c r="AI64" s="8">
        <f t="shared" si="16"/>
        <v>9</v>
      </c>
      <c r="AJ64" s="25">
        <f t="shared" si="17"/>
        <v>12</v>
      </c>
      <c r="AK64" s="29">
        <f t="shared" si="18"/>
        <v>3</v>
      </c>
      <c r="AL64" s="62">
        <v>4</v>
      </c>
      <c r="AM64" s="33">
        <f t="shared" si="19"/>
        <v>14</v>
      </c>
      <c r="AN64" s="63">
        <f t="shared" si="20"/>
        <v>168</v>
      </c>
      <c r="AO64" s="63">
        <f t="shared" si="21"/>
        <v>0</v>
      </c>
      <c r="AP64" s="63">
        <f t="shared" si="22"/>
        <v>0</v>
      </c>
      <c r="AQ64" s="53">
        <f t="shared" si="23"/>
        <v>14</v>
      </c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</row>
    <row r="65" spans="1:56" ht="22" customHeight="1" x14ac:dyDescent="0.35">
      <c r="A65" s="8" t="s">
        <v>157</v>
      </c>
      <c r="B65" s="8" t="s">
        <v>158</v>
      </c>
      <c r="C65" s="8" t="s">
        <v>104</v>
      </c>
      <c r="D65" s="23" t="s">
        <v>7</v>
      </c>
      <c r="E65" s="24" t="s">
        <v>9</v>
      </c>
      <c r="F65" s="22" t="s">
        <v>5</v>
      </c>
      <c r="G65" s="22" t="s">
        <v>5</v>
      </c>
      <c r="H65" s="22" t="s">
        <v>5</v>
      </c>
      <c r="I65" s="22" t="s">
        <v>5</v>
      </c>
      <c r="J65" s="22" t="s">
        <v>5</v>
      </c>
      <c r="K65" s="23" t="s">
        <v>7</v>
      </c>
      <c r="L65" s="24" t="s">
        <v>9</v>
      </c>
      <c r="M65" s="22" t="s">
        <v>5</v>
      </c>
      <c r="N65" s="22" t="s">
        <v>5</v>
      </c>
      <c r="O65" s="22" t="s">
        <v>5</v>
      </c>
      <c r="P65" s="22" t="s">
        <v>5</v>
      </c>
      <c r="Q65" s="22" t="s">
        <v>5</v>
      </c>
      <c r="R65" s="23" t="s">
        <v>7</v>
      </c>
      <c r="S65" s="24" t="s">
        <v>9</v>
      </c>
      <c r="T65" s="22" t="s">
        <v>5</v>
      </c>
      <c r="U65" s="22" t="s">
        <v>5</v>
      </c>
      <c r="V65" s="22" t="s">
        <v>5</v>
      </c>
      <c r="W65" s="22" t="s">
        <v>5</v>
      </c>
      <c r="X65" s="22" t="s">
        <v>5</v>
      </c>
      <c r="Y65" s="23" t="s">
        <v>7</v>
      </c>
      <c r="Z65" s="24" t="s">
        <v>9</v>
      </c>
      <c r="AA65" s="22" t="s">
        <v>5</v>
      </c>
      <c r="AB65" s="22" t="s">
        <v>5</v>
      </c>
      <c r="AC65" s="22" t="s">
        <v>5</v>
      </c>
      <c r="AD65" s="22" t="s">
        <v>5</v>
      </c>
      <c r="AE65" s="22" t="s">
        <v>5</v>
      </c>
      <c r="AF65" s="23" t="s">
        <v>7</v>
      </c>
      <c r="AG65" s="24" t="s">
        <v>9</v>
      </c>
      <c r="AH65" s="22" t="s">
        <v>5</v>
      </c>
      <c r="AI65" s="8">
        <f t="shared" si="16"/>
        <v>0</v>
      </c>
      <c r="AJ65" s="25">
        <f t="shared" si="17"/>
        <v>21</v>
      </c>
      <c r="AK65" s="8">
        <f t="shared" si="18"/>
        <v>0</v>
      </c>
      <c r="AL65" s="62">
        <v>0</v>
      </c>
      <c r="AM65" s="33">
        <f t="shared" si="19"/>
        <v>0</v>
      </c>
      <c r="AN65" s="63">
        <f t="shared" si="20"/>
        <v>168</v>
      </c>
      <c r="AO65" s="63">
        <f t="shared" si="21"/>
        <v>0</v>
      </c>
      <c r="AP65" s="63">
        <f t="shared" si="22"/>
        <v>0</v>
      </c>
      <c r="AQ65" s="53">
        <f t="shared" si="23"/>
        <v>0</v>
      </c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</row>
    <row r="66" spans="1:56" ht="22" customHeight="1" x14ac:dyDescent="0.35">
      <c r="A66" s="8" t="s">
        <v>159</v>
      </c>
      <c r="B66" s="8" t="s">
        <v>160</v>
      </c>
      <c r="C66" s="8" t="s">
        <v>104</v>
      </c>
      <c r="D66" s="23" t="s">
        <v>7</v>
      </c>
      <c r="E66" s="24" t="s">
        <v>9</v>
      </c>
      <c r="F66" s="22" t="s">
        <v>5</v>
      </c>
      <c r="G66" s="22" t="s">
        <v>5</v>
      </c>
      <c r="H66" s="22" t="s">
        <v>5</v>
      </c>
      <c r="I66" s="22" t="s">
        <v>5</v>
      </c>
      <c r="J66" s="22" t="s">
        <v>5</v>
      </c>
      <c r="K66" s="23" t="s">
        <v>7</v>
      </c>
      <c r="L66" s="24" t="s">
        <v>9</v>
      </c>
      <c r="M66" s="22" t="s">
        <v>5</v>
      </c>
      <c r="N66" s="22" t="s">
        <v>5</v>
      </c>
      <c r="O66" s="22" t="s">
        <v>5</v>
      </c>
      <c r="P66" s="22" t="s">
        <v>5</v>
      </c>
      <c r="Q66" s="22" t="s">
        <v>5</v>
      </c>
      <c r="R66" s="23" t="s">
        <v>7</v>
      </c>
      <c r="S66" s="24" t="s">
        <v>9</v>
      </c>
      <c r="T66" s="22" t="s">
        <v>5</v>
      </c>
      <c r="U66" s="22" t="s">
        <v>5</v>
      </c>
      <c r="V66" s="22" t="s">
        <v>5</v>
      </c>
      <c r="W66" s="22" t="s">
        <v>5</v>
      </c>
      <c r="X66" s="22" t="s">
        <v>5</v>
      </c>
      <c r="Y66" s="23" t="s">
        <v>7</v>
      </c>
      <c r="Z66" s="24" t="s">
        <v>9</v>
      </c>
      <c r="AA66" s="22" t="s">
        <v>5</v>
      </c>
      <c r="AB66" s="22" t="s">
        <v>5</v>
      </c>
      <c r="AC66" s="22" t="s">
        <v>5</v>
      </c>
      <c r="AD66" s="22" t="s">
        <v>5</v>
      </c>
      <c r="AE66" s="22" t="s">
        <v>5</v>
      </c>
      <c r="AF66" s="23" t="s">
        <v>7</v>
      </c>
      <c r="AG66" s="24" t="s">
        <v>9</v>
      </c>
      <c r="AH66" s="22" t="s">
        <v>5</v>
      </c>
      <c r="AI66" s="8">
        <f t="shared" si="16"/>
        <v>0</v>
      </c>
      <c r="AJ66" s="25">
        <f t="shared" si="17"/>
        <v>21</v>
      </c>
      <c r="AK66" s="8">
        <f t="shared" si="18"/>
        <v>0</v>
      </c>
      <c r="AL66" s="62">
        <v>0</v>
      </c>
      <c r="AM66" s="33">
        <f t="shared" si="19"/>
        <v>0</v>
      </c>
      <c r="AN66" s="63">
        <f t="shared" si="20"/>
        <v>168</v>
      </c>
      <c r="AO66" s="63">
        <f t="shared" si="21"/>
        <v>0</v>
      </c>
      <c r="AP66" s="63">
        <f t="shared" si="22"/>
        <v>0</v>
      </c>
      <c r="AQ66" s="53">
        <f t="shared" si="23"/>
        <v>0</v>
      </c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</row>
    <row r="67" spans="1:56" ht="22" customHeight="1" x14ac:dyDescent="0.35">
      <c r="A67" s="8" t="s">
        <v>161</v>
      </c>
      <c r="B67" s="8" t="s">
        <v>162</v>
      </c>
      <c r="C67" s="8" t="s">
        <v>104</v>
      </c>
      <c r="D67" s="23" t="s">
        <v>7</v>
      </c>
      <c r="E67" s="24" t="s">
        <v>9</v>
      </c>
      <c r="F67" s="22" t="s">
        <v>5</v>
      </c>
      <c r="G67" s="22" t="s">
        <v>5</v>
      </c>
      <c r="H67" s="22" t="s">
        <v>5</v>
      </c>
      <c r="I67" s="22" t="s">
        <v>5</v>
      </c>
      <c r="J67" s="22" t="s">
        <v>5</v>
      </c>
      <c r="K67" s="23" t="s">
        <v>7</v>
      </c>
      <c r="L67" s="24" t="s">
        <v>9</v>
      </c>
      <c r="M67" s="22" t="s">
        <v>5</v>
      </c>
      <c r="N67" s="22" t="s">
        <v>5</v>
      </c>
      <c r="O67" s="22" t="s">
        <v>5</v>
      </c>
      <c r="P67" s="22" t="s">
        <v>5</v>
      </c>
      <c r="Q67" s="22" t="s">
        <v>5</v>
      </c>
      <c r="R67" s="23" t="s">
        <v>7</v>
      </c>
      <c r="S67" s="24" t="s">
        <v>9</v>
      </c>
      <c r="T67" s="22" t="s">
        <v>5</v>
      </c>
      <c r="U67" s="22" t="s">
        <v>5</v>
      </c>
      <c r="V67" s="22" t="s">
        <v>5</v>
      </c>
      <c r="W67" s="22" t="s">
        <v>5</v>
      </c>
      <c r="X67" s="22" t="s">
        <v>5</v>
      </c>
      <c r="Y67" s="23" t="s">
        <v>7</v>
      </c>
      <c r="Z67" s="24" t="s">
        <v>9</v>
      </c>
      <c r="AA67" s="22" t="s">
        <v>5</v>
      </c>
      <c r="AB67" s="22" t="s">
        <v>5</v>
      </c>
      <c r="AC67" s="22" t="s">
        <v>5</v>
      </c>
      <c r="AD67" s="22" t="s">
        <v>5</v>
      </c>
      <c r="AE67" s="22" t="s">
        <v>5</v>
      </c>
      <c r="AF67" s="23" t="s">
        <v>7</v>
      </c>
      <c r="AG67" s="24" t="s">
        <v>9</v>
      </c>
      <c r="AH67" s="22" t="s">
        <v>5</v>
      </c>
      <c r="AI67" s="8">
        <f t="shared" si="16"/>
        <v>0</v>
      </c>
      <c r="AJ67" s="25">
        <f t="shared" si="17"/>
        <v>21</v>
      </c>
      <c r="AK67" s="8">
        <f t="shared" si="18"/>
        <v>0</v>
      </c>
      <c r="AL67" s="62">
        <v>0</v>
      </c>
      <c r="AM67" s="33">
        <f t="shared" si="19"/>
        <v>0</v>
      </c>
      <c r="AN67" s="63">
        <f t="shared" si="20"/>
        <v>168</v>
      </c>
      <c r="AO67" s="63">
        <f t="shared" si="21"/>
        <v>0</v>
      </c>
      <c r="AP67" s="63">
        <f t="shared" si="22"/>
        <v>0</v>
      </c>
      <c r="AQ67" s="53">
        <f t="shared" si="23"/>
        <v>0</v>
      </c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</row>
    <row r="68" spans="1:56" ht="22" customHeight="1" x14ac:dyDescent="0.35">
      <c r="A68" s="8" t="s">
        <v>163</v>
      </c>
      <c r="B68" s="8" t="s">
        <v>164</v>
      </c>
      <c r="C68" s="8" t="s">
        <v>104</v>
      </c>
      <c r="D68" s="23" t="s">
        <v>7</v>
      </c>
      <c r="E68" s="24" t="s">
        <v>9</v>
      </c>
      <c r="F68" s="22" t="s">
        <v>5</v>
      </c>
      <c r="G68" s="22" t="s">
        <v>5</v>
      </c>
      <c r="H68" s="22" t="s">
        <v>5</v>
      </c>
      <c r="I68" s="22" t="s">
        <v>5</v>
      </c>
      <c r="J68" s="22" t="s">
        <v>5</v>
      </c>
      <c r="K68" s="23" t="s">
        <v>7</v>
      </c>
      <c r="L68" s="24" t="s">
        <v>9</v>
      </c>
      <c r="M68" s="22" t="s">
        <v>5</v>
      </c>
      <c r="N68" s="22" t="s">
        <v>5</v>
      </c>
      <c r="O68" s="22" t="s">
        <v>5</v>
      </c>
      <c r="P68" s="22" t="s">
        <v>5</v>
      </c>
      <c r="Q68" s="22" t="s">
        <v>5</v>
      </c>
      <c r="R68" s="23" t="s">
        <v>7</v>
      </c>
      <c r="S68" s="24" t="s">
        <v>9</v>
      </c>
      <c r="T68" s="22" t="s">
        <v>5</v>
      </c>
      <c r="U68" s="22" t="s">
        <v>5</v>
      </c>
      <c r="V68" s="22" t="s">
        <v>5</v>
      </c>
      <c r="W68" s="22" t="s">
        <v>5</v>
      </c>
      <c r="X68" s="22" t="s">
        <v>5</v>
      </c>
      <c r="Y68" s="23" t="s">
        <v>7</v>
      </c>
      <c r="Z68" s="24" t="s">
        <v>9</v>
      </c>
      <c r="AA68" s="22" t="s">
        <v>5</v>
      </c>
      <c r="AB68" s="22" t="s">
        <v>5</v>
      </c>
      <c r="AC68" s="22" t="s">
        <v>5</v>
      </c>
      <c r="AD68" s="22" t="s">
        <v>5</v>
      </c>
      <c r="AE68" s="22" t="s">
        <v>5</v>
      </c>
      <c r="AF68" s="23" t="s">
        <v>7</v>
      </c>
      <c r="AG68" s="24" t="s">
        <v>9</v>
      </c>
      <c r="AH68" s="22" t="s">
        <v>5</v>
      </c>
      <c r="AI68" s="8">
        <f t="shared" si="16"/>
        <v>0</v>
      </c>
      <c r="AJ68" s="25">
        <f t="shared" si="17"/>
        <v>21</v>
      </c>
      <c r="AK68" s="8">
        <f t="shared" si="18"/>
        <v>0</v>
      </c>
      <c r="AL68" s="62">
        <v>0</v>
      </c>
      <c r="AM68" s="33">
        <f t="shared" si="19"/>
        <v>0</v>
      </c>
      <c r="AN68" s="63">
        <f t="shared" si="20"/>
        <v>168</v>
      </c>
      <c r="AO68" s="63">
        <f t="shared" si="21"/>
        <v>0</v>
      </c>
      <c r="AP68" s="63">
        <f t="shared" si="22"/>
        <v>0</v>
      </c>
      <c r="AQ68" s="53">
        <f t="shared" si="23"/>
        <v>0</v>
      </c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</row>
    <row r="69" spans="1:56" ht="22" customHeight="1" x14ac:dyDescent="0.35">
      <c r="A69" s="8" t="s">
        <v>165</v>
      </c>
      <c r="B69" s="8" t="s">
        <v>166</v>
      </c>
      <c r="C69" s="8" t="s">
        <v>104</v>
      </c>
      <c r="D69" s="27" t="s">
        <v>7</v>
      </c>
      <c r="E69" s="28" t="s">
        <v>11</v>
      </c>
      <c r="F69" s="26" t="s">
        <v>3</v>
      </c>
      <c r="G69" s="26" t="s">
        <v>3</v>
      </c>
      <c r="H69" s="26" t="s">
        <v>3</v>
      </c>
      <c r="I69" s="26" t="s">
        <v>3</v>
      </c>
      <c r="J69" s="26" t="s">
        <v>3</v>
      </c>
      <c r="K69" s="27" t="s">
        <v>7</v>
      </c>
      <c r="L69" s="28" t="s">
        <v>11</v>
      </c>
      <c r="M69" s="26" t="s">
        <v>3</v>
      </c>
      <c r="N69" s="26" t="s">
        <v>3</v>
      </c>
      <c r="O69" s="26" t="s">
        <v>3</v>
      </c>
      <c r="P69" s="26" t="s">
        <v>3</v>
      </c>
      <c r="Q69" s="26" t="s">
        <v>3</v>
      </c>
      <c r="R69" s="27" t="s">
        <v>7</v>
      </c>
      <c r="S69" s="24" t="s">
        <v>9</v>
      </c>
      <c r="T69" s="22" t="s">
        <v>5</v>
      </c>
      <c r="U69" s="22" t="s">
        <v>5</v>
      </c>
      <c r="V69" s="22" t="s">
        <v>5</v>
      </c>
      <c r="W69" s="26" t="s">
        <v>3</v>
      </c>
      <c r="X69" s="26" t="s">
        <v>3</v>
      </c>
      <c r="Y69" s="27" t="s">
        <v>7</v>
      </c>
      <c r="Z69" s="28" t="s">
        <v>11</v>
      </c>
      <c r="AA69" s="26" t="s">
        <v>3</v>
      </c>
      <c r="AB69" s="26" t="s">
        <v>3</v>
      </c>
      <c r="AC69" s="26" t="s">
        <v>3</v>
      </c>
      <c r="AD69" s="26" t="s">
        <v>3</v>
      </c>
      <c r="AE69" s="26" t="s">
        <v>3</v>
      </c>
      <c r="AF69" s="27" t="s">
        <v>7</v>
      </c>
      <c r="AG69" s="28" t="s">
        <v>11</v>
      </c>
      <c r="AH69" s="26" t="s">
        <v>3</v>
      </c>
      <c r="AI69" s="8">
        <f t="shared" si="16"/>
        <v>18</v>
      </c>
      <c r="AJ69" s="8">
        <f t="shared" si="17"/>
        <v>3</v>
      </c>
      <c r="AK69" s="29">
        <f t="shared" si="18"/>
        <v>4</v>
      </c>
      <c r="AL69" s="62">
        <v>5</v>
      </c>
      <c r="AM69" s="33">
        <f t="shared" si="19"/>
        <v>24.5</v>
      </c>
      <c r="AN69" s="63">
        <f t="shared" si="20"/>
        <v>168</v>
      </c>
      <c r="AO69" s="63">
        <f t="shared" si="21"/>
        <v>0</v>
      </c>
      <c r="AP69" s="63">
        <f t="shared" si="22"/>
        <v>0</v>
      </c>
      <c r="AQ69" s="53">
        <f t="shared" si="23"/>
        <v>24.5</v>
      </c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</row>
    <row r="70" spans="1:56" ht="22" customHeight="1" x14ac:dyDescent="0.35">
      <c r="A70" s="8" t="s">
        <v>167</v>
      </c>
      <c r="B70" s="8" t="s">
        <v>168</v>
      </c>
      <c r="C70" s="8" t="s">
        <v>104</v>
      </c>
      <c r="D70" s="27" t="s">
        <v>7</v>
      </c>
      <c r="E70" s="28" t="s">
        <v>11</v>
      </c>
      <c r="F70" s="26" t="s">
        <v>3</v>
      </c>
      <c r="G70" s="26" t="s">
        <v>3</v>
      </c>
      <c r="H70" s="26" t="s">
        <v>3</v>
      </c>
      <c r="I70" s="26" t="s">
        <v>3</v>
      </c>
      <c r="J70" s="26" t="s">
        <v>3</v>
      </c>
      <c r="K70" s="27" t="s">
        <v>7</v>
      </c>
      <c r="L70" s="28" t="s">
        <v>11</v>
      </c>
      <c r="M70" s="26" t="s">
        <v>3</v>
      </c>
      <c r="N70" s="26" t="s">
        <v>3</v>
      </c>
      <c r="O70" s="26" t="s">
        <v>3</v>
      </c>
      <c r="P70" s="22" t="s">
        <v>5</v>
      </c>
      <c r="Q70" s="22" t="s">
        <v>5</v>
      </c>
      <c r="R70" s="23" t="s">
        <v>7</v>
      </c>
      <c r="S70" s="24" t="s">
        <v>9</v>
      </c>
      <c r="T70" s="22" t="s">
        <v>5</v>
      </c>
      <c r="U70" s="22" t="s">
        <v>5</v>
      </c>
      <c r="V70" s="22" t="s">
        <v>5</v>
      </c>
      <c r="W70" s="22" t="s">
        <v>5</v>
      </c>
      <c r="X70" s="22" t="s">
        <v>5</v>
      </c>
      <c r="Y70" s="27" t="s">
        <v>7</v>
      </c>
      <c r="Z70" s="28" t="s">
        <v>11</v>
      </c>
      <c r="AA70" s="26" t="s">
        <v>3</v>
      </c>
      <c r="AB70" s="26" t="s">
        <v>3</v>
      </c>
      <c r="AC70" s="26" t="s">
        <v>3</v>
      </c>
      <c r="AD70" s="26" t="s">
        <v>3</v>
      </c>
      <c r="AE70" s="22" t="s">
        <v>5</v>
      </c>
      <c r="AF70" s="23" t="s">
        <v>7</v>
      </c>
      <c r="AG70" s="28" t="s">
        <v>11</v>
      </c>
      <c r="AH70" s="26" t="s">
        <v>3</v>
      </c>
      <c r="AI70" s="8">
        <f t="shared" si="16"/>
        <v>13</v>
      </c>
      <c r="AJ70" s="8">
        <f t="shared" si="17"/>
        <v>8</v>
      </c>
      <c r="AK70" s="29">
        <f t="shared" si="18"/>
        <v>4</v>
      </c>
      <c r="AL70" s="62">
        <v>3</v>
      </c>
      <c r="AM70" s="33">
        <f t="shared" si="19"/>
        <v>18.5</v>
      </c>
      <c r="AN70" s="63">
        <f t="shared" si="20"/>
        <v>168</v>
      </c>
      <c r="AO70" s="63">
        <f t="shared" si="21"/>
        <v>0</v>
      </c>
      <c r="AP70" s="63">
        <f t="shared" si="22"/>
        <v>0</v>
      </c>
      <c r="AQ70" s="53">
        <f t="shared" si="23"/>
        <v>18.5</v>
      </c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</row>
    <row r="71" spans="1:56" ht="22" customHeight="1" x14ac:dyDescent="0.35">
      <c r="A71" s="8" t="s">
        <v>169</v>
      </c>
      <c r="B71" s="8" t="s">
        <v>170</v>
      </c>
      <c r="C71" s="8" t="s">
        <v>104</v>
      </c>
      <c r="D71" s="27" t="s">
        <v>7</v>
      </c>
      <c r="E71" s="28" t="s">
        <v>11</v>
      </c>
      <c r="F71" s="26" t="s">
        <v>3</v>
      </c>
      <c r="G71" s="26" t="s">
        <v>3</v>
      </c>
      <c r="H71" s="26" t="s">
        <v>3</v>
      </c>
      <c r="I71" s="26" t="s">
        <v>3</v>
      </c>
      <c r="J71" s="26" t="s">
        <v>3</v>
      </c>
      <c r="K71" s="27" t="s">
        <v>7</v>
      </c>
      <c r="L71" s="28" t="s">
        <v>11</v>
      </c>
      <c r="M71" s="26" t="s">
        <v>3</v>
      </c>
      <c r="N71" s="26" t="s">
        <v>3</v>
      </c>
      <c r="O71" s="26" t="s">
        <v>3</v>
      </c>
      <c r="P71" s="26" t="s">
        <v>3</v>
      </c>
      <c r="Q71" s="26" t="s">
        <v>3</v>
      </c>
      <c r="R71" s="27" t="s">
        <v>7</v>
      </c>
      <c r="S71" s="24" t="s">
        <v>9</v>
      </c>
      <c r="T71" s="26" t="s">
        <v>3</v>
      </c>
      <c r="U71" s="26" t="s">
        <v>3</v>
      </c>
      <c r="V71" s="26" t="s">
        <v>3</v>
      </c>
      <c r="W71" s="26" t="s">
        <v>3</v>
      </c>
      <c r="X71" s="26" t="s">
        <v>3</v>
      </c>
      <c r="Y71" s="27" t="s">
        <v>7</v>
      </c>
      <c r="Z71" s="28" t="s">
        <v>11</v>
      </c>
      <c r="AA71" s="22" t="s">
        <v>5</v>
      </c>
      <c r="AB71" s="22" t="s">
        <v>5</v>
      </c>
      <c r="AC71" s="22" t="s">
        <v>5</v>
      </c>
      <c r="AD71" s="22" t="s">
        <v>5</v>
      </c>
      <c r="AE71" s="22" t="s">
        <v>5</v>
      </c>
      <c r="AF71" s="23" t="s">
        <v>7</v>
      </c>
      <c r="AG71" s="28" t="s">
        <v>11</v>
      </c>
      <c r="AH71" s="26" t="s">
        <v>3</v>
      </c>
      <c r="AI71" s="8">
        <f t="shared" si="16"/>
        <v>16</v>
      </c>
      <c r="AJ71" s="8">
        <f t="shared" si="17"/>
        <v>5</v>
      </c>
      <c r="AK71" s="29">
        <f t="shared" si="18"/>
        <v>4</v>
      </c>
      <c r="AL71" s="62">
        <v>4</v>
      </c>
      <c r="AM71" s="33">
        <f t="shared" si="19"/>
        <v>22</v>
      </c>
      <c r="AN71" s="63">
        <f t="shared" si="20"/>
        <v>168</v>
      </c>
      <c r="AO71" s="63">
        <f t="shared" si="21"/>
        <v>0</v>
      </c>
      <c r="AP71" s="63">
        <f t="shared" si="22"/>
        <v>0</v>
      </c>
      <c r="AQ71" s="53">
        <f t="shared" si="23"/>
        <v>22</v>
      </c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</row>
    <row r="72" spans="1:56" ht="22" customHeight="1" x14ac:dyDescent="0.35">
      <c r="A72" s="8" t="s">
        <v>171</v>
      </c>
      <c r="B72" s="8" t="s">
        <v>172</v>
      </c>
      <c r="C72" s="8" t="s">
        <v>104</v>
      </c>
      <c r="D72" s="27" t="s">
        <v>7</v>
      </c>
      <c r="E72" s="28" t="s">
        <v>11</v>
      </c>
      <c r="F72" s="26" t="s">
        <v>3</v>
      </c>
      <c r="G72" s="26" t="s">
        <v>3</v>
      </c>
      <c r="H72" s="26" t="s">
        <v>3</v>
      </c>
      <c r="I72" s="26" t="s">
        <v>3</v>
      </c>
      <c r="J72" s="26" t="s">
        <v>3</v>
      </c>
      <c r="K72" s="27" t="s">
        <v>7</v>
      </c>
      <c r="L72" s="28" t="s">
        <v>11</v>
      </c>
      <c r="M72" s="26" t="s">
        <v>3</v>
      </c>
      <c r="N72" s="26" t="s">
        <v>3</v>
      </c>
      <c r="O72" s="26" t="s">
        <v>3</v>
      </c>
      <c r="P72" s="26" t="s">
        <v>3</v>
      </c>
      <c r="Q72" s="26" t="s">
        <v>3</v>
      </c>
      <c r="R72" s="27" t="s">
        <v>7</v>
      </c>
      <c r="S72" s="24" t="s">
        <v>9</v>
      </c>
      <c r="T72" s="22" t="s">
        <v>5</v>
      </c>
      <c r="U72" s="22" t="s">
        <v>5</v>
      </c>
      <c r="V72" s="22" t="s">
        <v>5</v>
      </c>
      <c r="W72" s="26" t="s">
        <v>3</v>
      </c>
      <c r="X72" s="26" t="s">
        <v>3</v>
      </c>
      <c r="Y72" s="27" t="s">
        <v>7</v>
      </c>
      <c r="Z72" s="28" t="s">
        <v>11</v>
      </c>
      <c r="AA72" s="22" t="s">
        <v>5</v>
      </c>
      <c r="AB72" s="26" t="s">
        <v>3</v>
      </c>
      <c r="AC72" s="26" t="s">
        <v>3</v>
      </c>
      <c r="AD72" s="26" t="s">
        <v>3</v>
      </c>
      <c r="AE72" s="26" t="s">
        <v>3</v>
      </c>
      <c r="AF72" s="27" t="s">
        <v>7</v>
      </c>
      <c r="AG72" s="28" t="s">
        <v>11</v>
      </c>
      <c r="AH72" s="22" t="s">
        <v>5</v>
      </c>
      <c r="AI72" s="8">
        <f t="shared" si="16"/>
        <v>16</v>
      </c>
      <c r="AJ72" s="8">
        <f t="shared" si="17"/>
        <v>5</v>
      </c>
      <c r="AK72" s="29">
        <f t="shared" si="18"/>
        <v>4</v>
      </c>
      <c r="AL72" s="62">
        <v>5</v>
      </c>
      <c r="AM72" s="33">
        <f t="shared" si="19"/>
        <v>22.5</v>
      </c>
      <c r="AN72" s="63">
        <f t="shared" si="20"/>
        <v>168</v>
      </c>
      <c r="AO72" s="63">
        <f t="shared" si="21"/>
        <v>0</v>
      </c>
      <c r="AP72" s="63">
        <f t="shared" si="22"/>
        <v>0</v>
      </c>
      <c r="AQ72" s="53">
        <f t="shared" si="23"/>
        <v>22.5</v>
      </c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</row>
    <row r="73" spans="1:56" ht="22" customHeight="1" x14ac:dyDescent="0.35">
      <c r="A73" s="8" t="s">
        <v>173</v>
      </c>
      <c r="B73" s="8" t="s">
        <v>174</v>
      </c>
      <c r="C73" s="8" t="s">
        <v>104</v>
      </c>
      <c r="D73" s="27" t="s">
        <v>7</v>
      </c>
      <c r="E73" s="28" t="s">
        <v>11</v>
      </c>
      <c r="F73" s="26" t="s">
        <v>3</v>
      </c>
      <c r="G73" s="26" t="s">
        <v>3</v>
      </c>
      <c r="H73" s="26" t="s">
        <v>3</v>
      </c>
      <c r="I73" s="26" t="s">
        <v>3</v>
      </c>
      <c r="J73" s="26" t="s">
        <v>3</v>
      </c>
      <c r="K73" s="27" t="s">
        <v>7</v>
      </c>
      <c r="L73" s="28" t="s">
        <v>11</v>
      </c>
      <c r="M73" s="26" t="s">
        <v>3</v>
      </c>
      <c r="N73" s="26" t="s">
        <v>3</v>
      </c>
      <c r="O73" s="26" t="s">
        <v>3</v>
      </c>
      <c r="P73" s="26" t="s">
        <v>3</v>
      </c>
      <c r="Q73" s="26" t="s">
        <v>3</v>
      </c>
      <c r="R73" s="27" t="s">
        <v>7</v>
      </c>
      <c r="S73" s="28" t="s">
        <v>11</v>
      </c>
      <c r="T73" s="26" t="s">
        <v>3</v>
      </c>
      <c r="U73" s="26" t="s">
        <v>3</v>
      </c>
      <c r="V73" s="26" t="s">
        <v>3</v>
      </c>
      <c r="W73" s="22" t="s">
        <v>5</v>
      </c>
      <c r="X73" s="22" t="s">
        <v>5</v>
      </c>
      <c r="Y73" s="23" t="s">
        <v>7</v>
      </c>
      <c r="Z73" s="24" t="s">
        <v>9</v>
      </c>
      <c r="AA73" s="22" t="s">
        <v>5</v>
      </c>
      <c r="AB73" s="22" t="s">
        <v>5</v>
      </c>
      <c r="AC73" s="22" t="s">
        <v>5</v>
      </c>
      <c r="AD73" s="22" t="s">
        <v>5</v>
      </c>
      <c r="AE73" s="22" t="s">
        <v>5</v>
      </c>
      <c r="AF73" s="23" t="s">
        <v>7</v>
      </c>
      <c r="AG73" s="24" t="s">
        <v>9</v>
      </c>
      <c r="AH73" s="22" t="s">
        <v>5</v>
      </c>
      <c r="AI73" s="8">
        <f t="shared" si="16"/>
        <v>13</v>
      </c>
      <c r="AJ73" s="8">
        <f t="shared" si="17"/>
        <v>8</v>
      </c>
      <c r="AK73" s="29">
        <f t="shared" si="18"/>
        <v>3</v>
      </c>
      <c r="AL73" s="62">
        <v>3</v>
      </c>
      <c r="AM73" s="33">
        <f t="shared" si="19"/>
        <v>17.5</v>
      </c>
      <c r="AN73" s="63">
        <f t="shared" si="20"/>
        <v>168</v>
      </c>
      <c r="AO73" s="63">
        <f t="shared" si="21"/>
        <v>0</v>
      </c>
      <c r="AP73" s="63">
        <f t="shared" si="22"/>
        <v>0</v>
      </c>
      <c r="AQ73" s="53">
        <f t="shared" si="23"/>
        <v>17.5</v>
      </c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</row>
    <row r="74" spans="1:56" ht="22" customHeight="1" x14ac:dyDescent="0.35">
      <c r="A74" s="8" t="s">
        <v>175</v>
      </c>
      <c r="B74" s="8" t="s">
        <v>176</v>
      </c>
      <c r="C74" s="8" t="s">
        <v>104</v>
      </c>
      <c r="D74" s="27" t="s">
        <v>7</v>
      </c>
      <c r="E74" s="28" t="s">
        <v>11</v>
      </c>
      <c r="F74" s="26" t="s">
        <v>3</v>
      </c>
      <c r="G74" s="26" t="s">
        <v>3</v>
      </c>
      <c r="H74" s="26" t="s">
        <v>3</v>
      </c>
      <c r="I74" s="26" t="s">
        <v>3</v>
      </c>
      <c r="J74" s="26" t="s">
        <v>3</v>
      </c>
      <c r="K74" s="27" t="s">
        <v>7</v>
      </c>
      <c r="L74" s="28" t="s">
        <v>11</v>
      </c>
      <c r="M74" s="26" t="s">
        <v>3</v>
      </c>
      <c r="N74" s="26" t="s">
        <v>3</v>
      </c>
      <c r="O74" s="26" t="s">
        <v>3</v>
      </c>
      <c r="P74" s="26" t="s">
        <v>3</v>
      </c>
      <c r="Q74" s="26" t="s">
        <v>3</v>
      </c>
      <c r="R74" s="27" t="s">
        <v>7</v>
      </c>
      <c r="S74" s="28" t="s">
        <v>11</v>
      </c>
      <c r="T74" s="26" t="s">
        <v>3</v>
      </c>
      <c r="U74" s="26" t="s">
        <v>3</v>
      </c>
      <c r="V74" s="26" t="s">
        <v>3</v>
      </c>
      <c r="W74" s="26" t="s">
        <v>3</v>
      </c>
      <c r="X74" s="26" t="s">
        <v>3</v>
      </c>
      <c r="Y74" s="27" t="s">
        <v>7</v>
      </c>
      <c r="Z74" s="28" t="s">
        <v>11</v>
      </c>
      <c r="AA74" s="26" t="s">
        <v>3</v>
      </c>
      <c r="AB74" s="22" t="s">
        <v>5</v>
      </c>
      <c r="AC74" s="22" t="s">
        <v>5</v>
      </c>
      <c r="AD74" s="22" t="s">
        <v>5</v>
      </c>
      <c r="AE74" s="22" t="s">
        <v>5</v>
      </c>
      <c r="AF74" s="23" t="s">
        <v>7</v>
      </c>
      <c r="AG74" s="24" t="s">
        <v>9</v>
      </c>
      <c r="AH74" s="22" t="s">
        <v>5</v>
      </c>
      <c r="AI74" s="8">
        <f t="shared" si="16"/>
        <v>16</v>
      </c>
      <c r="AJ74" s="8">
        <f t="shared" si="17"/>
        <v>5</v>
      </c>
      <c r="AK74" s="29">
        <f t="shared" si="18"/>
        <v>4</v>
      </c>
      <c r="AL74" s="62">
        <v>4</v>
      </c>
      <c r="AM74" s="33">
        <f t="shared" si="19"/>
        <v>22</v>
      </c>
      <c r="AN74" s="63">
        <f t="shared" si="20"/>
        <v>168</v>
      </c>
      <c r="AO74" s="63">
        <f t="shared" si="21"/>
        <v>0</v>
      </c>
      <c r="AP74" s="63">
        <f t="shared" si="22"/>
        <v>0</v>
      </c>
      <c r="AQ74" s="53">
        <f t="shared" si="23"/>
        <v>22</v>
      </c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</row>
    <row r="75" spans="1:56" x14ac:dyDescent="0.35"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</row>
    <row r="76" spans="1:56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</row>
    <row r="77" spans="1:56" ht="22" customHeight="1" x14ac:dyDescent="0.35">
      <c r="A77" s="8" t="s">
        <v>178</v>
      </c>
      <c r="B77" s="8" t="s">
        <v>179</v>
      </c>
      <c r="C77" s="8" t="s">
        <v>180</v>
      </c>
      <c r="D77" s="27" t="s">
        <v>7</v>
      </c>
      <c r="E77" s="28" t="s">
        <v>11</v>
      </c>
      <c r="F77" s="26" t="s">
        <v>3</v>
      </c>
      <c r="G77" s="26" t="s">
        <v>3</v>
      </c>
      <c r="H77" s="26" t="s">
        <v>3</v>
      </c>
      <c r="I77" s="26" t="s">
        <v>3</v>
      </c>
      <c r="J77" s="26" t="s">
        <v>3</v>
      </c>
      <c r="K77" s="23" t="s">
        <v>7</v>
      </c>
      <c r="L77" s="24" t="s">
        <v>9</v>
      </c>
      <c r="M77" s="26" t="s">
        <v>3</v>
      </c>
      <c r="N77" s="26" t="s">
        <v>3</v>
      </c>
      <c r="O77" s="26" t="s">
        <v>3</v>
      </c>
      <c r="P77" s="26" t="s">
        <v>3</v>
      </c>
      <c r="Q77" s="26" t="s">
        <v>3</v>
      </c>
      <c r="R77" s="27" t="s">
        <v>7</v>
      </c>
      <c r="S77" s="28" t="s">
        <v>11</v>
      </c>
      <c r="T77" s="26" t="s">
        <v>3</v>
      </c>
      <c r="U77" s="26" t="s">
        <v>3</v>
      </c>
      <c r="V77" s="26" t="s">
        <v>3</v>
      </c>
      <c r="W77" s="26" t="s">
        <v>3</v>
      </c>
      <c r="X77" s="26" t="s">
        <v>3</v>
      </c>
      <c r="Y77" s="23" t="s">
        <v>7</v>
      </c>
      <c r="Z77" s="24" t="s">
        <v>9</v>
      </c>
      <c r="AA77" s="26" t="s">
        <v>3</v>
      </c>
      <c r="AB77" s="26" t="s">
        <v>3</v>
      </c>
      <c r="AC77" s="26" t="s">
        <v>3</v>
      </c>
      <c r="AD77" s="26" t="s">
        <v>3</v>
      </c>
      <c r="AE77" s="26" t="s">
        <v>3</v>
      </c>
      <c r="AF77" s="27" t="s">
        <v>7</v>
      </c>
      <c r="AG77" s="28" t="s">
        <v>11</v>
      </c>
      <c r="AH77" s="22" t="s">
        <v>5</v>
      </c>
      <c r="AI77" s="8">
        <f t="shared" ref="AI77:AI82" si="24">COUNTIF(D77:AH77,"ON")</f>
        <v>20</v>
      </c>
      <c r="AJ77" s="8">
        <f t="shared" ref="AJ77:AJ82" si="25">COUNTIF(D77:AH77,"OFF")</f>
        <v>1</v>
      </c>
      <c r="AK77" s="29">
        <f t="shared" ref="AK77:AK82" si="26">COUNTIF(D77:AH77,"OT")</f>
        <v>3</v>
      </c>
      <c r="AL77" s="62">
        <v>3</v>
      </c>
      <c r="AM77" s="33">
        <f t="shared" ref="AM77:AM82" si="27">AI77+AK77+AL77*0.5</f>
        <v>24.5</v>
      </c>
      <c r="AN77" s="63">
        <f t="shared" ref="AN77:AN82" si="28">NETWORKDAYS(DATE(2025,3,1),EOMONTH(DATE(2025,3,1),0))*8</f>
        <v>168</v>
      </c>
      <c r="AO77" s="63">
        <f t="shared" ref="AO77:AO82" si="29">MAX(0,COUNTIF(J77,"ON")+COUNTIF(Q77,"ON")+COUNTIF(X77,"ON")+COUNTIF(AE77,"ON")-AL77)</f>
        <v>1</v>
      </c>
      <c r="AP77" s="63">
        <f t="shared" ref="AP77:AP82" si="30">AO77*$AP$2</f>
        <v>4</v>
      </c>
      <c r="AQ77" s="53">
        <f t="shared" ref="AQ77:AQ82" si="31">AM77-AP77/8</f>
        <v>24</v>
      </c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</row>
    <row r="78" spans="1:56" ht="22" customHeight="1" x14ac:dyDescent="0.35">
      <c r="A78" s="8" t="s">
        <v>181</v>
      </c>
      <c r="B78" s="8" t="s">
        <v>182</v>
      </c>
      <c r="C78" s="8" t="s">
        <v>180</v>
      </c>
      <c r="D78" s="27" t="s">
        <v>7</v>
      </c>
      <c r="E78" s="28" t="s">
        <v>11</v>
      </c>
      <c r="F78" s="26" t="s">
        <v>3</v>
      </c>
      <c r="G78" s="26" t="s">
        <v>3</v>
      </c>
      <c r="H78" s="26" t="s">
        <v>3</v>
      </c>
      <c r="I78" s="26" t="s">
        <v>3</v>
      </c>
      <c r="J78" s="26" t="s">
        <v>3</v>
      </c>
      <c r="K78" s="27" t="s">
        <v>7</v>
      </c>
      <c r="L78" s="28" t="s">
        <v>11</v>
      </c>
      <c r="M78" s="26" t="s">
        <v>3</v>
      </c>
      <c r="N78" s="26" t="s">
        <v>3</v>
      </c>
      <c r="O78" s="26" t="s">
        <v>3</v>
      </c>
      <c r="P78" s="26" t="s">
        <v>3</v>
      </c>
      <c r="Q78" s="26" t="s">
        <v>3</v>
      </c>
      <c r="R78" s="23" t="s">
        <v>7</v>
      </c>
      <c r="S78" s="24" t="s">
        <v>9</v>
      </c>
      <c r="T78" s="26" t="s">
        <v>3</v>
      </c>
      <c r="U78" s="26" t="s">
        <v>3</v>
      </c>
      <c r="V78" s="26" t="s">
        <v>3</v>
      </c>
      <c r="W78" s="26" t="s">
        <v>3</v>
      </c>
      <c r="X78" s="26" t="s">
        <v>3</v>
      </c>
      <c r="Y78" s="27" t="s">
        <v>7</v>
      </c>
      <c r="Z78" s="28" t="s">
        <v>11</v>
      </c>
      <c r="AA78" s="26" t="s">
        <v>3</v>
      </c>
      <c r="AB78" s="26" t="s">
        <v>3</v>
      </c>
      <c r="AC78" s="26" t="s">
        <v>3</v>
      </c>
      <c r="AD78" s="26" t="s">
        <v>3</v>
      </c>
      <c r="AE78" s="26" t="s">
        <v>3</v>
      </c>
      <c r="AF78" s="23" t="s">
        <v>7</v>
      </c>
      <c r="AG78" s="24" t="s">
        <v>9</v>
      </c>
      <c r="AH78" s="22" t="s">
        <v>5</v>
      </c>
      <c r="AI78" s="8">
        <f t="shared" si="24"/>
        <v>20</v>
      </c>
      <c r="AJ78" s="8">
        <f t="shared" si="25"/>
        <v>1</v>
      </c>
      <c r="AK78" s="29">
        <f t="shared" si="26"/>
        <v>3</v>
      </c>
      <c r="AL78" s="62">
        <v>3</v>
      </c>
      <c r="AM78" s="33">
        <f t="shared" si="27"/>
        <v>24.5</v>
      </c>
      <c r="AN78" s="63">
        <f t="shared" si="28"/>
        <v>168</v>
      </c>
      <c r="AO78" s="63">
        <f t="shared" si="29"/>
        <v>1</v>
      </c>
      <c r="AP78" s="63">
        <f t="shared" si="30"/>
        <v>4</v>
      </c>
      <c r="AQ78" s="53">
        <f t="shared" si="31"/>
        <v>24</v>
      </c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</row>
    <row r="79" spans="1:56" ht="22" customHeight="1" x14ac:dyDescent="0.35">
      <c r="A79" s="8" t="s">
        <v>183</v>
      </c>
      <c r="B79" s="8" t="s">
        <v>184</v>
      </c>
      <c r="C79" s="8" t="s">
        <v>180</v>
      </c>
      <c r="D79" s="23" t="s">
        <v>7</v>
      </c>
      <c r="E79" s="24" t="s">
        <v>9</v>
      </c>
      <c r="F79" s="22" t="s">
        <v>5</v>
      </c>
      <c r="G79" s="22" t="s">
        <v>5</v>
      </c>
      <c r="H79" s="22" t="s">
        <v>5</v>
      </c>
      <c r="I79" s="22" t="s">
        <v>5</v>
      </c>
      <c r="J79" s="22" t="s">
        <v>5</v>
      </c>
      <c r="K79" s="23" t="s">
        <v>7</v>
      </c>
      <c r="L79" s="24" t="s">
        <v>9</v>
      </c>
      <c r="M79" s="22" t="s">
        <v>5</v>
      </c>
      <c r="N79" s="22" t="s">
        <v>5</v>
      </c>
      <c r="O79" s="22" t="s">
        <v>5</v>
      </c>
      <c r="P79" s="22" t="s">
        <v>5</v>
      </c>
      <c r="Q79" s="22" t="s">
        <v>5</v>
      </c>
      <c r="R79" s="23" t="s">
        <v>7</v>
      </c>
      <c r="S79" s="24" t="s">
        <v>9</v>
      </c>
      <c r="T79" s="22" t="s">
        <v>5</v>
      </c>
      <c r="U79" s="22" t="s">
        <v>5</v>
      </c>
      <c r="V79" s="22" t="s">
        <v>5</v>
      </c>
      <c r="W79" s="22" t="s">
        <v>5</v>
      </c>
      <c r="X79" s="22" t="s">
        <v>5</v>
      </c>
      <c r="Y79" s="23" t="s">
        <v>7</v>
      </c>
      <c r="Z79" s="24" t="s">
        <v>9</v>
      </c>
      <c r="AA79" s="22" t="s">
        <v>5</v>
      </c>
      <c r="AB79" s="22" t="s">
        <v>5</v>
      </c>
      <c r="AC79" s="22" t="s">
        <v>5</v>
      </c>
      <c r="AD79" s="22" t="s">
        <v>5</v>
      </c>
      <c r="AE79" s="22" t="s">
        <v>5</v>
      </c>
      <c r="AF79" s="23" t="s">
        <v>7</v>
      </c>
      <c r="AG79" s="24" t="s">
        <v>9</v>
      </c>
      <c r="AH79" s="22" t="s">
        <v>5</v>
      </c>
      <c r="AI79" s="8">
        <f t="shared" si="24"/>
        <v>0</v>
      </c>
      <c r="AJ79" s="25">
        <f t="shared" si="25"/>
        <v>21</v>
      </c>
      <c r="AK79" s="8">
        <f t="shared" si="26"/>
        <v>0</v>
      </c>
      <c r="AL79" s="62">
        <v>0</v>
      </c>
      <c r="AM79" s="33">
        <f t="shared" si="27"/>
        <v>0</v>
      </c>
      <c r="AN79" s="63">
        <f t="shared" si="28"/>
        <v>168</v>
      </c>
      <c r="AO79" s="63">
        <f t="shared" si="29"/>
        <v>0</v>
      </c>
      <c r="AP79" s="63">
        <f t="shared" si="30"/>
        <v>0</v>
      </c>
      <c r="AQ79" s="53">
        <f t="shared" si="31"/>
        <v>0</v>
      </c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</row>
    <row r="80" spans="1:56" ht="22" customHeight="1" x14ac:dyDescent="0.35">
      <c r="A80" s="8" t="s">
        <v>185</v>
      </c>
      <c r="B80" s="8" t="s">
        <v>186</v>
      </c>
      <c r="C80" s="8" t="s">
        <v>180</v>
      </c>
      <c r="D80" s="23" t="s">
        <v>7</v>
      </c>
      <c r="E80" s="24" t="s">
        <v>9</v>
      </c>
      <c r="F80" s="22" t="s">
        <v>5</v>
      </c>
      <c r="G80" s="22" t="s">
        <v>5</v>
      </c>
      <c r="H80" s="22" t="s">
        <v>5</v>
      </c>
      <c r="I80" s="22" t="s">
        <v>5</v>
      </c>
      <c r="J80" s="22" t="s">
        <v>5</v>
      </c>
      <c r="K80" s="23" t="s">
        <v>7</v>
      </c>
      <c r="L80" s="24" t="s">
        <v>9</v>
      </c>
      <c r="M80" s="22" t="s">
        <v>5</v>
      </c>
      <c r="N80" s="22" t="s">
        <v>5</v>
      </c>
      <c r="O80" s="22" t="s">
        <v>5</v>
      </c>
      <c r="P80" s="22" t="s">
        <v>5</v>
      </c>
      <c r="Q80" s="22" t="s">
        <v>5</v>
      </c>
      <c r="R80" s="23" t="s">
        <v>7</v>
      </c>
      <c r="S80" s="24" t="s">
        <v>9</v>
      </c>
      <c r="T80" s="22" t="s">
        <v>5</v>
      </c>
      <c r="U80" s="22" t="s">
        <v>5</v>
      </c>
      <c r="V80" s="22" t="s">
        <v>5</v>
      </c>
      <c r="W80" s="22" t="s">
        <v>5</v>
      </c>
      <c r="X80" s="22" t="s">
        <v>5</v>
      </c>
      <c r="Y80" s="23" t="s">
        <v>7</v>
      </c>
      <c r="Z80" s="24" t="s">
        <v>9</v>
      </c>
      <c r="AA80" s="22" t="s">
        <v>5</v>
      </c>
      <c r="AB80" s="22" t="s">
        <v>5</v>
      </c>
      <c r="AC80" s="22" t="s">
        <v>5</v>
      </c>
      <c r="AD80" s="22" t="s">
        <v>5</v>
      </c>
      <c r="AE80" s="22" t="s">
        <v>5</v>
      </c>
      <c r="AF80" s="23" t="s">
        <v>7</v>
      </c>
      <c r="AG80" s="24" t="s">
        <v>9</v>
      </c>
      <c r="AH80" s="22" t="s">
        <v>5</v>
      </c>
      <c r="AI80" s="8">
        <f t="shared" si="24"/>
        <v>0</v>
      </c>
      <c r="AJ80" s="25">
        <f t="shared" si="25"/>
        <v>21</v>
      </c>
      <c r="AK80" s="8">
        <f t="shared" si="26"/>
        <v>0</v>
      </c>
      <c r="AL80" s="62">
        <v>0</v>
      </c>
      <c r="AM80" s="33">
        <f t="shared" si="27"/>
        <v>0</v>
      </c>
      <c r="AN80" s="63">
        <f t="shared" si="28"/>
        <v>168</v>
      </c>
      <c r="AO80" s="63">
        <f t="shared" si="29"/>
        <v>0</v>
      </c>
      <c r="AP80" s="63">
        <f t="shared" si="30"/>
        <v>0</v>
      </c>
      <c r="AQ80" s="53">
        <f t="shared" si="31"/>
        <v>0</v>
      </c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</row>
    <row r="81" spans="1:56" ht="22" customHeight="1" x14ac:dyDescent="0.35">
      <c r="A81" s="8" t="s">
        <v>187</v>
      </c>
      <c r="B81" s="8" t="s">
        <v>188</v>
      </c>
      <c r="C81" s="8" t="s">
        <v>180</v>
      </c>
      <c r="D81" s="27" t="s">
        <v>7</v>
      </c>
      <c r="E81" s="24" t="s">
        <v>9</v>
      </c>
      <c r="F81" s="26" t="s">
        <v>3</v>
      </c>
      <c r="G81" s="26" t="s">
        <v>3</v>
      </c>
      <c r="H81" s="26" t="s">
        <v>3</v>
      </c>
      <c r="I81" s="26" t="s">
        <v>3</v>
      </c>
      <c r="J81" s="26" t="s">
        <v>3</v>
      </c>
      <c r="K81" s="23" t="s">
        <v>7</v>
      </c>
      <c r="L81" s="28" t="s">
        <v>11</v>
      </c>
      <c r="M81" s="26" t="s">
        <v>3</v>
      </c>
      <c r="N81" s="26" t="s">
        <v>3</v>
      </c>
      <c r="O81" s="26" t="s">
        <v>3</v>
      </c>
      <c r="P81" s="26" t="s">
        <v>3</v>
      </c>
      <c r="Q81" s="26" t="s">
        <v>3</v>
      </c>
      <c r="R81" s="23" t="s">
        <v>7</v>
      </c>
      <c r="S81" s="24" t="s">
        <v>9</v>
      </c>
      <c r="T81" s="26" t="s">
        <v>3</v>
      </c>
      <c r="U81" s="26" t="s">
        <v>3</v>
      </c>
      <c r="V81" s="26" t="s">
        <v>3</v>
      </c>
      <c r="W81" s="26" t="s">
        <v>3</v>
      </c>
      <c r="X81" s="26" t="s">
        <v>3</v>
      </c>
      <c r="Y81" s="27" t="s">
        <v>7</v>
      </c>
      <c r="Z81" s="28" t="s">
        <v>11</v>
      </c>
      <c r="AA81" s="26" t="s">
        <v>3</v>
      </c>
      <c r="AB81" s="26" t="s">
        <v>3</v>
      </c>
      <c r="AC81" s="26" t="s">
        <v>3</v>
      </c>
      <c r="AD81" s="26" t="s">
        <v>3</v>
      </c>
      <c r="AE81" s="26" t="s">
        <v>3</v>
      </c>
      <c r="AF81" s="27" t="s">
        <v>7</v>
      </c>
      <c r="AG81" s="28" t="s">
        <v>11</v>
      </c>
      <c r="AH81" s="26" t="s">
        <v>3</v>
      </c>
      <c r="AI81" s="8">
        <f t="shared" si="24"/>
        <v>21</v>
      </c>
      <c r="AJ81" s="8">
        <f t="shared" si="25"/>
        <v>0</v>
      </c>
      <c r="AK81" s="29">
        <f t="shared" si="26"/>
        <v>3</v>
      </c>
      <c r="AL81" s="62">
        <v>3</v>
      </c>
      <c r="AM81" s="33">
        <f t="shared" si="27"/>
        <v>25.5</v>
      </c>
      <c r="AN81" s="63">
        <f t="shared" si="28"/>
        <v>168</v>
      </c>
      <c r="AO81" s="63">
        <f t="shared" si="29"/>
        <v>1</v>
      </c>
      <c r="AP81" s="63">
        <f t="shared" si="30"/>
        <v>4</v>
      </c>
      <c r="AQ81" s="53">
        <f t="shared" si="31"/>
        <v>25</v>
      </c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</row>
    <row r="82" spans="1:56" ht="22" customHeight="1" x14ac:dyDescent="0.35">
      <c r="A82" s="8" t="s">
        <v>189</v>
      </c>
      <c r="B82" s="8" t="s">
        <v>190</v>
      </c>
      <c r="C82" s="8" t="s">
        <v>180</v>
      </c>
      <c r="D82" s="23" t="s">
        <v>7</v>
      </c>
      <c r="E82" s="28" t="s">
        <v>11</v>
      </c>
      <c r="F82" s="26" t="s">
        <v>3</v>
      </c>
      <c r="G82" s="26" t="s">
        <v>3</v>
      </c>
      <c r="H82" s="26" t="s">
        <v>3</v>
      </c>
      <c r="I82" s="26" t="s">
        <v>3</v>
      </c>
      <c r="J82" s="26" t="s">
        <v>3</v>
      </c>
      <c r="K82" s="27" t="s">
        <v>7</v>
      </c>
      <c r="L82" s="24" t="s">
        <v>9</v>
      </c>
      <c r="M82" s="26" t="s">
        <v>3</v>
      </c>
      <c r="N82" s="26" t="s">
        <v>3</v>
      </c>
      <c r="O82" s="26" t="s">
        <v>3</v>
      </c>
      <c r="P82" s="26" t="s">
        <v>3</v>
      </c>
      <c r="Q82" s="26" t="s">
        <v>3</v>
      </c>
      <c r="R82" s="27" t="s">
        <v>7</v>
      </c>
      <c r="S82" s="28" t="s">
        <v>11</v>
      </c>
      <c r="T82" s="26" t="s">
        <v>3</v>
      </c>
      <c r="U82" s="26" t="s">
        <v>3</v>
      </c>
      <c r="V82" s="22" t="s">
        <v>5</v>
      </c>
      <c r="W82" s="22" t="s">
        <v>5</v>
      </c>
      <c r="X82" s="26" t="s">
        <v>3</v>
      </c>
      <c r="Y82" s="27" t="s">
        <v>7</v>
      </c>
      <c r="Z82" s="28" t="s">
        <v>11</v>
      </c>
      <c r="AA82" s="26" t="s">
        <v>3</v>
      </c>
      <c r="AB82" s="26" t="s">
        <v>3</v>
      </c>
      <c r="AC82" s="26" t="s">
        <v>3</v>
      </c>
      <c r="AD82" s="26" t="s">
        <v>3</v>
      </c>
      <c r="AE82" s="26" t="s">
        <v>3</v>
      </c>
      <c r="AF82" s="23" t="s">
        <v>7</v>
      </c>
      <c r="AG82" s="24" t="s">
        <v>9</v>
      </c>
      <c r="AH82" s="26" t="s">
        <v>3</v>
      </c>
      <c r="AI82" s="8">
        <f t="shared" si="24"/>
        <v>19</v>
      </c>
      <c r="AJ82" s="8">
        <f t="shared" si="25"/>
        <v>2</v>
      </c>
      <c r="AK82" s="29">
        <f t="shared" si="26"/>
        <v>3</v>
      </c>
      <c r="AL82" s="62">
        <v>3</v>
      </c>
      <c r="AM82" s="33">
        <f t="shared" si="27"/>
        <v>23.5</v>
      </c>
      <c r="AN82" s="63">
        <f t="shared" si="28"/>
        <v>168</v>
      </c>
      <c r="AO82" s="63">
        <f t="shared" si="29"/>
        <v>1</v>
      </c>
      <c r="AP82" s="63">
        <f t="shared" si="30"/>
        <v>4</v>
      </c>
      <c r="AQ82" s="53">
        <f t="shared" si="31"/>
        <v>23</v>
      </c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</row>
    <row r="83" spans="1:56" x14ac:dyDescent="0.35"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</row>
    <row r="84" spans="1:56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</row>
    <row r="85" spans="1:56" ht="22" customHeight="1" x14ac:dyDescent="0.35">
      <c r="A85" s="8" t="s">
        <v>192</v>
      </c>
      <c r="B85" s="8" t="s">
        <v>193</v>
      </c>
      <c r="C85" s="8" t="s">
        <v>194</v>
      </c>
      <c r="D85" s="23" t="s">
        <v>7</v>
      </c>
      <c r="E85" s="24" t="s">
        <v>9</v>
      </c>
      <c r="F85" s="26" t="s">
        <v>3</v>
      </c>
      <c r="G85" s="26" t="s">
        <v>3</v>
      </c>
      <c r="H85" s="26" t="s">
        <v>3</v>
      </c>
      <c r="I85" s="26" t="s">
        <v>3</v>
      </c>
      <c r="J85" s="26" t="s">
        <v>3</v>
      </c>
      <c r="K85" s="27" t="s">
        <v>7</v>
      </c>
      <c r="L85" s="24" t="s">
        <v>9</v>
      </c>
      <c r="M85" s="26" t="s">
        <v>3</v>
      </c>
      <c r="N85" s="22" t="s">
        <v>5</v>
      </c>
      <c r="O85" s="26" t="s">
        <v>3</v>
      </c>
      <c r="P85" s="26" t="s">
        <v>3</v>
      </c>
      <c r="Q85" s="26" t="s">
        <v>3</v>
      </c>
      <c r="R85" s="23" t="s">
        <v>7</v>
      </c>
      <c r="S85" s="24" t="s">
        <v>9</v>
      </c>
      <c r="T85" s="26" t="s">
        <v>3</v>
      </c>
      <c r="U85" s="26" t="s">
        <v>3</v>
      </c>
      <c r="V85" s="26" t="s">
        <v>3</v>
      </c>
      <c r="W85" s="26" t="s">
        <v>3</v>
      </c>
      <c r="X85" s="26" t="s">
        <v>3</v>
      </c>
      <c r="Y85" s="23" t="s">
        <v>7</v>
      </c>
      <c r="Z85" s="28" t="s">
        <v>11</v>
      </c>
      <c r="AA85" s="26" t="s">
        <v>3</v>
      </c>
      <c r="AB85" s="26" t="s">
        <v>3</v>
      </c>
      <c r="AC85" s="22" t="s">
        <v>5</v>
      </c>
      <c r="AD85" s="22" t="s">
        <v>5</v>
      </c>
      <c r="AE85" s="26" t="s">
        <v>3</v>
      </c>
      <c r="AF85" s="23" t="s">
        <v>7</v>
      </c>
      <c r="AG85" s="24" t="s">
        <v>9</v>
      </c>
      <c r="AH85" s="22" t="s">
        <v>5</v>
      </c>
      <c r="AI85" s="8">
        <f>COUNTIF(D85:AH85,"ON")</f>
        <v>17</v>
      </c>
      <c r="AJ85" s="8">
        <f>COUNTIF(D85:AH85,"OFF")</f>
        <v>4</v>
      </c>
      <c r="AK85" s="29">
        <f>COUNTIF(D85:AH85,"OT")</f>
        <v>1</v>
      </c>
      <c r="AL85" s="62">
        <v>1</v>
      </c>
      <c r="AM85" s="33">
        <f>AI85+AK85+AL85*0.5</f>
        <v>18.5</v>
      </c>
      <c r="AN85" s="63">
        <f>NETWORKDAYS(DATE(2025,3,1),EOMONTH(DATE(2025,3,1),0))*8</f>
        <v>168</v>
      </c>
      <c r="AO85" s="63">
        <f>MAX(0,COUNTIF(J85,"ON")+COUNTIF(Q85,"ON")+COUNTIF(X85,"ON")+COUNTIF(AE85,"ON")-AL85)</f>
        <v>3</v>
      </c>
      <c r="AP85" s="63">
        <f>AO85*$AP$2</f>
        <v>12</v>
      </c>
      <c r="AQ85" s="53">
        <f>AM85-AP85/8</f>
        <v>17</v>
      </c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</row>
    <row r="86" spans="1:56" ht="22" customHeight="1" x14ac:dyDescent="0.35">
      <c r="A86" s="8" t="s">
        <v>195</v>
      </c>
      <c r="B86" s="8" t="s">
        <v>196</v>
      </c>
      <c r="C86" s="8" t="s">
        <v>194</v>
      </c>
      <c r="D86" s="23" t="s">
        <v>7</v>
      </c>
      <c r="E86" s="24" t="s">
        <v>9</v>
      </c>
      <c r="F86" s="22" t="s">
        <v>5</v>
      </c>
      <c r="G86" s="22" t="s">
        <v>5</v>
      </c>
      <c r="H86" s="22" t="s">
        <v>5</v>
      </c>
      <c r="I86" s="22" t="s">
        <v>5</v>
      </c>
      <c r="J86" s="22" t="s">
        <v>5</v>
      </c>
      <c r="K86" s="23" t="s">
        <v>7</v>
      </c>
      <c r="L86" s="24" t="s">
        <v>9</v>
      </c>
      <c r="M86" s="26" t="s">
        <v>3</v>
      </c>
      <c r="N86" s="26" t="s">
        <v>3</v>
      </c>
      <c r="O86" s="26" t="s">
        <v>3</v>
      </c>
      <c r="P86" s="26" t="s">
        <v>3</v>
      </c>
      <c r="Q86" s="26" t="s">
        <v>3</v>
      </c>
      <c r="R86" s="23" t="s">
        <v>7</v>
      </c>
      <c r="S86" s="28" t="s">
        <v>11</v>
      </c>
      <c r="T86" s="26" t="s">
        <v>3</v>
      </c>
      <c r="U86" s="26" t="s">
        <v>3</v>
      </c>
      <c r="V86" s="26" t="s">
        <v>3</v>
      </c>
      <c r="W86" s="26" t="s">
        <v>3</v>
      </c>
      <c r="X86" s="26" t="s">
        <v>3</v>
      </c>
      <c r="Y86" s="23" t="s">
        <v>7</v>
      </c>
      <c r="Z86" s="24" t="s">
        <v>9</v>
      </c>
      <c r="AA86" s="26" t="s">
        <v>3</v>
      </c>
      <c r="AB86" s="26" t="s">
        <v>3</v>
      </c>
      <c r="AC86" s="26" t="s">
        <v>3</v>
      </c>
      <c r="AD86" s="26" t="s">
        <v>3</v>
      </c>
      <c r="AE86" s="26" t="s">
        <v>3</v>
      </c>
      <c r="AF86" s="23" t="s">
        <v>7</v>
      </c>
      <c r="AG86" s="24" t="s">
        <v>9</v>
      </c>
      <c r="AH86" s="22" t="s">
        <v>5</v>
      </c>
      <c r="AI86" s="8">
        <f>COUNTIF(D86:AH86,"ON")</f>
        <v>15</v>
      </c>
      <c r="AJ86" s="8">
        <f>COUNTIF(D86:AH86,"OFF")</f>
        <v>6</v>
      </c>
      <c r="AK86" s="29">
        <f>COUNTIF(D86:AH86,"OT")</f>
        <v>1</v>
      </c>
      <c r="AL86" s="62">
        <v>0</v>
      </c>
      <c r="AM86" s="33">
        <f>AI86+AK86+AL86*0.5</f>
        <v>16</v>
      </c>
      <c r="AN86" s="63">
        <f>NETWORKDAYS(DATE(2025,3,1),EOMONTH(DATE(2025,3,1),0))*8</f>
        <v>168</v>
      </c>
      <c r="AO86" s="63">
        <f>MAX(0,COUNTIF(J86,"ON")+COUNTIF(Q86,"ON")+COUNTIF(X86,"ON")+COUNTIF(AE86,"ON")-AL86)</f>
        <v>3</v>
      </c>
      <c r="AP86" s="63">
        <f>AO86*$AP$2</f>
        <v>12</v>
      </c>
      <c r="AQ86" s="53">
        <f>AM86-AP86/8</f>
        <v>14.5</v>
      </c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</row>
    <row r="87" spans="1:56" ht="22" customHeight="1" x14ac:dyDescent="0.35">
      <c r="A87" s="8" t="s">
        <v>197</v>
      </c>
      <c r="B87" s="8" t="s">
        <v>198</v>
      </c>
      <c r="C87" s="8" t="s">
        <v>194</v>
      </c>
      <c r="D87" s="27" t="s">
        <v>7</v>
      </c>
      <c r="E87" s="24" t="s">
        <v>9</v>
      </c>
      <c r="F87" s="26" t="s">
        <v>3</v>
      </c>
      <c r="G87" s="26" t="s">
        <v>3</v>
      </c>
      <c r="H87" s="26" t="s">
        <v>3</v>
      </c>
      <c r="I87" s="26" t="s">
        <v>3</v>
      </c>
      <c r="J87" s="26" t="s">
        <v>3</v>
      </c>
      <c r="K87" s="23" t="s">
        <v>7</v>
      </c>
      <c r="L87" s="24" t="s">
        <v>9</v>
      </c>
      <c r="M87" s="22" t="s">
        <v>5</v>
      </c>
      <c r="N87" s="26" t="s">
        <v>3</v>
      </c>
      <c r="O87" s="26" t="s">
        <v>3</v>
      </c>
      <c r="P87" s="26" t="s">
        <v>3</v>
      </c>
      <c r="Q87" s="26" t="s">
        <v>3</v>
      </c>
      <c r="R87" s="27" t="s">
        <v>7</v>
      </c>
      <c r="S87" s="24" t="s">
        <v>9</v>
      </c>
      <c r="T87" s="26" t="s">
        <v>3</v>
      </c>
      <c r="U87" s="26" t="s">
        <v>3</v>
      </c>
      <c r="V87" s="26" t="s">
        <v>3</v>
      </c>
      <c r="W87" s="26" t="s">
        <v>3</v>
      </c>
      <c r="X87" s="26" t="s">
        <v>3</v>
      </c>
      <c r="Y87" s="23" t="s">
        <v>7</v>
      </c>
      <c r="Z87" s="24" t="s">
        <v>9</v>
      </c>
      <c r="AA87" s="26" t="s">
        <v>3</v>
      </c>
      <c r="AB87" s="26" t="s">
        <v>3</v>
      </c>
      <c r="AC87" s="26" t="s">
        <v>3</v>
      </c>
      <c r="AD87" s="26" t="s">
        <v>3</v>
      </c>
      <c r="AE87" s="26" t="s">
        <v>3</v>
      </c>
      <c r="AF87" s="27" t="s">
        <v>7</v>
      </c>
      <c r="AG87" s="24" t="s">
        <v>9</v>
      </c>
      <c r="AH87" s="26" t="s">
        <v>3</v>
      </c>
      <c r="AI87" s="8">
        <f>COUNTIF(D87:AH87,"ON")</f>
        <v>20</v>
      </c>
      <c r="AJ87" s="8">
        <f>COUNTIF(D87:AH87,"OFF")</f>
        <v>1</v>
      </c>
      <c r="AK87" s="8">
        <f>COUNTIF(D87:AH87,"OT")</f>
        <v>0</v>
      </c>
      <c r="AL87" s="62">
        <v>3</v>
      </c>
      <c r="AM87" s="33">
        <f>AI87+AK87+AL87*0.5</f>
        <v>21.5</v>
      </c>
      <c r="AN87" s="63">
        <f>NETWORKDAYS(DATE(2025,3,1),EOMONTH(DATE(2025,3,1),0))*8</f>
        <v>168</v>
      </c>
      <c r="AO87" s="63">
        <f>MAX(0,COUNTIF(J87,"ON")+COUNTIF(Q87,"ON")+COUNTIF(X87,"ON")+COUNTIF(AE87,"ON")-AL87)</f>
        <v>1</v>
      </c>
      <c r="AP87" s="63">
        <f>AO87*$AP$2</f>
        <v>4</v>
      </c>
      <c r="AQ87" s="53">
        <f>AM87-AP87/8</f>
        <v>21</v>
      </c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</row>
    <row r="88" spans="1:56" ht="22" customHeight="1" x14ac:dyDescent="0.35">
      <c r="A88" s="8" t="s">
        <v>199</v>
      </c>
      <c r="B88" s="8" t="s">
        <v>200</v>
      </c>
      <c r="C88" s="8" t="s">
        <v>194</v>
      </c>
      <c r="D88" s="23" t="s">
        <v>7</v>
      </c>
      <c r="E88" s="28" t="s">
        <v>11</v>
      </c>
      <c r="F88" s="26" t="s">
        <v>3</v>
      </c>
      <c r="G88" s="26" t="s">
        <v>3</v>
      </c>
      <c r="H88" s="26" t="s">
        <v>3</v>
      </c>
      <c r="I88" s="26" t="s">
        <v>3</v>
      </c>
      <c r="J88" s="26" t="s">
        <v>3</v>
      </c>
      <c r="K88" s="23" t="s">
        <v>7</v>
      </c>
      <c r="L88" s="24" t="s">
        <v>9</v>
      </c>
      <c r="M88" s="22" t="s">
        <v>5</v>
      </c>
      <c r="N88" s="22" t="s">
        <v>5</v>
      </c>
      <c r="O88" s="22" t="s">
        <v>5</v>
      </c>
      <c r="P88" s="22" t="s">
        <v>5</v>
      </c>
      <c r="Q88" s="22" t="s">
        <v>5</v>
      </c>
      <c r="R88" s="23" t="s">
        <v>7</v>
      </c>
      <c r="S88" s="24" t="s">
        <v>9</v>
      </c>
      <c r="T88" s="22" t="s">
        <v>5</v>
      </c>
      <c r="U88" s="22" t="s">
        <v>5</v>
      </c>
      <c r="V88" s="22" t="s">
        <v>5</v>
      </c>
      <c r="W88" s="22" t="s">
        <v>5</v>
      </c>
      <c r="X88" s="22" t="s">
        <v>5</v>
      </c>
      <c r="Y88" s="23" t="s">
        <v>7</v>
      </c>
      <c r="Z88" s="24" t="s">
        <v>9</v>
      </c>
      <c r="AA88" s="26" t="s">
        <v>3</v>
      </c>
      <c r="AB88" s="26" t="s">
        <v>3</v>
      </c>
      <c r="AC88" s="26" t="s">
        <v>3</v>
      </c>
      <c r="AD88" s="26" t="s">
        <v>3</v>
      </c>
      <c r="AE88" s="26" t="s">
        <v>3</v>
      </c>
      <c r="AF88" s="23" t="s">
        <v>7</v>
      </c>
      <c r="AG88" s="28" t="s">
        <v>11</v>
      </c>
      <c r="AH88" s="26" t="s">
        <v>3</v>
      </c>
      <c r="AI88" s="8">
        <f>COUNTIF(D88:AH88,"ON")</f>
        <v>11</v>
      </c>
      <c r="AJ88" s="8">
        <f>COUNTIF(D88:AH88,"OFF")</f>
        <v>10</v>
      </c>
      <c r="AK88" s="29">
        <f>COUNTIF(D88:AH88,"OT")</f>
        <v>2</v>
      </c>
      <c r="AL88" s="62">
        <v>0</v>
      </c>
      <c r="AM88" s="33">
        <f>AI88+AK88+AL88*0.5</f>
        <v>13</v>
      </c>
      <c r="AN88" s="63">
        <f>NETWORKDAYS(DATE(2025,3,1),EOMONTH(DATE(2025,3,1),0))*8</f>
        <v>168</v>
      </c>
      <c r="AO88" s="63">
        <f>MAX(0,COUNTIF(J88,"ON")+COUNTIF(Q88,"ON")+COUNTIF(X88,"ON")+COUNTIF(AE88,"ON")-AL88)</f>
        <v>2</v>
      </c>
      <c r="AP88" s="63">
        <f>AO88*$AP$2</f>
        <v>8</v>
      </c>
      <c r="AQ88" s="53">
        <f>AM88-AP88/8</f>
        <v>12</v>
      </c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</row>
    <row r="89" spans="1:56" ht="22" customHeight="1" x14ac:dyDescent="0.35">
      <c r="A89" s="8" t="s">
        <v>201</v>
      </c>
      <c r="B89" s="8" t="s">
        <v>202</v>
      </c>
      <c r="C89" s="8" t="s">
        <v>194</v>
      </c>
      <c r="D89" s="23" t="s">
        <v>7</v>
      </c>
      <c r="E89" s="24" t="s">
        <v>9</v>
      </c>
      <c r="F89" s="22" t="s">
        <v>5</v>
      </c>
      <c r="G89" s="22" t="s">
        <v>5</v>
      </c>
      <c r="H89" s="22" t="s">
        <v>5</v>
      </c>
      <c r="I89" s="22" t="s">
        <v>5</v>
      </c>
      <c r="J89" s="22" t="s">
        <v>5</v>
      </c>
      <c r="K89" s="23" t="s">
        <v>7</v>
      </c>
      <c r="L89" s="28" t="s">
        <v>11</v>
      </c>
      <c r="M89" s="26" t="s">
        <v>3</v>
      </c>
      <c r="N89" s="26" t="s">
        <v>3</v>
      </c>
      <c r="O89" s="26" t="s">
        <v>3</v>
      </c>
      <c r="P89" s="26" t="s">
        <v>3</v>
      </c>
      <c r="Q89" s="26" t="s">
        <v>3</v>
      </c>
      <c r="R89" s="23" t="s">
        <v>7</v>
      </c>
      <c r="S89" s="24" t="s">
        <v>9</v>
      </c>
      <c r="T89" s="26" t="s">
        <v>3</v>
      </c>
      <c r="U89" s="26" t="s">
        <v>3</v>
      </c>
      <c r="V89" s="26" t="s">
        <v>3</v>
      </c>
      <c r="W89" s="26" t="s">
        <v>3</v>
      </c>
      <c r="X89" s="26" t="s">
        <v>3</v>
      </c>
      <c r="Y89" s="27" t="s">
        <v>7</v>
      </c>
      <c r="Z89" s="24" t="s">
        <v>9</v>
      </c>
      <c r="AA89" s="26" t="s">
        <v>3</v>
      </c>
      <c r="AB89" s="26" t="s">
        <v>3</v>
      </c>
      <c r="AC89" s="26" t="s">
        <v>3</v>
      </c>
      <c r="AD89" s="26" t="s">
        <v>3</v>
      </c>
      <c r="AE89" s="26" t="s">
        <v>3</v>
      </c>
      <c r="AF89" s="23" t="s">
        <v>7</v>
      </c>
      <c r="AG89" s="24" t="s">
        <v>9</v>
      </c>
      <c r="AH89" s="22" t="s">
        <v>5</v>
      </c>
      <c r="AI89" s="8">
        <f>COUNTIF(D89:AH89,"ON")</f>
        <v>15</v>
      </c>
      <c r="AJ89" s="8">
        <f>COUNTIF(D89:AH89,"OFF")</f>
        <v>6</v>
      </c>
      <c r="AK89" s="29">
        <f>COUNTIF(D89:AH89,"OT")</f>
        <v>1</v>
      </c>
      <c r="AL89" s="62">
        <v>1</v>
      </c>
      <c r="AM89" s="33">
        <f>AI89+AK89+AL89*0.5</f>
        <v>16.5</v>
      </c>
      <c r="AN89" s="63">
        <f>NETWORKDAYS(DATE(2025,3,1),EOMONTH(DATE(2025,3,1),0))*8</f>
        <v>168</v>
      </c>
      <c r="AO89" s="63">
        <f>MAX(0,COUNTIF(J89,"ON")+COUNTIF(Q89,"ON")+COUNTIF(X89,"ON")+COUNTIF(AE89,"ON")-AL89)</f>
        <v>2</v>
      </c>
      <c r="AP89" s="63">
        <f>AO89*$AP$2</f>
        <v>8</v>
      </c>
      <c r="AQ89" s="53">
        <f>AM89-AP89/8</f>
        <v>15.5</v>
      </c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</row>
    <row r="90" spans="1:56" x14ac:dyDescent="0.35"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</row>
    <row r="91" spans="1:56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</row>
    <row r="92" spans="1:56" ht="22" customHeight="1" x14ac:dyDescent="0.35">
      <c r="A92" s="8" t="s">
        <v>204</v>
      </c>
      <c r="B92" s="8" t="s">
        <v>205</v>
      </c>
      <c r="C92" s="8" t="s">
        <v>206</v>
      </c>
      <c r="D92" s="27" t="s">
        <v>7</v>
      </c>
      <c r="E92" s="24" t="s">
        <v>9</v>
      </c>
      <c r="F92" s="26" t="s">
        <v>3</v>
      </c>
      <c r="G92" s="26" t="s">
        <v>3</v>
      </c>
      <c r="H92" s="26" t="s">
        <v>3</v>
      </c>
      <c r="I92" s="22" t="s">
        <v>5</v>
      </c>
      <c r="J92" s="22" t="s">
        <v>5</v>
      </c>
      <c r="K92" s="23" t="s">
        <v>7</v>
      </c>
      <c r="L92" s="24" t="s">
        <v>9</v>
      </c>
      <c r="M92" s="22" t="s">
        <v>5</v>
      </c>
      <c r="N92" s="26" t="s">
        <v>3</v>
      </c>
      <c r="O92" s="26" t="s">
        <v>3</v>
      </c>
      <c r="P92" s="26" t="s">
        <v>3</v>
      </c>
      <c r="Q92" s="26" t="s">
        <v>3</v>
      </c>
      <c r="R92" s="23" t="s">
        <v>7</v>
      </c>
      <c r="S92" s="24" t="s">
        <v>9</v>
      </c>
      <c r="T92" s="26" t="s">
        <v>3</v>
      </c>
      <c r="U92" s="26" t="s">
        <v>3</v>
      </c>
      <c r="V92" s="26" t="s">
        <v>3</v>
      </c>
      <c r="W92" s="26" t="s">
        <v>3</v>
      </c>
      <c r="X92" s="26" t="s">
        <v>3</v>
      </c>
      <c r="Y92" s="23" t="s">
        <v>7</v>
      </c>
      <c r="Z92" s="24" t="s">
        <v>9</v>
      </c>
      <c r="AA92" s="26" t="s">
        <v>3</v>
      </c>
      <c r="AB92" s="26" t="s">
        <v>3</v>
      </c>
      <c r="AC92" s="26" t="s">
        <v>3</v>
      </c>
      <c r="AD92" s="26" t="s">
        <v>3</v>
      </c>
      <c r="AE92" s="26" t="s">
        <v>3</v>
      </c>
      <c r="AF92" s="23" t="s">
        <v>7</v>
      </c>
      <c r="AG92" s="24" t="s">
        <v>9</v>
      </c>
      <c r="AH92" s="26" t="s">
        <v>3</v>
      </c>
      <c r="AI92" s="8">
        <f>COUNTIF(D92:AH92,"ON")</f>
        <v>18</v>
      </c>
      <c r="AJ92" s="8">
        <f>COUNTIF(D92:AH92,"OFF")</f>
        <v>3</v>
      </c>
      <c r="AK92" s="8">
        <f>COUNTIF(D92:AH92,"OT")</f>
        <v>0</v>
      </c>
      <c r="AL92" s="62">
        <v>1</v>
      </c>
      <c r="AM92" s="33">
        <f>AI92+AK92+AL92*0.5</f>
        <v>18.5</v>
      </c>
      <c r="AN92" s="63">
        <f>NETWORKDAYS(DATE(2025,3,1),EOMONTH(DATE(2025,3,1),0))*8</f>
        <v>168</v>
      </c>
      <c r="AO92" s="63">
        <f>MAX(0,COUNTIF(J92,"ON")+COUNTIF(Q92,"ON")+COUNTIF(X92,"ON")+COUNTIF(AE92,"ON")-AL92)</f>
        <v>2</v>
      </c>
      <c r="AP92" s="63">
        <f>AO92*$AP$2</f>
        <v>8</v>
      </c>
      <c r="AQ92" s="53">
        <f>AM92-AP92/8</f>
        <v>17.5</v>
      </c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</row>
    <row r="93" spans="1:56" ht="22" customHeight="1" x14ac:dyDescent="0.35">
      <c r="A93" s="8" t="s">
        <v>207</v>
      </c>
      <c r="B93" s="8" t="s">
        <v>208</v>
      </c>
      <c r="C93" s="8" t="s">
        <v>206</v>
      </c>
      <c r="D93" s="23" t="s">
        <v>7</v>
      </c>
      <c r="E93" s="24" t="s">
        <v>9</v>
      </c>
      <c r="F93" s="26" t="s">
        <v>3</v>
      </c>
      <c r="G93" s="26" t="s">
        <v>3</v>
      </c>
      <c r="H93" s="26" t="s">
        <v>3</v>
      </c>
      <c r="I93" s="26" t="s">
        <v>3</v>
      </c>
      <c r="J93" s="26" t="s">
        <v>3</v>
      </c>
      <c r="K93" s="27" t="s">
        <v>7</v>
      </c>
      <c r="L93" s="24" t="s">
        <v>9</v>
      </c>
      <c r="M93" s="22" t="s">
        <v>5</v>
      </c>
      <c r="N93" s="22" t="s">
        <v>5</v>
      </c>
      <c r="O93" s="26" t="s">
        <v>3</v>
      </c>
      <c r="P93" s="26" t="s">
        <v>3</v>
      </c>
      <c r="Q93" s="26" t="s">
        <v>3</v>
      </c>
      <c r="R93" s="23" t="s">
        <v>7</v>
      </c>
      <c r="S93" s="24" t="s">
        <v>9</v>
      </c>
      <c r="T93" s="26" t="s">
        <v>3</v>
      </c>
      <c r="U93" s="26" t="s">
        <v>3</v>
      </c>
      <c r="V93" s="26" t="s">
        <v>3</v>
      </c>
      <c r="W93" s="26" t="s">
        <v>3</v>
      </c>
      <c r="X93" s="26" t="s">
        <v>3</v>
      </c>
      <c r="Y93" s="27" t="s">
        <v>7</v>
      </c>
      <c r="Z93" s="24" t="s">
        <v>9</v>
      </c>
      <c r="AA93" s="26" t="s">
        <v>3</v>
      </c>
      <c r="AB93" s="26" t="s">
        <v>3</v>
      </c>
      <c r="AC93" s="26" t="s">
        <v>3</v>
      </c>
      <c r="AD93" s="26" t="s">
        <v>3</v>
      </c>
      <c r="AE93" s="26" t="s">
        <v>3</v>
      </c>
      <c r="AF93" s="23" t="s">
        <v>7</v>
      </c>
      <c r="AG93" s="24" t="s">
        <v>9</v>
      </c>
      <c r="AH93" s="22" t="s">
        <v>5</v>
      </c>
      <c r="AI93" s="8">
        <f>COUNTIF(D93:AH93,"ON")</f>
        <v>18</v>
      </c>
      <c r="AJ93" s="8">
        <f>COUNTIF(D93:AH93,"OFF")</f>
        <v>3</v>
      </c>
      <c r="AK93" s="8">
        <f>COUNTIF(D93:AH93,"OT")</f>
        <v>0</v>
      </c>
      <c r="AL93" s="62">
        <v>2</v>
      </c>
      <c r="AM93" s="33">
        <f>AI93+AK93+AL93*0.5</f>
        <v>19</v>
      </c>
      <c r="AN93" s="63">
        <f>NETWORKDAYS(DATE(2025,3,1),EOMONTH(DATE(2025,3,1),0))*8</f>
        <v>168</v>
      </c>
      <c r="AO93" s="63">
        <f>MAX(0,COUNTIF(J93,"ON")+COUNTIF(Q93,"ON")+COUNTIF(X93,"ON")+COUNTIF(AE93,"ON")-AL93)</f>
        <v>2</v>
      </c>
      <c r="AP93" s="63">
        <f>AO93*$AP$2</f>
        <v>8</v>
      </c>
      <c r="AQ93" s="53">
        <f>AM93-AP93/8</f>
        <v>18</v>
      </c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</row>
    <row r="94" spans="1:56" ht="22" customHeight="1" x14ac:dyDescent="0.35">
      <c r="A94" s="8" t="s">
        <v>209</v>
      </c>
      <c r="B94" s="8" t="s">
        <v>210</v>
      </c>
      <c r="C94" s="8" t="s">
        <v>206</v>
      </c>
      <c r="D94" s="27" t="s">
        <v>7</v>
      </c>
      <c r="E94" s="24" t="s">
        <v>9</v>
      </c>
      <c r="F94" s="26" t="s">
        <v>3</v>
      </c>
      <c r="G94" s="26" t="s">
        <v>3</v>
      </c>
      <c r="H94" s="26" t="s">
        <v>3</v>
      </c>
      <c r="I94" s="26" t="s">
        <v>3</v>
      </c>
      <c r="J94" s="26" t="s">
        <v>3</v>
      </c>
      <c r="K94" s="23" t="s">
        <v>7</v>
      </c>
      <c r="L94" s="24" t="s">
        <v>9</v>
      </c>
      <c r="M94" s="26" t="s">
        <v>3</v>
      </c>
      <c r="N94" s="26" t="s">
        <v>3</v>
      </c>
      <c r="O94" s="22" t="s">
        <v>5</v>
      </c>
      <c r="P94" s="26" t="s">
        <v>3</v>
      </c>
      <c r="Q94" s="26" t="s">
        <v>3</v>
      </c>
      <c r="R94" s="23" t="s">
        <v>7</v>
      </c>
      <c r="S94" s="24" t="s">
        <v>9</v>
      </c>
      <c r="T94" s="26" t="s">
        <v>3</v>
      </c>
      <c r="U94" s="26" t="s">
        <v>3</v>
      </c>
      <c r="V94" s="22" t="s">
        <v>5</v>
      </c>
      <c r="W94" s="26" t="s">
        <v>3</v>
      </c>
      <c r="X94" s="26" t="s">
        <v>3</v>
      </c>
      <c r="Y94" s="23" t="s">
        <v>7</v>
      </c>
      <c r="Z94" s="24" t="s">
        <v>9</v>
      </c>
      <c r="AA94" s="26" t="s">
        <v>3</v>
      </c>
      <c r="AB94" s="26" t="s">
        <v>3</v>
      </c>
      <c r="AC94" s="26" t="s">
        <v>3</v>
      </c>
      <c r="AD94" s="26" t="s">
        <v>3</v>
      </c>
      <c r="AE94" s="26" t="s">
        <v>3</v>
      </c>
      <c r="AF94" s="23" t="s">
        <v>7</v>
      </c>
      <c r="AG94" s="24" t="s">
        <v>9</v>
      </c>
      <c r="AH94" s="26" t="s">
        <v>3</v>
      </c>
      <c r="AI94" s="8">
        <f>COUNTIF(D94:AH94,"ON")</f>
        <v>19</v>
      </c>
      <c r="AJ94" s="8">
        <f>COUNTIF(D94:AH94,"OFF")</f>
        <v>2</v>
      </c>
      <c r="AK94" s="8">
        <f>COUNTIF(D94:AH94,"OT")</f>
        <v>0</v>
      </c>
      <c r="AL94" s="62">
        <v>1</v>
      </c>
      <c r="AM94" s="33">
        <f>AI94+AK94+AL94*0.5</f>
        <v>19.5</v>
      </c>
      <c r="AN94" s="63">
        <f>NETWORKDAYS(DATE(2025,3,1),EOMONTH(DATE(2025,3,1),0))*8</f>
        <v>168</v>
      </c>
      <c r="AO94" s="63">
        <f>MAX(0,COUNTIF(J94,"ON")+COUNTIF(Q94,"ON")+COUNTIF(X94,"ON")+COUNTIF(AE94,"ON")-AL94)</f>
        <v>3</v>
      </c>
      <c r="AP94" s="63">
        <f>AO94*$AP$2</f>
        <v>12</v>
      </c>
      <c r="AQ94" s="53">
        <f>AM94-AP94/8</f>
        <v>18</v>
      </c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</row>
    <row r="95" spans="1:56" ht="22" customHeight="1" x14ac:dyDescent="0.35">
      <c r="A95" s="8" t="s">
        <v>211</v>
      </c>
      <c r="B95" s="8" t="s">
        <v>212</v>
      </c>
      <c r="C95" s="8" t="s">
        <v>206</v>
      </c>
      <c r="D95" s="27" t="s">
        <v>7</v>
      </c>
      <c r="E95" s="24" t="s">
        <v>9</v>
      </c>
      <c r="F95" s="26" t="s">
        <v>3</v>
      </c>
      <c r="G95" s="26" t="s">
        <v>3</v>
      </c>
      <c r="H95" s="26" t="s">
        <v>3</v>
      </c>
      <c r="I95" s="26" t="s">
        <v>3</v>
      </c>
      <c r="J95" s="22" t="s">
        <v>5</v>
      </c>
      <c r="K95" s="23" t="s">
        <v>7</v>
      </c>
      <c r="L95" s="24" t="s">
        <v>9</v>
      </c>
      <c r="M95" s="26" t="s">
        <v>3</v>
      </c>
      <c r="N95" s="26" t="s">
        <v>3</v>
      </c>
      <c r="O95" s="26" t="s">
        <v>3</v>
      </c>
      <c r="P95" s="26" t="s">
        <v>3</v>
      </c>
      <c r="Q95" s="26" t="s">
        <v>3</v>
      </c>
      <c r="R95" s="27" t="s">
        <v>7</v>
      </c>
      <c r="S95" s="24" t="s">
        <v>9</v>
      </c>
      <c r="T95" s="26" t="s">
        <v>3</v>
      </c>
      <c r="U95" s="26" t="s">
        <v>3</v>
      </c>
      <c r="V95" s="26" t="s">
        <v>3</v>
      </c>
      <c r="W95" s="26" t="s">
        <v>3</v>
      </c>
      <c r="X95" s="26" t="s">
        <v>3</v>
      </c>
      <c r="Y95" s="23" t="s">
        <v>7</v>
      </c>
      <c r="Z95" s="24" t="s">
        <v>9</v>
      </c>
      <c r="AA95" s="26" t="s">
        <v>3</v>
      </c>
      <c r="AB95" s="26" t="s">
        <v>3</v>
      </c>
      <c r="AC95" s="22" t="s">
        <v>5</v>
      </c>
      <c r="AD95" s="26" t="s">
        <v>3</v>
      </c>
      <c r="AE95" s="26" t="s">
        <v>3</v>
      </c>
      <c r="AF95" s="27" t="s">
        <v>7</v>
      </c>
      <c r="AG95" s="24" t="s">
        <v>9</v>
      </c>
      <c r="AH95" s="26" t="s">
        <v>3</v>
      </c>
      <c r="AI95" s="8">
        <f>COUNTIF(D95:AH95,"ON")</f>
        <v>19</v>
      </c>
      <c r="AJ95" s="8">
        <f>COUNTIF(D95:AH95,"OFF")</f>
        <v>2</v>
      </c>
      <c r="AK95" s="8">
        <f>COUNTIF(D95:AH95,"OT")</f>
        <v>0</v>
      </c>
      <c r="AL95" s="62">
        <v>3</v>
      </c>
      <c r="AM95" s="33">
        <f>AI95+AK95+AL95*0.5</f>
        <v>20.5</v>
      </c>
      <c r="AN95" s="63">
        <f>NETWORKDAYS(DATE(2025,3,1),EOMONTH(DATE(2025,3,1),0))*8</f>
        <v>168</v>
      </c>
      <c r="AO95" s="63">
        <f>MAX(0,COUNTIF(J95,"ON")+COUNTIF(Q95,"ON")+COUNTIF(X95,"ON")+COUNTIF(AE95,"ON")-AL95)</f>
        <v>0</v>
      </c>
      <c r="AP95" s="63">
        <f>AO95*$AP$2</f>
        <v>0</v>
      </c>
      <c r="AQ95" s="53">
        <f>AM95-AP95/8</f>
        <v>20.5</v>
      </c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</row>
    <row r="96" spans="1:56" x14ac:dyDescent="0.35"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</row>
    <row r="97" spans="1:56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</row>
    <row r="98" spans="1:56" ht="22" customHeight="1" x14ac:dyDescent="0.35">
      <c r="A98" s="8" t="s">
        <v>214</v>
      </c>
      <c r="B98" s="8" t="s">
        <v>215</v>
      </c>
      <c r="C98" s="8" t="s">
        <v>216</v>
      </c>
      <c r="D98" s="23" t="s">
        <v>7</v>
      </c>
      <c r="E98" s="24" t="s">
        <v>9</v>
      </c>
      <c r="F98" s="26" t="s">
        <v>3</v>
      </c>
      <c r="G98" s="26" t="s">
        <v>3</v>
      </c>
      <c r="H98" s="26" t="s">
        <v>3</v>
      </c>
      <c r="I98" s="26" t="s">
        <v>3</v>
      </c>
      <c r="J98" s="26" t="s">
        <v>3</v>
      </c>
      <c r="K98" s="23" t="s">
        <v>7</v>
      </c>
      <c r="L98" s="24" t="s">
        <v>9</v>
      </c>
      <c r="M98" s="26" t="s">
        <v>3</v>
      </c>
      <c r="N98" s="26" t="s">
        <v>3</v>
      </c>
      <c r="O98" s="26" t="s">
        <v>3</v>
      </c>
      <c r="P98" s="26" t="s">
        <v>3</v>
      </c>
      <c r="Q98" s="26" t="s">
        <v>3</v>
      </c>
      <c r="R98" s="23" t="s">
        <v>7</v>
      </c>
      <c r="S98" s="24" t="s">
        <v>9</v>
      </c>
      <c r="T98" s="26" t="s">
        <v>3</v>
      </c>
      <c r="U98" s="26" t="s">
        <v>3</v>
      </c>
      <c r="V98" s="26" t="s">
        <v>3</v>
      </c>
      <c r="W98" s="26" t="s">
        <v>3</v>
      </c>
      <c r="X98" s="26" t="s">
        <v>3</v>
      </c>
      <c r="Y98" s="23" t="s">
        <v>7</v>
      </c>
      <c r="Z98" s="24" t="s">
        <v>9</v>
      </c>
      <c r="AA98" s="26" t="s">
        <v>3</v>
      </c>
      <c r="AB98" s="26" t="s">
        <v>3</v>
      </c>
      <c r="AC98" s="26" t="s">
        <v>3</v>
      </c>
      <c r="AD98" s="26" t="s">
        <v>3</v>
      </c>
      <c r="AE98" s="26" t="s">
        <v>3</v>
      </c>
      <c r="AF98" s="23" t="s">
        <v>7</v>
      </c>
      <c r="AG98" s="24" t="s">
        <v>9</v>
      </c>
      <c r="AH98" s="26" t="s">
        <v>3</v>
      </c>
      <c r="AI98" s="8">
        <f t="shared" ref="AI98:AI111" si="32">COUNTIF(D98:AH98,"ON")</f>
        <v>21</v>
      </c>
      <c r="AJ98" s="8">
        <f t="shared" ref="AJ98:AJ111" si="33">COUNTIF(D98:AH98,"OFF")</f>
        <v>0</v>
      </c>
      <c r="AK98" s="8">
        <f t="shared" ref="AK98:AK111" si="34">COUNTIF(D98:AH98,"OT")</f>
        <v>0</v>
      </c>
      <c r="AL98" s="62">
        <v>0</v>
      </c>
      <c r="AM98" s="33">
        <f t="shared" ref="AM98:AM111" si="35">AI98+AK98+AL98*0.5</f>
        <v>21</v>
      </c>
      <c r="AN98" s="63">
        <f t="shared" ref="AN98:AN111" si="36">NETWORKDAYS(DATE(2025,3,1),EOMONTH(DATE(2025,3,1),0))*8</f>
        <v>168</v>
      </c>
      <c r="AO98" s="63">
        <f t="shared" ref="AO98:AO111" si="37">MAX(0,COUNTIF(J98,"ON")+COUNTIF(Q98,"ON")+COUNTIF(X98,"ON")+COUNTIF(AE98,"ON")-AL98)</f>
        <v>4</v>
      </c>
      <c r="AP98" s="63">
        <f t="shared" ref="AP98:AP111" si="38">AO98*$AP$2</f>
        <v>16</v>
      </c>
      <c r="AQ98" s="53">
        <f t="shared" ref="AQ98:AQ111" si="39">AM98-AP98/8</f>
        <v>19</v>
      </c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</row>
    <row r="99" spans="1:56" ht="22" customHeight="1" x14ac:dyDescent="0.35">
      <c r="A99" s="8" t="s">
        <v>217</v>
      </c>
      <c r="B99" s="8" t="s">
        <v>218</v>
      </c>
      <c r="C99" s="8" t="s">
        <v>216</v>
      </c>
      <c r="D99" s="23" t="s">
        <v>7</v>
      </c>
      <c r="E99" s="24" t="s">
        <v>9</v>
      </c>
      <c r="F99" s="26" t="s">
        <v>3</v>
      </c>
      <c r="G99" s="26" t="s">
        <v>3</v>
      </c>
      <c r="H99" s="26" t="s">
        <v>3</v>
      </c>
      <c r="I99" s="26" t="s">
        <v>3</v>
      </c>
      <c r="J99" s="26" t="s">
        <v>3</v>
      </c>
      <c r="K99" s="23" t="s">
        <v>7</v>
      </c>
      <c r="L99" s="24" t="s">
        <v>9</v>
      </c>
      <c r="M99" s="26" t="s">
        <v>3</v>
      </c>
      <c r="N99" s="26" t="s">
        <v>3</v>
      </c>
      <c r="O99" s="26" t="s">
        <v>3</v>
      </c>
      <c r="P99" s="26" t="s">
        <v>3</v>
      </c>
      <c r="Q99" s="26" t="s">
        <v>3</v>
      </c>
      <c r="R99" s="23" t="s">
        <v>7</v>
      </c>
      <c r="S99" s="28" t="s">
        <v>11</v>
      </c>
      <c r="T99" s="26" t="s">
        <v>3</v>
      </c>
      <c r="U99" s="26" t="s">
        <v>3</v>
      </c>
      <c r="V99" s="26" t="s">
        <v>3</v>
      </c>
      <c r="W99" s="26" t="s">
        <v>3</v>
      </c>
      <c r="X99" s="26" t="s">
        <v>3</v>
      </c>
      <c r="Y99" s="23" t="s">
        <v>7</v>
      </c>
      <c r="Z99" s="24" t="s">
        <v>9</v>
      </c>
      <c r="AA99" s="26" t="s">
        <v>3</v>
      </c>
      <c r="AB99" s="26" t="s">
        <v>3</v>
      </c>
      <c r="AC99" s="26" t="s">
        <v>3</v>
      </c>
      <c r="AD99" s="22" t="s">
        <v>5</v>
      </c>
      <c r="AE99" s="26" t="s">
        <v>3</v>
      </c>
      <c r="AF99" s="23" t="s">
        <v>7</v>
      </c>
      <c r="AG99" s="24" t="s">
        <v>9</v>
      </c>
      <c r="AH99" s="26" t="s">
        <v>3</v>
      </c>
      <c r="AI99" s="8">
        <f t="shared" si="32"/>
        <v>20</v>
      </c>
      <c r="AJ99" s="8">
        <f t="shared" si="33"/>
        <v>1</v>
      </c>
      <c r="AK99" s="29">
        <f t="shared" si="34"/>
        <v>1</v>
      </c>
      <c r="AL99" s="62">
        <v>0</v>
      </c>
      <c r="AM99" s="33">
        <f t="shared" si="35"/>
        <v>21</v>
      </c>
      <c r="AN99" s="63">
        <f t="shared" si="36"/>
        <v>168</v>
      </c>
      <c r="AO99" s="63">
        <f t="shared" si="37"/>
        <v>4</v>
      </c>
      <c r="AP99" s="63">
        <f t="shared" si="38"/>
        <v>16</v>
      </c>
      <c r="AQ99" s="53">
        <f t="shared" si="39"/>
        <v>19</v>
      </c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</row>
    <row r="100" spans="1:56" ht="22" customHeight="1" x14ac:dyDescent="0.35">
      <c r="A100" s="8" t="s">
        <v>219</v>
      </c>
      <c r="B100" s="8" t="s">
        <v>220</v>
      </c>
      <c r="C100" s="8" t="s">
        <v>216</v>
      </c>
      <c r="D100" s="23" t="s">
        <v>7</v>
      </c>
      <c r="E100" s="24" t="s">
        <v>9</v>
      </c>
      <c r="F100" s="26" t="s">
        <v>3</v>
      </c>
      <c r="G100" s="26" t="s">
        <v>3</v>
      </c>
      <c r="H100" s="26" t="s">
        <v>3</v>
      </c>
      <c r="I100" s="26" t="s">
        <v>3</v>
      </c>
      <c r="J100" s="26" t="s">
        <v>3</v>
      </c>
      <c r="K100" s="23" t="s">
        <v>7</v>
      </c>
      <c r="L100" s="24" t="s">
        <v>9</v>
      </c>
      <c r="M100" s="22" t="s">
        <v>5</v>
      </c>
      <c r="N100" s="22" t="s">
        <v>5</v>
      </c>
      <c r="O100" s="26" t="s">
        <v>3</v>
      </c>
      <c r="P100" s="26" t="s">
        <v>3</v>
      </c>
      <c r="Q100" s="26" t="s">
        <v>3</v>
      </c>
      <c r="R100" s="23" t="s">
        <v>7</v>
      </c>
      <c r="S100" s="24" t="s">
        <v>9</v>
      </c>
      <c r="T100" s="26" t="s">
        <v>3</v>
      </c>
      <c r="U100" s="26" t="s">
        <v>3</v>
      </c>
      <c r="V100" s="26" t="s">
        <v>3</v>
      </c>
      <c r="W100" s="26" t="s">
        <v>3</v>
      </c>
      <c r="X100" s="26" t="s">
        <v>3</v>
      </c>
      <c r="Y100" s="23" t="s">
        <v>7</v>
      </c>
      <c r="Z100" s="24" t="s">
        <v>9</v>
      </c>
      <c r="AA100" s="22" t="s">
        <v>5</v>
      </c>
      <c r="AB100" s="26" t="s">
        <v>3</v>
      </c>
      <c r="AC100" s="26" t="s">
        <v>3</v>
      </c>
      <c r="AD100" s="26" t="s">
        <v>3</v>
      </c>
      <c r="AE100" s="26" t="s">
        <v>3</v>
      </c>
      <c r="AF100" s="23" t="s">
        <v>7</v>
      </c>
      <c r="AG100" s="24" t="s">
        <v>9</v>
      </c>
      <c r="AH100" s="26" t="s">
        <v>3</v>
      </c>
      <c r="AI100" s="8">
        <f t="shared" si="32"/>
        <v>18</v>
      </c>
      <c r="AJ100" s="8">
        <f t="shared" si="33"/>
        <v>3</v>
      </c>
      <c r="AK100" s="8">
        <f t="shared" si="34"/>
        <v>0</v>
      </c>
      <c r="AL100" s="62">
        <v>0</v>
      </c>
      <c r="AM100" s="33">
        <f t="shared" si="35"/>
        <v>18</v>
      </c>
      <c r="AN100" s="63">
        <f t="shared" si="36"/>
        <v>168</v>
      </c>
      <c r="AO100" s="63">
        <f t="shared" si="37"/>
        <v>4</v>
      </c>
      <c r="AP100" s="63">
        <f t="shared" si="38"/>
        <v>16</v>
      </c>
      <c r="AQ100" s="53">
        <f t="shared" si="39"/>
        <v>16</v>
      </c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</row>
    <row r="101" spans="1:56" ht="22" customHeight="1" x14ac:dyDescent="0.35">
      <c r="A101" s="8" t="s">
        <v>221</v>
      </c>
      <c r="B101" s="8" t="s">
        <v>222</v>
      </c>
      <c r="C101" s="8" t="s">
        <v>216</v>
      </c>
      <c r="D101" s="23" t="s">
        <v>7</v>
      </c>
      <c r="E101" s="24" t="s">
        <v>9</v>
      </c>
      <c r="F101" s="26" t="s">
        <v>3</v>
      </c>
      <c r="G101" s="26" t="s">
        <v>3</v>
      </c>
      <c r="H101" s="26" t="s">
        <v>3</v>
      </c>
      <c r="I101" s="26" t="s">
        <v>3</v>
      </c>
      <c r="J101" s="26" t="s">
        <v>3</v>
      </c>
      <c r="K101" s="23" t="s">
        <v>7</v>
      </c>
      <c r="L101" s="24" t="s">
        <v>9</v>
      </c>
      <c r="M101" s="26" t="s">
        <v>3</v>
      </c>
      <c r="N101" s="26" t="s">
        <v>3</v>
      </c>
      <c r="O101" s="26" t="s">
        <v>3</v>
      </c>
      <c r="P101" s="26" t="s">
        <v>3</v>
      </c>
      <c r="Q101" s="26" t="s">
        <v>3</v>
      </c>
      <c r="R101" s="23" t="s">
        <v>7</v>
      </c>
      <c r="S101" s="24" t="s">
        <v>9</v>
      </c>
      <c r="T101" s="26" t="s">
        <v>3</v>
      </c>
      <c r="U101" s="26" t="s">
        <v>3</v>
      </c>
      <c r="V101" s="26" t="s">
        <v>3</v>
      </c>
      <c r="W101" s="26" t="s">
        <v>3</v>
      </c>
      <c r="X101" s="26" t="s">
        <v>3</v>
      </c>
      <c r="Y101" s="23" t="s">
        <v>7</v>
      </c>
      <c r="Z101" s="24" t="s">
        <v>9</v>
      </c>
      <c r="AA101" s="26" t="s">
        <v>3</v>
      </c>
      <c r="AB101" s="26" t="s">
        <v>3</v>
      </c>
      <c r="AC101" s="26" t="s">
        <v>3</v>
      </c>
      <c r="AD101" s="26" t="s">
        <v>3</v>
      </c>
      <c r="AE101" s="26" t="s">
        <v>3</v>
      </c>
      <c r="AF101" s="23" t="s">
        <v>7</v>
      </c>
      <c r="AG101" s="24" t="s">
        <v>9</v>
      </c>
      <c r="AH101" s="26" t="s">
        <v>3</v>
      </c>
      <c r="AI101" s="8">
        <f t="shared" si="32"/>
        <v>21</v>
      </c>
      <c r="AJ101" s="8">
        <f t="shared" si="33"/>
        <v>0</v>
      </c>
      <c r="AK101" s="8">
        <f t="shared" si="34"/>
        <v>0</v>
      </c>
      <c r="AL101" s="62">
        <v>0</v>
      </c>
      <c r="AM101" s="33">
        <f t="shared" si="35"/>
        <v>21</v>
      </c>
      <c r="AN101" s="63">
        <f t="shared" si="36"/>
        <v>168</v>
      </c>
      <c r="AO101" s="63">
        <f t="shared" si="37"/>
        <v>4</v>
      </c>
      <c r="AP101" s="63">
        <f t="shared" si="38"/>
        <v>16</v>
      </c>
      <c r="AQ101" s="53">
        <f t="shared" si="39"/>
        <v>19</v>
      </c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</row>
    <row r="102" spans="1:56" ht="22" customHeight="1" x14ac:dyDescent="0.35">
      <c r="A102" s="8" t="s">
        <v>223</v>
      </c>
      <c r="B102" s="8" t="s">
        <v>224</v>
      </c>
      <c r="C102" s="8" t="s">
        <v>216</v>
      </c>
      <c r="D102" s="23" t="s">
        <v>7</v>
      </c>
      <c r="E102" s="24" t="s">
        <v>9</v>
      </c>
      <c r="F102" s="22" t="s">
        <v>5</v>
      </c>
      <c r="G102" s="22" t="s">
        <v>5</v>
      </c>
      <c r="H102" s="22" t="s">
        <v>5</v>
      </c>
      <c r="I102" s="22" t="s">
        <v>5</v>
      </c>
      <c r="J102" s="22" t="s">
        <v>5</v>
      </c>
      <c r="K102" s="23" t="s">
        <v>7</v>
      </c>
      <c r="L102" s="24" t="s">
        <v>9</v>
      </c>
      <c r="M102" s="22" t="s">
        <v>5</v>
      </c>
      <c r="N102" s="22" t="s">
        <v>5</v>
      </c>
      <c r="O102" s="22" t="s">
        <v>5</v>
      </c>
      <c r="P102" s="22" t="s">
        <v>5</v>
      </c>
      <c r="Q102" s="22" t="s">
        <v>5</v>
      </c>
      <c r="R102" s="23" t="s">
        <v>7</v>
      </c>
      <c r="S102" s="24" t="s">
        <v>9</v>
      </c>
      <c r="T102" s="22" t="s">
        <v>5</v>
      </c>
      <c r="U102" s="22" t="s">
        <v>5</v>
      </c>
      <c r="V102" s="22" t="s">
        <v>5</v>
      </c>
      <c r="W102" s="22" t="s">
        <v>5</v>
      </c>
      <c r="X102" s="22" t="s">
        <v>5</v>
      </c>
      <c r="Y102" s="23" t="s">
        <v>7</v>
      </c>
      <c r="Z102" s="24" t="s">
        <v>9</v>
      </c>
      <c r="AA102" s="22" t="s">
        <v>5</v>
      </c>
      <c r="AB102" s="22" t="s">
        <v>5</v>
      </c>
      <c r="AC102" s="22" t="s">
        <v>5</v>
      </c>
      <c r="AD102" s="22" t="s">
        <v>5</v>
      </c>
      <c r="AE102" s="22" t="s">
        <v>5</v>
      </c>
      <c r="AF102" s="23" t="s">
        <v>7</v>
      </c>
      <c r="AG102" s="24" t="s">
        <v>9</v>
      </c>
      <c r="AH102" s="22" t="s">
        <v>5</v>
      </c>
      <c r="AI102" s="8">
        <f t="shared" si="32"/>
        <v>0</v>
      </c>
      <c r="AJ102" s="25">
        <f t="shared" si="33"/>
        <v>21</v>
      </c>
      <c r="AK102" s="8">
        <f t="shared" si="34"/>
        <v>0</v>
      </c>
      <c r="AL102" s="62">
        <v>0</v>
      </c>
      <c r="AM102" s="33">
        <f t="shared" si="35"/>
        <v>0</v>
      </c>
      <c r="AN102" s="63">
        <f t="shared" si="36"/>
        <v>168</v>
      </c>
      <c r="AO102" s="63">
        <f t="shared" si="37"/>
        <v>0</v>
      </c>
      <c r="AP102" s="63">
        <f t="shared" si="38"/>
        <v>0</v>
      </c>
      <c r="AQ102" s="53">
        <f t="shared" si="39"/>
        <v>0</v>
      </c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</row>
    <row r="103" spans="1:56" ht="22" customHeight="1" x14ac:dyDescent="0.35">
      <c r="A103" s="8" t="s">
        <v>225</v>
      </c>
      <c r="B103" s="8" t="s">
        <v>226</v>
      </c>
      <c r="C103" s="8" t="s">
        <v>216</v>
      </c>
      <c r="D103" s="23" t="s">
        <v>7</v>
      </c>
      <c r="E103" s="24" t="s">
        <v>9</v>
      </c>
      <c r="F103" s="22" t="s">
        <v>5</v>
      </c>
      <c r="G103" s="22" t="s">
        <v>5</v>
      </c>
      <c r="H103" s="22" t="s">
        <v>5</v>
      </c>
      <c r="I103" s="22" t="s">
        <v>5</v>
      </c>
      <c r="J103" s="22" t="s">
        <v>5</v>
      </c>
      <c r="K103" s="23" t="s">
        <v>7</v>
      </c>
      <c r="L103" s="24" t="s">
        <v>9</v>
      </c>
      <c r="M103" s="22" t="s">
        <v>5</v>
      </c>
      <c r="N103" s="22" t="s">
        <v>5</v>
      </c>
      <c r="O103" s="22" t="s">
        <v>5</v>
      </c>
      <c r="P103" s="22" t="s">
        <v>5</v>
      </c>
      <c r="Q103" s="22" t="s">
        <v>5</v>
      </c>
      <c r="R103" s="23" t="s">
        <v>7</v>
      </c>
      <c r="S103" s="24" t="s">
        <v>9</v>
      </c>
      <c r="T103" s="22" t="s">
        <v>5</v>
      </c>
      <c r="U103" s="22" t="s">
        <v>5</v>
      </c>
      <c r="V103" s="22" t="s">
        <v>5</v>
      </c>
      <c r="W103" s="22" t="s">
        <v>5</v>
      </c>
      <c r="X103" s="22" t="s">
        <v>5</v>
      </c>
      <c r="Y103" s="23" t="s">
        <v>7</v>
      </c>
      <c r="Z103" s="24" t="s">
        <v>9</v>
      </c>
      <c r="AA103" s="22" t="s">
        <v>5</v>
      </c>
      <c r="AB103" s="22" t="s">
        <v>5</v>
      </c>
      <c r="AC103" s="22" t="s">
        <v>5</v>
      </c>
      <c r="AD103" s="22" t="s">
        <v>5</v>
      </c>
      <c r="AE103" s="22" t="s">
        <v>5</v>
      </c>
      <c r="AF103" s="23" t="s">
        <v>7</v>
      </c>
      <c r="AG103" s="24" t="s">
        <v>9</v>
      </c>
      <c r="AH103" s="22" t="s">
        <v>5</v>
      </c>
      <c r="AI103" s="8">
        <f t="shared" si="32"/>
        <v>0</v>
      </c>
      <c r="AJ103" s="25">
        <f t="shared" si="33"/>
        <v>21</v>
      </c>
      <c r="AK103" s="8">
        <f t="shared" si="34"/>
        <v>0</v>
      </c>
      <c r="AL103" s="62">
        <v>0</v>
      </c>
      <c r="AM103" s="33">
        <f t="shared" si="35"/>
        <v>0</v>
      </c>
      <c r="AN103" s="63">
        <f t="shared" si="36"/>
        <v>168</v>
      </c>
      <c r="AO103" s="63">
        <f t="shared" si="37"/>
        <v>0</v>
      </c>
      <c r="AP103" s="63">
        <f t="shared" si="38"/>
        <v>0</v>
      </c>
      <c r="AQ103" s="53">
        <f t="shared" si="39"/>
        <v>0</v>
      </c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</row>
    <row r="104" spans="1:56" ht="22" customHeight="1" x14ac:dyDescent="0.35">
      <c r="A104" s="8" t="s">
        <v>227</v>
      </c>
      <c r="B104" s="8" t="s">
        <v>228</v>
      </c>
      <c r="C104" s="8" t="s">
        <v>216</v>
      </c>
      <c r="D104" s="23" t="s">
        <v>7</v>
      </c>
      <c r="E104" s="24" t="s">
        <v>9</v>
      </c>
      <c r="F104" s="26" t="s">
        <v>3</v>
      </c>
      <c r="G104" s="26" t="s">
        <v>3</v>
      </c>
      <c r="H104" s="26" t="s">
        <v>3</v>
      </c>
      <c r="I104" s="26" t="s">
        <v>3</v>
      </c>
      <c r="J104" s="26" t="s">
        <v>3</v>
      </c>
      <c r="K104" s="23" t="s">
        <v>7</v>
      </c>
      <c r="L104" s="24" t="s">
        <v>9</v>
      </c>
      <c r="M104" s="26" t="s">
        <v>3</v>
      </c>
      <c r="N104" s="26" t="s">
        <v>3</v>
      </c>
      <c r="O104" s="26" t="s">
        <v>3</v>
      </c>
      <c r="P104" s="26" t="s">
        <v>3</v>
      </c>
      <c r="Q104" s="26" t="s">
        <v>3</v>
      </c>
      <c r="R104" s="23" t="s">
        <v>7</v>
      </c>
      <c r="S104" s="24" t="s">
        <v>9</v>
      </c>
      <c r="T104" s="26" t="s">
        <v>3</v>
      </c>
      <c r="U104" s="26" t="s">
        <v>3</v>
      </c>
      <c r="V104" s="26" t="s">
        <v>3</v>
      </c>
      <c r="W104" s="26" t="s">
        <v>3</v>
      </c>
      <c r="X104" s="26" t="s">
        <v>3</v>
      </c>
      <c r="Y104" s="23" t="s">
        <v>7</v>
      </c>
      <c r="Z104" s="24" t="s">
        <v>9</v>
      </c>
      <c r="AA104" s="26" t="s">
        <v>3</v>
      </c>
      <c r="AB104" s="26" t="s">
        <v>3</v>
      </c>
      <c r="AC104" s="26" t="s">
        <v>3</v>
      </c>
      <c r="AD104" s="26" t="s">
        <v>3</v>
      </c>
      <c r="AE104" s="26" t="s">
        <v>3</v>
      </c>
      <c r="AF104" s="23" t="s">
        <v>7</v>
      </c>
      <c r="AG104" s="24" t="s">
        <v>9</v>
      </c>
      <c r="AH104" s="26" t="s">
        <v>3</v>
      </c>
      <c r="AI104" s="8">
        <f t="shared" si="32"/>
        <v>21</v>
      </c>
      <c r="AJ104" s="8">
        <f t="shared" si="33"/>
        <v>0</v>
      </c>
      <c r="AK104" s="8">
        <f t="shared" si="34"/>
        <v>0</v>
      </c>
      <c r="AL104" s="62">
        <v>0</v>
      </c>
      <c r="AM104" s="33">
        <f t="shared" si="35"/>
        <v>21</v>
      </c>
      <c r="AN104" s="63">
        <f t="shared" si="36"/>
        <v>168</v>
      </c>
      <c r="AO104" s="63">
        <f t="shared" si="37"/>
        <v>4</v>
      </c>
      <c r="AP104" s="63">
        <f t="shared" si="38"/>
        <v>16</v>
      </c>
      <c r="AQ104" s="53">
        <f t="shared" si="39"/>
        <v>19</v>
      </c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</row>
    <row r="105" spans="1:56" ht="22" customHeight="1" x14ac:dyDescent="0.35">
      <c r="A105" s="8" t="s">
        <v>229</v>
      </c>
      <c r="B105" s="8" t="s">
        <v>230</v>
      </c>
      <c r="C105" s="8" t="s">
        <v>216</v>
      </c>
      <c r="D105" s="23" t="s">
        <v>7</v>
      </c>
      <c r="E105" s="28" t="s">
        <v>11</v>
      </c>
      <c r="F105" s="26" t="s">
        <v>3</v>
      </c>
      <c r="G105" s="26" t="s">
        <v>3</v>
      </c>
      <c r="H105" s="26" t="s">
        <v>3</v>
      </c>
      <c r="I105" s="26" t="s">
        <v>3</v>
      </c>
      <c r="J105" s="26" t="s">
        <v>3</v>
      </c>
      <c r="K105" s="23" t="s">
        <v>7</v>
      </c>
      <c r="L105" s="24" t="s">
        <v>9</v>
      </c>
      <c r="M105" s="26" t="s">
        <v>3</v>
      </c>
      <c r="N105" s="22" t="s">
        <v>5</v>
      </c>
      <c r="O105" s="26" t="s">
        <v>3</v>
      </c>
      <c r="P105" s="26" t="s">
        <v>3</v>
      </c>
      <c r="Q105" s="26" t="s">
        <v>3</v>
      </c>
      <c r="R105" s="23" t="s">
        <v>7</v>
      </c>
      <c r="S105" s="24" t="s">
        <v>9</v>
      </c>
      <c r="T105" s="26" t="s">
        <v>3</v>
      </c>
      <c r="U105" s="26" t="s">
        <v>3</v>
      </c>
      <c r="V105" s="26" t="s">
        <v>3</v>
      </c>
      <c r="W105" s="26" t="s">
        <v>3</v>
      </c>
      <c r="X105" s="26" t="s">
        <v>3</v>
      </c>
      <c r="Y105" s="23" t="s">
        <v>7</v>
      </c>
      <c r="Z105" s="24" t="s">
        <v>9</v>
      </c>
      <c r="AA105" s="26" t="s">
        <v>3</v>
      </c>
      <c r="AB105" s="26" t="s">
        <v>3</v>
      </c>
      <c r="AC105" s="26" t="s">
        <v>3</v>
      </c>
      <c r="AD105" s="22" t="s">
        <v>5</v>
      </c>
      <c r="AE105" s="26" t="s">
        <v>3</v>
      </c>
      <c r="AF105" s="23" t="s">
        <v>7</v>
      </c>
      <c r="AG105" s="24" t="s">
        <v>9</v>
      </c>
      <c r="AH105" s="26" t="s">
        <v>3</v>
      </c>
      <c r="AI105" s="8">
        <f t="shared" si="32"/>
        <v>19</v>
      </c>
      <c r="AJ105" s="8">
        <f t="shared" si="33"/>
        <v>2</v>
      </c>
      <c r="AK105" s="29">
        <f t="shared" si="34"/>
        <v>1</v>
      </c>
      <c r="AL105" s="62">
        <v>0</v>
      </c>
      <c r="AM105" s="33">
        <f t="shared" si="35"/>
        <v>20</v>
      </c>
      <c r="AN105" s="63">
        <f t="shared" si="36"/>
        <v>168</v>
      </c>
      <c r="AO105" s="63">
        <f t="shared" si="37"/>
        <v>4</v>
      </c>
      <c r="AP105" s="63">
        <f t="shared" si="38"/>
        <v>16</v>
      </c>
      <c r="AQ105" s="53">
        <f t="shared" si="39"/>
        <v>18</v>
      </c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</row>
    <row r="106" spans="1:56" ht="22" customHeight="1" x14ac:dyDescent="0.35">
      <c r="A106" s="8" t="s">
        <v>231</v>
      </c>
      <c r="B106" s="8" t="s">
        <v>232</v>
      </c>
      <c r="C106" s="8" t="s">
        <v>216</v>
      </c>
      <c r="D106" s="23" t="s">
        <v>7</v>
      </c>
      <c r="E106" s="24" t="s">
        <v>9</v>
      </c>
      <c r="F106" s="26" t="s">
        <v>3</v>
      </c>
      <c r="G106" s="26" t="s">
        <v>3</v>
      </c>
      <c r="H106" s="26" t="s">
        <v>3</v>
      </c>
      <c r="I106" s="26" t="s">
        <v>3</v>
      </c>
      <c r="J106" s="26" t="s">
        <v>3</v>
      </c>
      <c r="K106" s="27" t="s">
        <v>7</v>
      </c>
      <c r="L106" s="24" t="s">
        <v>9</v>
      </c>
      <c r="M106" s="22" t="s">
        <v>5</v>
      </c>
      <c r="N106" s="26" t="s">
        <v>3</v>
      </c>
      <c r="O106" s="26" t="s">
        <v>3</v>
      </c>
      <c r="P106" s="26" t="s">
        <v>3</v>
      </c>
      <c r="Q106" s="26" t="s">
        <v>3</v>
      </c>
      <c r="R106" s="23" t="s">
        <v>7</v>
      </c>
      <c r="S106" s="24" t="s">
        <v>9</v>
      </c>
      <c r="T106" s="26" t="s">
        <v>3</v>
      </c>
      <c r="U106" s="26" t="s">
        <v>3</v>
      </c>
      <c r="V106" s="26" t="s">
        <v>3</v>
      </c>
      <c r="W106" s="26" t="s">
        <v>3</v>
      </c>
      <c r="X106" s="26" t="s">
        <v>3</v>
      </c>
      <c r="Y106" s="23" t="s">
        <v>7</v>
      </c>
      <c r="Z106" s="24" t="s">
        <v>9</v>
      </c>
      <c r="AA106" s="26" t="s">
        <v>3</v>
      </c>
      <c r="AB106" s="22" t="s">
        <v>5</v>
      </c>
      <c r="AC106" s="26" t="s">
        <v>3</v>
      </c>
      <c r="AD106" s="26" t="s">
        <v>3</v>
      </c>
      <c r="AE106" s="26" t="s">
        <v>3</v>
      </c>
      <c r="AF106" s="23" t="s">
        <v>7</v>
      </c>
      <c r="AG106" s="24" t="s">
        <v>9</v>
      </c>
      <c r="AH106" s="26" t="s">
        <v>3</v>
      </c>
      <c r="AI106" s="8">
        <f t="shared" si="32"/>
        <v>19</v>
      </c>
      <c r="AJ106" s="8">
        <f t="shared" si="33"/>
        <v>2</v>
      </c>
      <c r="AK106" s="8">
        <f t="shared" si="34"/>
        <v>0</v>
      </c>
      <c r="AL106" s="62">
        <v>1</v>
      </c>
      <c r="AM106" s="33">
        <f t="shared" si="35"/>
        <v>19.5</v>
      </c>
      <c r="AN106" s="63">
        <f t="shared" si="36"/>
        <v>168</v>
      </c>
      <c r="AO106" s="63">
        <f t="shared" si="37"/>
        <v>3</v>
      </c>
      <c r="AP106" s="63">
        <f t="shared" si="38"/>
        <v>12</v>
      </c>
      <c r="AQ106" s="53">
        <f t="shared" si="39"/>
        <v>18</v>
      </c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</row>
    <row r="107" spans="1:56" ht="22" customHeight="1" x14ac:dyDescent="0.35">
      <c r="A107" s="8" t="s">
        <v>233</v>
      </c>
      <c r="B107" s="8" t="s">
        <v>234</v>
      </c>
      <c r="C107" s="8" t="s">
        <v>216</v>
      </c>
      <c r="D107" s="27" t="s">
        <v>7</v>
      </c>
      <c r="E107" s="24" t="s">
        <v>9</v>
      </c>
      <c r="F107" s="26" t="s">
        <v>3</v>
      </c>
      <c r="G107" s="26" t="s">
        <v>3</v>
      </c>
      <c r="H107" s="26" t="s">
        <v>3</v>
      </c>
      <c r="I107" s="26" t="s">
        <v>3</v>
      </c>
      <c r="J107" s="26" t="s">
        <v>3</v>
      </c>
      <c r="K107" s="23" t="s">
        <v>7</v>
      </c>
      <c r="L107" s="24" t="s">
        <v>9</v>
      </c>
      <c r="M107" s="26" t="s">
        <v>3</v>
      </c>
      <c r="N107" s="26" t="s">
        <v>3</v>
      </c>
      <c r="O107" s="26" t="s">
        <v>3</v>
      </c>
      <c r="P107" s="26" t="s">
        <v>3</v>
      </c>
      <c r="Q107" s="26" t="s">
        <v>3</v>
      </c>
      <c r="R107" s="23" t="s">
        <v>7</v>
      </c>
      <c r="S107" s="24" t="s">
        <v>9</v>
      </c>
      <c r="T107" s="26" t="s">
        <v>3</v>
      </c>
      <c r="U107" s="26" t="s">
        <v>3</v>
      </c>
      <c r="V107" s="26" t="s">
        <v>3</v>
      </c>
      <c r="W107" s="26" t="s">
        <v>3</v>
      </c>
      <c r="X107" s="26" t="s">
        <v>3</v>
      </c>
      <c r="Y107" s="27" t="s">
        <v>7</v>
      </c>
      <c r="Z107" s="24" t="s">
        <v>9</v>
      </c>
      <c r="AA107" s="26" t="s">
        <v>3</v>
      </c>
      <c r="AB107" s="26" t="s">
        <v>3</v>
      </c>
      <c r="AC107" s="26" t="s">
        <v>3</v>
      </c>
      <c r="AD107" s="26" t="s">
        <v>3</v>
      </c>
      <c r="AE107" s="26" t="s">
        <v>3</v>
      </c>
      <c r="AF107" s="23" t="s">
        <v>7</v>
      </c>
      <c r="AG107" s="24" t="s">
        <v>9</v>
      </c>
      <c r="AH107" s="26" t="s">
        <v>3</v>
      </c>
      <c r="AI107" s="8">
        <f t="shared" si="32"/>
        <v>21</v>
      </c>
      <c r="AJ107" s="8">
        <f t="shared" si="33"/>
        <v>0</v>
      </c>
      <c r="AK107" s="8">
        <f t="shared" si="34"/>
        <v>0</v>
      </c>
      <c r="AL107" s="62">
        <v>2</v>
      </c>
      <c r="AM107" s="33">
        <f t="shared" si="35"/>
        <v>22</v>
      </c>
      <c r="AN107" s="63">
        <f t="shared" si="36"/>
        <v>168</v>
      </c>
      <c r="AO107" s="63">
        <f t="shared" si="37"/>
        <v>2</v>
      </c>
      <c r="AP107" s="63">
        <f t="shared" si="38"/>
        <v>8</v>
      </c>
      <c r="AQ107" s="53">
        <f t="shared" si="39"/>
        <v>21</v>
      </c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</row>
    <row r="108" spans="1:56" ht="22" customHeight="1" x14ac:dyDescent="0.35">
      <c r="A108" s="8" t="s">
        <v>235</v>
      </c>
      <c r="B108" s="8" t="s">
        <v>236</v>
      </c>
      <c r="C108" s="8" t="s">
        <v>216</v>
      </c>
      <c r="D108" s="23" t="s">
        <v>7</v>
      </c>
      <c r="E108" s="24" t="s">
        <v>9</v>
      </c>
      <c r="F108" s="26" t="s">
        <v>3</v>
      </c>
      <c r="G108" s="26" t="s">
        <v>3</v>
      </c>
      <c r="H108" s="26" t="s">
        <v>3</v>
      </c>
      <c r="I108" s="26" t="s">
        <v>3</v>
      </c>
      <c r="J108" s="26" t="s">
        <v>3</v>
      </c>
      <c r="K108" s="23" t="s">
        <v>7</v>
      </c>
      <c r="L108" s="24" t="s">
        <v>9</v>
      </c>
      <c r="M108" s="26" t="s">
        <v>3</v>
      </c>
      <c r="N108" s="26" t="s">
        <v>3</v>
      </c>
      <c r="O108" s="26" t="s">
        <v>3</v>
      </c>
      <c r="P108" s="26" t="s">
        <v>3</v>
      </c>
      <c r="Q108" s="26" t="s">
        <v>3</v>
      </c>
      <c r="R108" s="23" t="s">
        <v>7</v>
      </c>
      <c r="S108" s="24" t="s">
        <v>9</v>
      </c>
      <c r="T108" s="26" t="s">
        <v>3</v>
      </c>
      <c r="U108" s="26" t="s">
        <v>3</v>
      </c>
      <c r="V108" s="26" t="s">
        <v>3</v>
      </c>
      <c r="W108" s="26" t="s">
        <v>3</v>
      </c>
      <c r="X108" s="26" t="s">
        <v>3</v>
      </c>
      <c r="Y108" s="23" t="s">
        <v>7</v>
      </c>
      <c r="Z108" s="24" t="s">
        <v>9</v>
      </c>
      <c r="AA108" s="26" t="s">
        <v>3</v>
      </c>
      <c r="AB108" s="26" t="s">
        <v>3</v>
      </c>
      <c r="AC108" s="26" t="s">
        <v>3</v>
      </c>
      <c r="AD108" s="26" t="s">
        <v>3</v>
      </c>
      <c r="AE108" s="26" t="s">
        <v>3</v>
      </c>
      <c r="AF108" s="27" t="s">
        <v>7</v>
      </c>
      <c r="AG108" s="24" t="s">
        <v>9</v>
      </c>
      <c r="AH108" s="26" t="s">
        <v>3</v>
      </c>
      <c r="AI108" s="8">
        <f t="shared" si="32"/>
        <v>21</v>
      </c>
      <c r="AJ108" s="8">
        <f t="shared" si="33"/>
        <v>0</v>
      </c>
      <c r="AK108" s="8">
        <f t="shared" si="34"/>
        <v>0</v>
      </c>
      <c r="AL108" s="62">
        <v>1</v>
      </c>
      <c r="AM108" s="33">
        <f t="shared" si="35"/>
        <v>21.5</v>
      </c>
      <c r="AN108" s="63">
        <f t="shared" si="36"/>
        <v>168</v>
      </c>
      <c r="AO108" s="63">
        <f t="shared" si="37"/>
        <v>3</v>
      </c>
      <c r="AP108" s="63">
        <f t="shared" si="38"/>
        <v>12</v>
      </c>
      <c r="AQ108" s="53">
        <f t="shared" si="39"/>
        <v>20</v>
      </c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</row>
    <row r="109" spans="1:56" ht="22" customHeight="1" x14ac:dyDescent="0.35">
      <c r="A109" s="8" t="s">
        <v>237</v>
      </c>
      <c r="B109" s="8" t="s">
        <v>238</v>
      </c>
      <c r="C109" s="8" t="s">
        <v>216</v>
      </c>
      <c r="D109" s="23" t="s">
        <v>7</v>
      </c>
      <c r="E109" s="24" t="s">
        <v>9</v>
      </c>
      <c r="F109" s="26" t="s">
        <v>3</v>
      </c>
      <c r="G109" s="26" t="s">
        <v>3</v>
      </c>
      <c r="H109" s="26" t="s">
        <v>3</v>
      </c>
      <c r="I109" s="26" t="s">
        <v>3</v>
      </c>
      <c r="J109" s="26" t="s">
        <v>3</v>
      </c>
      <c r="K109" s="23" t="s">
        <v>7</v>
      </c>
      <c r="L109" s="24" t="s">
        <v>9</v>
      </c>
      <c r="M109" s="26" t="s">
        <v>3</v>
      </c>
      <c r="N109" s="26" t="s">
        <v>3</v>
      </c>
      <c r="O109" s="26" t="s">
        <v>3</v>
      </c>
      <c r="P109" s="26" t="s">
        <v>3</v>
      </c>
      <c r="Q109" s="26" t="s">
        <v>3</v>
      </c>
      <c r="R109" s="27" t="s">
        <v>7</v>
      </c>
      <c r="S109" s="24" t="s">
        <v>9</v>
      </c>
      <c r="T109" s="26" t="s">
        <v>3</v>
      </c>
      <c r="U109" s="26" t="s">
        <v>3</v>
      </c>
      <c r="V109" s="26" t="s">
        <v>3</v>
      </c>
      <c r="W109" s="26" t="s">
        <v>3</v>
      </c>
      <c r="X109" s="26" t="s">
        <v>3</v>
      </c>
      <c r="Y109" s="23" t="s">
        <v>7</v>
      </c>
      <c r="Z109" s="24" t="s">
        <v>9</v>
      </c>
      <c r="AA109" s="22" t="s">
        <v>5</v>
      </c>
      <c r="AB109" s="26" t="s">
        <v>3</v>
      </c>
      <c r="AC109" s="26" t="s">
        <v>3</v>
      </c>
      <c r="AD109" s="26" t="s">
        <v>3</v>
      </c>
      <c r="AE109" s="26" t="s">
        <v>3</v>
      </c>
      <c r="AF109" s="23" t="s">
        <v>7</v>
      </c>
      <c r="AG109" s="24" t="s">
        <v>9</v>
      </c>
      <c r="AH109" s="26" t="s">
        <v>3</v>
      </c>
      <c r="AI109" s="8">
        <f t="shared" si="32"/>
        <v>20</v>
      </c>
      <c r="AJ109" s="8">
        <f t="shared" si="33"/>
        <v>1</v>
      </c>
      <c r="AK109" s="8">
        <f t="shared" si="34"/>
        <v>0</v>
      </c>
      <c r="AL109" s="62">
        <v>1</v>
      </c>
      <c r="AM109" s="33">
        <f t="shared" si="35"/>
        <v>20.5</v>
      </c>
      <c r="AN109" s="63">
        <f t="shared" si="36"/>
        <v>168</v>
      </c>
      <c r="AO109" s="63">
        <f t="shared" si="37"/>
        <v>3</v>
      </c>
      <c r="AP109" s="63">
        <f t="shared" si="38"/>
        <v>12</v>
      </c>
      <c r="AQ109" s="53">
        <f t="shared" si="39"/>
        <v>19</v>
      </c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</row>
    <row r="110" spans="1:56" ht="22" customHeight="1" x14ac:dyDescent="0.35">
      <c r="A110" s="8" t="s">
        <v>239</v>
      </c>
      <c r="B110" s="8" t="s">
        <v>240</v>
      </c>
      <c r="C110" s="8" t="s">
        <v>216</v>
      </c>
      <c r="D110" s="23" t="s">
        <v>7</v>
      </c>
      <c r="E110" s="24" t="s">
        <v>9</v>
      </c>
      <c r="F110" s="22" t="s">
        <v>5</v>
      </c>
      <c r="G110" s="26" t="s">
        <v>3</v>
      </c>
      <c r="H110" s="26" t="s">
        <v>3</v>
      </c>
      <c r="I110" s="26" t="s">
        <v>3</v>
      </c>
      <c r="J110" s="26" t="s">
        <v>3</v>
      </c>
      <c r="K110" s="23" t="s">
        <v>7</v>
      </c>
      <c r="L110" s="28" t="s">
        <v>11</v>
      </c>
      <c r="M110" s="26" t="s">
        <v>3</v>
      </c>
      <c r="N110" s="26" t="s">
        <v>3</v>
      </c>
      <c r="O110" s="26" t="s">
        <v>3</v>
      </c>
      <c r="P110" s="26" t="s">
        <v>3</v>
      </c>
      <c r="Q110" s="26" t="s">
        <v>3</v>
      </c>
      <c r="R110" s="23" t="s">
        <v>7</v>
      </c>
      <c r="S110" s="24" t="s">
        <v>9</v>
      </c>
      <c r="T110" s="26" t="s">
        <v>3</v>
      </c>
      <c r="U110" s="26" t="s">
        <v>3</v>
      </c>
      <c r="V110" s="26" t="s">
        <v>3</v>
      </c>
      <c r="W110" s="26" t="s">
        <v>3</v>
      </c>
      <c r="X110" s="22" t="s">
        <v>5</v>
      </c>
      <c r="Y110" s="23" t="s">
        <v>7</v>
      </c>
      <c r="Z110" s="24" t="s">
        <v>9</v>
      </c>
      <c r="AA110" s="22" t="s">
        <v>5</v>
      </c>
      <c r="AB110" s="22" t="s">
        <v>5</v>
      </c>
      <c r="AC110" s="26" t="s">
        <v>3</v>
      </c>
      <c r="AD110" s="26" t="s">
        <v>3</v>
      </c>
      <c r="AE110" s="26" t="s">
        <v>3</v>
      </c>
      <c r="AF110" s="23" t="s">
        <v>7</v>
      </c>
      <c r="AG110" s="24" t="s">
        <v>9</v>
      </c>
      <c r="AH110" s="26" t="s">
        <v>3</v>
      </c>
      <c r="AI110" s="8">
        <f t="shared" si="32"/>
        <v>17</v>
      </c>
      <c r="AJ110" s="8">
        <f t="shared" si="33"/>
        <v>4</v>
      </c>
      <c r="AK110" s="29">
        <f t="shared" si="34"/>
        <v>1</v>
      </c>
      <c r="AL110" s="62">
        <v>0</v>
      </c>
      <c r="AM110" s="33">
        <f t="shared" si="35"/>
        <v>18</v>
      </c>
      <c r="AN110" s="63">
        <f t="shared" si="36"/>
        <v>168</v>
      </c>
      <c r="AO110" s="63">
        <f t="shared" si="37"/>
        <v>3</v>
      </c>
      <c r="AP110" s="63">
        <f t="shared" si="38"/>
        <v>12</v>
      </c>
      <c r="AQ110" s="53">
        <f t="shared" si="39"/>
        <v>16.5</v>
      </c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</row>
    <row r="111" spans="1:56" ht="22" customHeight="1" x14ac:dyDescent="0.35">
      <c r="A111" s="8" t="s">
        <v>241</v>
      </c>
      <c r="B111" s="8" t="s">
        <v>242</v>
      </c>
      <c r="C111" s="8" t="s">
        <v>216</v>
      </c>
      <c r="D111" s="23" t="s">
        <v>7</v>
      </c>
      <c r="E111" s="24" t="s">
        <v>9</v>
      </c>
      <c r="F111" s="26" t="s">
        <v>3</v>
      </c>
      <c r="G111" s="26" t="s">
        <v>3</v>
      </c>
      <c r="H111" s="26" t="s">
        <v>3</v>
      </c>
      <c r="I111" s="26" t="s">
        <v>3</v>
      </c>
      <c r="J111" s="26" t="s">
        <v>3</v>
      </c>
      <c r="K111" s="23" t="s">
        <v>7</v>
      </c>
      <c r="L111" s="24" t="s">
        <v>9</v>
      </c>
      <c r="M111" s="26" t="s">
        <v>3</v>
      </c>
      <c r="N111" s="26" t="s">
        <v>3</v>
      </c>
      <c r="O111" s="26" t="s">
        <v>3</v>
      </c>
      <c r="P111" s="26" t="s">
        <v>3</v>
      </c>
      <c r="Q111" s="26" t="s">
        <v>3</v>
      </c>
      <c r="R111" s="23" t="s">
        <v>7</v>
      </c>
      <c r="S111" s="24" t="s">
        <v>9</v>
      </c>
      <c r="T111" s="26" t="s">
        <v>3</v>
      </c>
      <c r="U111" s="26" t="s">
        <v>3</v>
      </c>
      <c r="V111" s="26" t="s">
        <v>3</v>
      </c>
      <c r="W111" s="26" t="s">
        <v>3</v>
      </c>
      <c r="X111" s="26" t="s">
        <v>3</v>
      </c>
      <c r="Y111" s="23" t="s">
        <v>7</v>
      </c>
      <c r="Z111" s="24" t="s">
        <v>9</v>
      </c>
      <c r="AA111" s="22" t="s">
        <v>5</v>
      </c>
      <c r="AB111" s="26" t="s">
        <v>3</v>
      </c>
      <c r="AC111" s="26" t="s">
        <v>3</v>
      </c>
      <c r="AD111" s="26" t="s">
        <v>3</v>
      </c>
      <c r="AE111" s="26" t="s">
        <v>3</v>
      </c>
      <c r="AF111" s="23" t="s">
        <v>7</v>
      </c>
      <c r="AG111" s="24" t="s">
        <v>9</v>
      </c>
      <c r="AH111" s="26" t="s">
        <v>3</v>
      </c>
      <c r="AI111" s="8">
        <f t="shared" si="32"/>
        <v>20</v>
      </c>
      <c r="AJ111" s="8">
        <f t="shared" si="33"/>
        <v>1</v>
      </c>
      <c r="AK111" s="8">
        <f t="shared" si="34"/>
        <v>0</v>
      </c>
      <c r="AL111" s="62">
        <v>0</v>
      </c>
      <c r="AM111" s="33">
        <f t="shared" si="35"/>
        <v>20</v>
      </c>
      <c r="AN111" s="63">
        <f t="shared" si="36"/>
        <v>168</v>
      </c>
      <c r="AO111" s="63">
        <f t="shared" si="37"/>
        <v>4</v>
      </c>
      <c r="AP111" s="63">
        <f t="shared" si="38"/>
        <v>16</v>
      </c>
      <c r="AQ111" s="53">
        <f t="shared" si="39"/>
        <v>18</v>
      </c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</row>
    <row r="112" spans="1:56" x14ac:dyDescent="0.35"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</row>
    <row r="113" spans="1:56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</row>
    <row r="114" spans="1:56" ht="22" customHeight="1" x14ac:dyDescent="0.35">
      <c r="A114" s="8" t="s">
        <v>244</v>
      </c>
      <c r="B114" s="8" t="s">
        <v>245</v>
      </c>
      <c r="C114" s="8" t="s">
        <v>354</v>
      </c>
      <c r="D114" s="27" t="s">
        <v>7</v>
      </c>
      <c r="E114" s="28" t="s">
        <v>11</v>
      </c>
      <c r="F114" s="26" t="s">
        <v>3</v>
      </c>
      <c r="G114" s="26" t="s">
        <v>3</v>
      </c>
      <c r="H114" s="26" t="s">
        <v>3</v>
      </c>
      <c r="I114" s="26" t="s">
        <v>3</v>
      </c>
      <c r="J114" s="22" t="s">
        <v>5</v>
      </c>
      <c r="K114" s="23" t="s">
        <v>7</v>
      </c>
      <c r="L114" s="24" t="s">
        <v>9</v>
      </c>
      <c r="M114" s="26" t="s">
        <v>3</v>
      </c>
      <c r="N114" s="26" t="s">
        <v>3</v>
      </c>
      <c r="O114" s="26" t="s">
        <v>3</v>
      </c>
      <c r="P114" s="26" t="s">
        <v>3</v>
      </c>
      <c r="Q114" s="26" t="s">
        <v>3</v>
      </c>
      <c r="R114" s="27" t="s">
        <v>7</v>
      </c>
      <c r="S114" s="28" t="s">
        <v>11</v>
      </c>
      <c r="T114" s="26" t="s">
        <v>3</v>
      </c>
      <c r="U114" s="26" t="s">
        <v>3</v>
      </c>
      <c r="V114" s="26" t="s">
        <v>3</v>
      </c>
      <c r="W114" s="26" t="s">
        <v>3</v>
      </c>
      <c r="X114" s="26" t="s">
        <v>3</v>
      </c>
      <c r="Y114" s="27" t="s">
        <v>7</v>
      </c>
      <c r="Z114" s="28" t="s">
        <v>11</v>
      </c>
      <c r="AA114" s="26" t="s">
        <v>3</v>
      </c>
      <c r="AB114" s="26" t="s">
        <v>3</v>
      </c>
      <c r="AC114" s="26" t="s">
        <v>3</v>
      </c>
      <c r="AD114" s="26" t="s">
        <v>3</v>
      </c>
      <c r="AE114" s="26" t="s">
        <v>3</v>
      </c>
      <c r="AF114" s="27" t="s">
        <v>7</v>
      </c>
      <c r="AG114" s="28" t="s">
        <v>11</v>
      </c>
      <c r="AH114" s="26" t="s">
        <v>3</v>
      </c>
      <c r="AI114" s="8">
        <f>COUNTIF(D114:AH114,"ON")</f>
        <v>20</v>
      </c>
      <c r="AJ114" s="8">
        <f>COUNTIF(D114:AH114,"OFF")</f>
        <v>1</v>
      </c>
      <c r="AK114" s="29">
        <f>COUNTIF(D114:AH114,"OT")</f>
        <v>4</v>
      </c>
      <c r="AL114" s="62">
        <v>4</v>
      </c>
      <c r="AM114" s="33">
        <f>AI114+AK114+AL114*0.5</f>
        <v>26</v>
      </c>
      <c r="AN114" s="63">
        <f>NETWORKDAYS(DATE(2025,3,1),EOMONTH(DATE(2025,3,1),0))*8</f>
        <v>168</v>
      </c>
      <c r="AO114" s="63">
        <f>MAX(0,COUNTIF(J114,"ON")+COUNTIF(Q114,"ON")+COUNTIF(X114,"ON")+COUNTIF(AE114,"ON")-AL114)</f>
        <v>0</v>
      </c>
      <c r="AP114" s="63">
        <f>AO114*$AP$2</f>
        <v>0</v>
      </c>
      <c r="AQ114" s="53">
        <f>AM114-AP114/8</f>
        <v>26</v>
      </c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</row>
    <row r="115" spans="1:56" ht="22" customHeight="1" x14ac:dyDescent="0.35">
      <c r="A115" s="8" t="s">
        <v>247</v>
      </c>
      <c r="B115" s="8" t="s">
        <v>248</v>
      </c>
      <c r="C115" s="8" t="s">
        <v>354</v>
      </c>
      <c r="D115" s="27" t="s">
        <v>7</v>
      </c>
      <c r="E115" s="28" t="s">
        <v>11</v>
      </c>
      <c r="F115" s="26" t="s">
        <v>3</v>
      </c>
      <c r="G115" s="26" t="s">
        <v>3</v>
      </c>
      <c r="H115" s="26" t="s">
        <v>3</v>
      </c>
      <c r="I115" s="26" t="s">
        <v>3</v>
      </c>
      <c r="J115" s="26" t="s">
        <v>3</v>
      </c>
      <c r="K115" s="27" t="s">
        <v>7</v>
      </c>
      <c r="L115" s="28" t="s">
        <v>11</v>
      </c>
      <c r="M115" s="26" t="s">
        <v>3</v>
      </c>
      <c r="N115" s="26" t="s">
        <v>3</v>
      </c>
      <c r="O115" s="26" t="s">
        <v>3</v>
      </c>
      <c r="P115" s="26" t="s">
        <v>3</v>
      </c>
      <c r="Q115" s="26" t="s">
        <v>3</v>
      </c>
      <c r="R115" s="27" t="s">
        <v>7</v>
      </c>
      <c r="S115" s="28" t="s">
        <v>11</v>
      </c>
      <c r="T115" s="26" t="s">
        <v>3</v>
      </c>
      <c r="U115" s="26" t="s">
        <v>3</v>
      </c>
      <c r="V115" s="26" t="s">
        <v>3</v>
      </c>
      <c r="W115" s="26" t="s">
        <v>3</v>
      </c>
      <c r="X115" s="26" t="s">
        <v>3</v>
      </c>
      <c r="Y115" s="27" t="s">
        <v>7</v>
      </c>
      <c r="Z115" s="28" t="s">
        <v>11</v>
      </c>
      <c r="AA115" s="26" t="s">
        <v>3</v>
      </c>
      <c r="AB115" s="26" t="s">
        <v>3</v>
      </c>
      <c r="AC115" s="26" t="s">
        <v>3</v>
      </c>
      <c r="AD115" s="26" t="s">
        <v>3</v>
      </c>
      <c r="AE115" s="26" t="s">
        <v>3</v>
      </c>
      <c r="AF115" s="27" t="s">
        <v>7</v>
      </c>
      <c r="AG115" s="28" t="s">
        <v>11</v>
      </c>
      <c r="AH115" s="26" t="s">
        <v>3</v>
      </c>
      <c r="AI115" s="8">
        <f>COUNTIF(D115:AH115,"ON")</f>
        <v>21</v>
      </c>
      <c r="AJ115" s="8">
        <f>COUNTIF(D115:AH115,"OFF")</f>
        <v>0</v>
      </c>
      <c r="AK115" s="29">
        <f>COUNTIF(D115:AH115,"OT")</f>
        <v>5</v>
      </c>
      <c r="AL115" s="62">
        <v>5</v>
      </c>
      <c r="AM115" s="33">
        <f>AI115+AK115+AL115*0.5</f>
        <v>28.5</v>
      </c>
      <c r="AN115" s="63">
        <f>NETWORKDAYS(DATE(2025,3,1),EOMONTH(DATE(2025,3,1),0))*8</f>
        <v>168</v>
      </c>
      <c r="AO115" s="63">
        <f>MAX(0,COUNTIF(J115,"ON")+COUNTIF(Q115,"ON")+COUNTIF(X115,"ON")+COUNTIF(AE115,"ON")-AL115)</f>
        <v>0</v>
      </c>
      <c r="AP115" s="63">
        <f>AO115*$AP$2</f>
        <v>0</v>
      </c>
      <c r="AQ115" s="53">
        <f>AM115-AP115/8</f>
        <v>28.5</v>
      </c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</row>
    <row r="116" spans="1:56" ht="22" customHeight="1" x14ac:dyDescent="0.35">
      <c r="A116" s="8" t="s">
        <v>249</v>
      </c>
      <c r="B116" s="8" t="s">
        <v>250</v>
      </c>
      <c r="C116" s="8" t="s">
        <v>354</v>
      </c>
      <c r="D116" s="27" t="s">
        <v>7</v>
      </c>
      <c r="E116" s="28" t="s">
        <v>11</v>
      </c>
      <c r="F116" s="26" t="s">
        <v>3</v>
      </c>
      <c r="G116" s="26" t="s">
        <v>3</v>
      </c>
      <c r="H116" s="26" t="s">
        <v>3</v>
      </c>
      <c r="I116" s="26" t="s">
        <v>3</v>
      </c>
      <c r="J116" s="26" t="s">
        <v>3</v>
      </c>
      <c r="K116" s="27" t="s">
        <v>7</v>
      </c>
      <c r="L116" s="28" t="s">
        <v>11</v>
      </c>
      <c r="M116" s="26" t="s">
        <v>3</v>
      </c>
      <c r="N116" s="26" t="s">
        <v>3</v>
      </c>
      <c r="O116" s="26" t="s">
        <v>3</v>
      </c>
      <c r="P116" s="26" t="s">
        <v>3</v>
      </c>
      <c r="Q116" s="26" t="s">
        <v>3</v>
      </c>
      <c r="R116" s="27" t="s">
        <v>7</v>
      </c>
      <c r="S116" s="28" t="s">
        <v>11</v>
      </c>
      <c r="T116" s="26" t="s">
        <v>3</v>
      </c>
      <c r="U116" s="26" t="s">
        <v>3</v>
      </c>
      <c r="V116" s="26" t="s">
        <v>3</v>
      </c>
      <c r="W116" s="26" t="s">
        <v>3</v>
      </c>
      <c r="X116" s="22" t="s">
        <v>5</v>
      </c>
      <c r="Y116" s="23" t="s">
        <v>7</v>
      </c>
      <c r="Z116" s="24" t="s">
        <v>9</v>
      </c>
      <c r="AA116" s="22" t="s">
        <v>5</v>
      </c>
      <c r="AB116" s="22" t="s">
        <v>5</v>
      </c>
      <c r="AC116" s="22" t="s">
        <v>5</v>
      </c>
      <c r="AD116" s="22" t="s">
        <v>5</v>
      </c>
      <c r="AE116" s="22" t="s">
        <v>5</v>
      </c>
      <c r="AF116" s="23" t="s">
        <v>7</v>
      </c>
      <c r="AG116" s="24" t="s">
        <v>9</v>
      </c>
      <c r="AH116" s="22" t="s">
        <v>5</v>
      </c>
      <c r="AI116" s="8">
        <f>COUNTIF(D116:AH116,"ON")</f>
        <v>14</v>
      </c>
      <c r="AJ116" s="8">
        <f>COUNTIF(D116:AH116,"OFF")</f>
        <v>7</v>
      </c>
      <c r="AK116" s="29">
        <f>COUNTIF(D116:AH116,"OT")</f>
        <v>3</v>
      </c>
      <c r="AL116" s="62">
        <v>3</v>
      </c>
      <c r="AM116" s="33">
        <f>AI116+AK116+AL116*0.5</f>
        <v>18.5</v>
      </c>
      <c r="AN116" s="63">
        <f>NETWORKDAYS(DATE(2025,3,1),EOMONTH(DATE(2025,3,1),0))*8</f>
        <v>168</v>
      </c>
      <c r="AO116" s="63">
        <f>MAX(0,COUNTIF(J116,"ON")+COUNTIF(Q116,"ON")+COUNTIF(X116,"ON")+COUNTIF(AE116,"ON")-AL116)</f>
        <v>0</v>
      </c>
      <c r="AP116" s="63">
        <f>AO116*$AP$2</f>
        <v>0</v>
      </c>
      <c r="AQ116" s="53">
        <f>AM116-AP116/8</f>
        <v>18.5</v>
      </c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</row>
    <row r="117" spans="1:56" x14ac:dyDescent="0.35"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</row>
    <row r="118" spans="1:56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</row>
    <row r="119" spans="1:56" ht="22" customHeight="1" x14ac:dyDescent="0.35">
      <c r="A119" s="8" t="s">
        <v>252</v>
      </c>
      <c r="B119" s="8" t="s">
        <v>253</v>
      </c>
      <c r="C119" s="8" t="s">
        <v>254</v>
      </c>
      <c r="D119" s="23" t="s">
        <v>7</v>
      </c>
      <c r="E119" s="24" t="s">
        <v>9</v>
      </c>
      <c r="F119" s="22" t="s">
        <v>5</v>
      </c>
      <c r="G119" s="22" t="s">
        <v>5</v>
      </c>
      <c r="H119" s="22" t="s">
        <v>5</v>
      </c>
      <c r="I119" s="22" t="s">
        <v>5</v>
      </c>
      <c r="J119" s="22" t="s">
        <v>5</v>
      </c>
      <c r="K119" s="23" t="s">
        <v>7</v>
      </c>
      <c r="L119" s="24" t="s">
        <v>9</v>
      </c>
      <c r="M119" s="22" t="s">
        <v>5</v>
      </c>
      <c r="N119" s="22" t="s">
        <v>5</v>
      </c>
      <c r="O119" s="22" t="s">
        <v>5</v>
      </c>
      <c r="P119" s="22" t="s">
        <v>5</v>
      </c>
      <c r="Q119" s="22" t="s">
        <v>5</v>
      </c>
      <c r="R119" s="23" t="s">
        <v>7</v>
      </c>
      <c r="S119" s="24" t="s">
        <v>9</v>
      </c>
      <c r="T119" s="22" t="s">
        <v>5</v>
      </c>
      <c r="U119" s="22" t="s">
        <v>5</v>
      </c>
      <c r="V119" s="22" t="s">
        <v>5</v>
      </c>
      <c r="W119" s="22" t="s">
        <v>5</v>
      </c>
      <c r="X119" s="22" t="s">
        <v>5</v>
      </c>
      <c r="Y119" s="23" t="s">
        <v>7</v>
      </c>
      <c r="Z119" s="24" t="s">
        <v>9</v>
      </c>
      <c r="AA119" s="22" t="s">
        <v>5</v>
      </c>
      <c r="AB119" s="22" t="s">
        <v>5</v>
      </c>
      <c r="AC119" s="22" t="s">
        <v>5</v>
      </c>
      <c r="AD119" s="22" t="s">
        <v>5</v>
      </c>
      <c r="AE119" s="22" t="s">
        <v>5</v>
      </c>
      <c r="AF119" s="23" t="s">
        <v>7</v>
      </c>
      <c r="AG119" s="24" t="s">
        <v>9</v>
      </c>
      <c r="AH119" s="22" t="s">
        <v>5</v>
      </c>
      <c r="AI119" s="8">
        <f t="shared" ref="AI119:AI129" si="40">COUNTIF(D119:AH119,"ON")</f>
        <v>0</v>
      </c>
      <c r="AJ119" s="25">
        <f t="shared" ref="AJ119:AJ129" si="41">COUNTIF(D119:AH119,"OFF")</f>
        <v>21</v>
      </c>
      <c r="AK119" s="8">
        <f t="shared" ref="AK119:AK129" si="42">COUNTIF(D119:AH119,"OT")</f>
        <v>0</v>
      </c>
      <c r="AL119" s="62">
        <v>0</v>
      </c>
      <c r="AM119" s="33">
        <f t="shared" ref="AM119:AM129" si="43">AI119+AK119+AL119*0.5</f>
        <v>0</v>
      </c>
      <c r="AN119" s="63">
        <f t="shared" ref="AN119:AN129" si="44">NETWORKDAYS(DATE(2025,3,1),EOMONTH(DATE(2025,3,1),0))*8</f>
        <v>168</v>
      </c>
      <c r="AO119" s="63">
        <f t="shared" ref="AO119:AO129" si="45">MAX(0,COUNTIF(J119,"ON")+COUNTIF(Q119,"ON")+COUNTIF(X119,"ON")+COUNTIF(AE119,"ON")-AL119)</f>
        <v>0</v>
      </c>
      <c r="AP119" s="63">
        <f t="shared" ref="AP119:AP129" si="46">AO119*$AP$2</f>
        <v>0</v>
      </c>
      <c r="AQ119" s="53">
        <f t="shared" ref="AQ119:AQ129" si="47">AM119-AP119/8</f>
        <v>0</v>
      </c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</row>
    <row r="120" spans="1:56" ht="22" customHeight="1" x14ac:dyDescent="0.35">
      <c r="A120" s="8" t="s">
        <v>255</v>
      </c>
      <c r="B120" s="8" t="s">
        <v>256</v>
      </c>
      <c r="C120" s="8" t="s">
        <v>254</v>
      </c>
      <c r="D120" s="23" t="s">
        <v>7</v>
      </c>
      <c r="E120" s="24" t="s">
        <v>9</v>
      </c>
      <c r="F120" s="22" t="s">
        <v>5</v>
      </c>
      <c r="G120" s="22" t="s">
        <v>5</v>
      </c>
      <c r="H120" s="22" t="s">
        <v>5</v>
      </c>
      <c r="I120" s="22" t="s">
        <v>5</v>
      </c>
      <c r="J120" s="22" t="s">
        <v>5</v>
      </c>
      <c r="K120" s="23" t="s">
        <v>7</v>
      </c>
      <c r="L120" s="24" t="s">
        <v>9</v>
      </c>
      <c r="M120" s="22" t="s">
        <v>5</v>
      </c>
      <c r="N120" s="22" t="s">
        <v>5</v>
      </c>
      <c r="O120" s="22" t="s">
        <v>5</v>
      </c>
      <c r="P120" s="22" t="s">
        <v>5</v>
      </c>
      <c r="Q120" s="22" t="s">
        <v>5</v>
      </c>
      <c r="R120" s="23" t="s">
        <v>7</v>
      </c>
      <c r="S120" s="24" t="s">
        <v>9</v>
      </c>
      <c r="T120" s="22" t="s">
        <v>5</v>
      </c>
      <c r="U120" s="22" t="s">
        <v>5</v>
      </c>
      <c r="V120" s="22" t="s">
        <v>5</v>
      </c>
      <c r="W120" s="22" t="s">
        <v>5</v>
      </c>
      <c r="X120" s="22" t="s">
        <v>5</v>
      </c>
      <c r="Y120" s="23" t="s">
        <v>7</v>
      </c>
      <c r="Z120" s="24" t="s">
        <v>9</v>
      </c>
      <c r="AA120" s="22" t="s">
        <v>5</v>
      </c>
      <c r="AB120" s="22" t="s">
        <v>5</v>
      </c>
      <c r="AC120" s="22" t="s">
        <v>5</v>
      </c>
      <c r="AD120" s="22" t="s">
        <v>5</v>
      </c>
      <c r="AE120" s="22" t="s">
        <v>5</v>
      </c>
      <c r="AF120" s="23" t="s">
        <v>7</v>
      </c>
      <c r="AG120" s="24" t="s">
        <v>9</v>
      </c>
      <c r="AH120" s="22" t="s">
        <v>5</v>
      </c>
      <c r="AI120" s="8">
        <f t="shared" si="40"/>
        <v>0</v>
      </c>
      <c r="AJ120" s="25">
        <f t="shared" si="41"/>
        <v>21</v>
      </c>
      <c r="AK120" s="8">
        <f t="shared" si="42"/>
        <v>0</v>
      </c>
      <c r="AL120" s="62">
        <v>0</v>
      </c>
      <c r="AM120" s="33">
        <f t="shared" si="43"/>
        <v>0</v>
      </c>
      <c r="AN120" s="63">
        <f t="shared" si="44"/>
        <v>168</v>
      </c>
      <c r="AO120" s="63">
        <f t="shared" si="45"/>
        <v>0</v>
      </c>
      <c r="AP120" s="63">
        <f t="shared" si="46"/>
        <v>0</v>
      </c>
      <c r="AQ120" s="53">
        <f t="shared" si="47"/>
        <v>0</v>
      </c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</row>
    <row r="121" spans="1:56" ht="22" customHeight="1" x14ac:dyDescent="0.35">
      <c r="A121" s="8" t="s">
        <v>257</v>
      </c>
      <c r="B121" s="8" t="s">
        <v>258</v>
      </c>
      <c r="C121" s="8" t="s">
        <v>254</v>
      </c>
      <c r="D121" s="23" t="s">
        <v>7</v>
      </c>
      <c r="E121" s="24" t="s">
        <v>9</v>
      </c>
      <c r="F121" s="22" t="s">
        <v>5</v>
      </c>
      <c r="G121" s="22" t="s">
        <v>5</v>
      </c>
      <c r="H121" s="22" t="s">
        <v>5</v>
      </c>
      <c r="I121" s="22" t="s">
        <v>5</v>
      </c>
      <c r="J121" s="22" t="s">
        <v>5</v>
      </c>
      <c r="K121" s="23" t="s">
        <v>7</v>
      </c>
      <c r="L121" s="24" t="s">
        <v>9</v>
      </c>
      <c r="M121" s="22" t="s">
        <v>5</v>
      </c>
      <c r="N121" s="22" t="s">
        <v>5</v>
      </c>
      <c r="O121" s="22" t="s">
        <v>5</v>
      </c>
      <c r="P121" s="22" t="s">
        <v>5</v>
      </c>
      <c r="Q121" s="22" t="s">
        <v>5</v>
      </c>
      <c r="R121" s="23" t="s">
        <v>7</v>
      </c>
      <c r="S121" s="24" t="s">
        <v>9</v>
      </c>
      <c r="T121" s="22" t="s">
        <v>5</v>
      </c>
      <c r="U121" s="22" t="s">
        <v>5</v>
      </c>
      <c r="V121" s="22" t="s">
        <v>5</v>
      </c>
      <c r="W121" s="22" t="s">
        <v>5</v>
      </c>
      <c r="X121" s="22" t="s">
        <v>5</v>
      </c>
      <c r="Y121" s="23" t="s">
        <v>7</v>
      </c>
      <c r="Z121" s="24" t="s">
        <v>9</v>
      </c>
      <c r="AA121" s="22" t="s">
        <v>5</v>
      </c>
      <c r="AB121" s="22" t="s">
        <v>5</v>
      </c>
      <c r="AC121" s="22" t="s">
        <v>5</v>
      </c>
      <c r="AD121" s="22" t="s">
        <v>5</v>
      </c>
      <c r="AE121" s="22" t="s">
        <v>5</v>
      </c>
      <c r="AF121" s="23" t="s">
        <v>7</v>
      </c>
      <c r="AG121" s="24" t="s">
        <v>9</v>
      </c>
      <c r="AH121" s="22" t="s">
        <v>5</v>
      </c>
      <c r="AI121" s="8">
        <f t="shared" si="40"/>
        <v>0</v>
      </c>
      <c r="AJ121" s="25">
        <f t="shared" si="41"/>
        <v>21</v>
      </c>
      <c r="AK121" s="8">
        <f t="shared" si="42"/>
        <v>0</v>
      </c>
      <c r="AL121" s="62">
        <v>0</v>
      </c>
      <c r="AM121" s="33">
        <f t="shared" si="43"/>
        <v>0</v>
      </c>
      <c r="AN121" s="63">
        <f t="shared" si="44"/>
        <v>168</v>
      </c>
      <c r="AO121" s="63">
        <f t="shared" si="45"/>
        <v>0</v>
      </c>
      <c r="AP121" s="63">
        <f t="shared" si="46"/>
        <v>0</v>
      </c>
      <c r="AQ121" s="53">
        <f t="shared" si="47"/>
        <v>0</v>
      </c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</row>
    <row r="122" spans="1:56" ht="22" customHeight="1" x14ac:dyDescent="0.35">
      <c r="A122" s="8" t="s">
        <v>259</v>
      </c>
      <c r="B122" s="8" t="s">
        <v>260</v>
      </c>
      <c r="C122" s="8" t="s">
        <v>254</v>
      </c>
      <c r="D122" s="23" t="s">
        <v>7</v>
      </c>
      <c r="E122" s="24" t="s">
        <v>9</v>
      </c>
      <c r="F122" s="22" t="s">
        <v>5</v>
      </c>
      <c r="G122" s="22" t="s">
        <v>5</v>
      </c>
      <c r="H122" s="22" t="s">
        <v>5</v>
      </c>
      <c r="I122" s="22" t="s">
        <v>5</v>
      </c>
      <c r="J122" s="22" t="s">
        <v>5</v>
      </c>
      <c r="K122" s="23" t="s">
        <v>7</v>
      </c>
      <c r="L122" s="24" t="s">
        <v>9</v>
      </c>
      <c r="M122" s="22" t="s">
        <v>5</v>
      </c>
      <c r="N122" s="22" t="s">
        <v>5</v>
      </c>
      <c r="O122" s="22" t="s">
        <v>5</v>
      </c>
      <c r="P122" s="22" t="s">
        <v>5</v>
      </c>
      <c r="Q122" s="22" t="s">
        <v>5</v>
      </c>
      <c r="R122" s="23" t="s">
        <v>7</v>
      </c>
      <c r="S122" s="24" t="s">
        <v>9</v>
      </c>
      <c r="T122" s="22" t="s">
        <v>5</v>
      </c>
      <c r="U122" s="22" t="s">
        <v>5</v>
      </c>
      <c r="V122" s="22" t="s">
        <v>5</v>
      </c>
      <c r="W122" s="22" t="s">
        <v>5</v>
      </c>
      <c r="X122" s="22" t="s">
        <v>5</v>
      </c>
      <c r="Y122" s="23" t="s">
        <v>7</v>
      </c>
      <c r="Z122" s="24" t="s">
        <v>9</v>
      </c>
      <c r="AA122" s="22" t="s">
        <v>5</v>
      </c>
      <c r="AB122" s="22" t="s">
        <v>5</v>
      </c>
      <c r="AC122" s="22" t="s">
        <v>5</v>
      </c>
      <c r="AD122" s="22" t="s">
        <v>5</v>
      </c>
      <c r="AE122" s="22" t="s">
        <v>5</v>
      </c>
      <c r="AF122" s="23" t="s">
        <v>7</v>
      </c>
      <c r="AG122" s="24" t="s">
        <v>9</v>
      </c>
      <c r="AH122" s="22" t="s">
        <v>5</v>
      </c>
      <c r="AI122" s="8">
        <f t="shared" si="40"/>
        <v>0</v>
      </c>
      <c r="AJ122" s="25">
        <f t="shared" si="41"/>
        <v>21</v>
      </c>
      <c r="AK122" s="8">
        <f t="shared" si="42"/>
        <v>0</v>
      </c>
      <c r="AL122" s="62">
        <v>0</v>
      </c>
      <c r="AM122" s="33">
        <f t="shared" si="43"/>
        <v>0</v>
      </c>
      <c r="AN122" s="63">
        <f t="shared" si="44"/>
        <v>168</v>
      </c>
      <c r="AO122" s="63">
        <f t="shared" si="45"/>
        <v>0</v>
      </c>
      <c r="AP122" s="63">
        <f t="shared" si="46"/>
        <v>0</v>
      </c>
      <c r="AQ122" s="53">
        <f t="shared" si="47"/>
        <v>0</v>
      </c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</row>
    <row r="123" spans="1:56" ht="22" customHeight="1" x14ac:dyDescent="0.35">
      <c r="A123" s="8" t="s">
        <v>261</v>
      </c>
      <c r="B123" s="8" t="s">
        <v>262</v>
      </c>
      <c r="C123" s="8" t="s">
        <v>254</v>
      </c>
      <c r="D123" s="23" t="s">
        <v>7</v>
      </c>
      <c r="E123" s="24" t="s">
        <v>9</v>
      </c>
      <c r="F123" s="22" t="s">
        <v>5</v>
      </c>
      <c r="G123" s="22" t="s">
        <v>5</v>
      </c>
      <c r="H123" s="22" t="s">
        <v>5</v>
      </c>
      <c r="I123" s="22" t="s">
        <v>5</v>
      </c>
      <c r="J123" s="22" t="s">
        <v>5</v>
      </c>
      <c r="K123" s="23" t="s">
        <v>7</v>
      </c>
      <c r="L123" s="24" t="s">
        <v>9</v>
      </c>
      <c r="M123" s="22" t="s">
        <v>5</v>
      </c>
      <c r="N123" s="22" t="s">
        <v>5</v>
      </c>
      <c r="O123" s="22" t="s">
        <v>5</v>
      </c>
      <c r="P123" s="22" t="s">
        <v>5</v>
      </c>
      <c r="Q123" s="22" t="s">
        <v>5</v>
      </c>
      <c r="R123" s="23" t="s">
        <v>7</v>
      </c>
      <c r="S123" s="24" t="s">
        <v>9</v>
      </c>
      <c r="T123" s="22" t="s">
        <v>5</v>
      </c>
      <c r="U123" s="22" t="s">
        <v>5</v>
      </c>
      <c r="V123" s="22" t="s">
        <v>5</v>
      </c>
      <c r="W123" s="22" t="s">
        <v>5</v>
      </c>
      <c r="X123" s="22" t="s">
        <v>5</v>
      </c>
      <c r="Y123" s="23" t="s">
        <v>7</v>
      </c>
      <c r="Z123" s="24" t="s">
        <v>9</v>
      </c>
      <c r="AA123" s="22" t="s">
        <v>5</v>
      </c>
      <c r="AB123" s="22" t="s">
        <v>5</v>
      </c>
      <c r="AC123" s="22" t="s">
        <v>5</v>
      </c>
      <c r="AD123" s="22" t="s">
        <v>5</v>
      </c>
      <c r="AE123" s="22" t="s">
        <v>5</v>
      </c>
      <c r="AF123" s="23" t="s">
        <v>7</v>
      </c>
      <c r="AG123" s="24" t="s">
        <v>9</v>
      </c>
      <c r="AH123" s="22" t="s">
        <v>5</v>
      </c>
      <c r="AI123" s="8">
        <f t="shared" si="40"/>
        <v>0</v>
      </c>
      <c r="AJ123" s="25">
        <f t="shared" si="41"/>
        <v>21</v>
      </c>
      <c r="AK123" s="8">
        <f t="shared" si="42"/>
        <v>0</v>
      </c>
      <c r="AL123" s="62">
        <v>0</v>
      </c>
      <c r="AM123" s="33">
        <f t="shared" si="43"/>
        <v>0</v>
      </c>
      <c r="AN123" s="63">
        <f t="shared" si="44"/>
        <v>168</v>
      </c>
      <c r="AO123" s="63">
        <f t="shared" si="45"/>
        <v>0</v>
      </c>
      <c r="AP123" s="63">
        <f t="shared" si="46"/>
        <v>0</v>
      </c>
      <c r="AQ123" s="53">
        <f t="shared" si="47"/>
        <v>0</v>
      </c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</row>
    <row r="124" spans="1:56" ht="22" customHeight="1" x14ac:dyDescent="0.35">
      <c r="A124" s="8" t="s">
        <v>263</v>
      </c>
      <c r="B124" s="8" t="s">
        <v>264</v>
      </c>
      <c r="C124" s="8" t="s">
        <v>254</v>
      </c>
      <c r="D124" s="23" t="s">
        <v>7</v>
      </c>
      <c r="E124" s="24" t="s">
        <v>9</v>
      </c>
      <c r="F124" s="22" t="s">
        <v>5</v>
      </c>
      <c r="G124" s="22" t="s">
        <v>5</v>
      </c>
      <c r="H124" s="22" t="s">
        <v>5</v>
      </c>
      <c r="I124" s="22" t="s">
        <v>5</v>
      </c>
      <c r="J124" s="22" t="s">
        <v>5</v>
      </c>
      <c r="K124" s="23" t="s">
        <v>7</v>
      </c>
      <c r="L124" s="24" t="s">
        <v>9</v>
      </c>
      <c r="M124" s="22" t="s">
        <v>5</v>
      </c>
      <c r="N124" s="22" t="s">
        <v>5</v>
      </c>
      <c r="O124" s="22" t="s">
        <v>5</v>
      </c>
      <c r="P124" s="22" t="s">
        <v>5</v>
      </c>
      <c r="Q124" s="22" t="s">
        <v>5</v>
      </c>
      <c r="R124" s="23" t="s">
        <v>7</v>
      </c>
      <c r="S124" s="24" t="s">
        <v>9</v>
      </c>
      <c r="T124" s="22" t="s">
        <v>5</v>
      </c>
      <c r="U124" s="22" t="s">
        <v>5</v>
      </c>
      <c r="V124" s="22" t="s">
        <v>5</v>
      </c>
      <c r="W124" s="22" t="s">
        <v>5</v>
      </c>
      <c r="X124" s="22" t="s">
        <v>5</v>
      </c>
      <c r="Y124" s="23" t="s">
        <v>7</v>
      </c>
      <c r="Z124" s="24" t="s">
        <v>9</v>
      </c>
      <c r="AA124" s="22" t="s">
        <v>5</v>
      </c>
      <c r="AB124" s="22" t="s">
        <v>5</v>
      </c>
      <c r="AC124" s="22" t="s">
        <v>5</v>
      </c>
      <c r="AD124" s="22" t="s">
        <v>5</v>
      </c>
      <c r="AE124" s="22" t="s">
        <v>5</v>
      </c>
      <c r="AF124" s="23" t="s">
        <v>7</v>
      </c>
      <c r="AG124" s="24" t="s">
        <v>9</v>
      </c>
      <c r="AH124" s="22" t="s">
        <v>5</v>
      </c>
      <c r="AI124" s="8">
        <f t="shared" si="40"/>
        <v>0</v>
      </c>
      <c r="AJ124" s="25">
        <f t="shared" si="41"/>
        <v>21</v>
      </c>
      <c r="AK124" s="8">
        <f t="shared" si="42"/>
        <v>0</v>
      </c>
      <c r="AL124" s="62">
        <v>0</v>
      </c>
      <c r="AM124" s="33">
        <f t="shared" si="43"/>
        <v>0</v>
      </c>
      <c r="AN124" s="63">
        <f t="shared" si="44"/>
        <v>168</v>
      </c>
      <c r="AO124" s="63">
        <f t="shared" si="45"/>
        <v>0</v>
      </c>
      <c r="AP124" s="63">
        <f t="shared" si="46"/>
        <v>0</v>
      </c>
      <c r="AQ124" s="53">
        <f t="shared" si="47"/>
        <v>0</v>
      </c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</row>
    <row r="125" spans="1:56" ht="22" customHeight="1" x14ac:dyDescent="0.35">
      <c r="A125" s="8" t="s">
        <v>265</v>
      </c>
      <c r="B125" s="8" t="s">
        <v>266</v>
      </c>
      <c r="C125" s="8" t="s">
        <v>254</v>
      </c>
      <c r="D125" s="23" t="s">
        <v>7</v>
      </c>
      <c r="E125" s="24" t="s">
        <v>9</v>
      </c>
      <c r="F125" s="22" t="s">
        <v>5</v>
      </c>
      <c r="G125" s="22" t="s">
        <v>5</v>
      </c>
      <c r="H125" s="22" t="s">
        <v>5</v>
      </c>
      <c r="I125" s="22" t="s">
        <v>5</v>
      </c>
      <c r="J125" s="22" t="s">
        <v>5</v>
      </c>
      <c r="K125" s="23" t="s">
        <v>7</v>
      </c>
      <c r="L125" s="24" t="s">
        <v>9</v>
      </c>
      <c r="M125" s="22" t="s">
        <v>5</v>
      </c>
      <c r="N125" s="22" t="s">
        <v>5</v>
      </c>
      <c r="O125" s="22" t="s">
        <v>5</v>
      </c>
      <c r="P125" s="22" t="s">
        <v>5</v>
      </c>
      <c r="Q125" s="22" t="s">
        <v>5</v>
      </c>
      <c r="R125" s="23" t="s">
        <v>7</v>
      </c>
      <c r="S125" s="24" t="s">
        <v>9</v>
      </c>
      <c r="T125" s="22" t="s">
        <v>5</v>
      </c>
      <c r="U125" s="22" t="s">
        <v>5</v>
      </c>
      <c r="V125" s="22" t="s">
        <v>5</v>
      </c>
      <c r="W125" s="22" t="s">
        <v>5</v>
      </c>
      <c r="X125" s="22" t="s">
        <v>5</v>
      </c>
      <c r="Y125" s="23" t="s">
        <v>7</v>
      </c>
      <c r="Z125" s="24" t="s">
        <v>9</v>
      </c>
      <c r="AA125" s="22" t="s">
        <v>5</v>
      </c>
      <c r="AB125" s="22" t="s">
        <v>5</v>
      </c>
      <c r="AC125" s="22" t="s">
        <v>5</v>
      </c>
      <c r="AD125" s="22" t="s">
        <v>5</v>
      </c>
      <c r="AE125" s="22" t="s">
        <v>5</v>
      </c>
      <c r="AF125" s="23" t="s">
        <v>7</v>
      </c>
      <c r="AG125" s="24" t="s">
        <v>9</v>
      </c>
      <c r="AH125" s="22" t="s">
        <v>5</v>
      </c>
      <c r="AI125" s="8">
        <f t="shared" si="40"/>
        <v>0</v>
      </c>
      <c r="AJ125" s="25">
        <f t="shared" si="41"/>
        <v>21</v>
      </c>
      <c r="AK125" s="8">
        <f t="shared" si="42"/>
        <v>0</v>
      </c>
      <c r="AL125" s="62">
        <v>0</v>
      </c>
      <c r="AM125" s="33">
        <f t="shared" si="43"/>
        <v>0</v>
      </c>
      <c r="AN125" s="63">
        <f t="shared" si="44"/>
        <v>168</v>
      </c>
      <c r="AO125" s="63">
        <f t="shared" si="45"/>
        <v>0</v>
      </c>
      <c r="AP125" s="63">
        <f t="shared" si="46"/>
        <v>0</v>
      </c>
      <c r="AQ125" s="53">
        <f t="shared" si="47"/>
        <v>0</v>
      </c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</row>
    <row r="126" spans="1:56" ht="22" customHeight="1" x14ac:dyDescent="0.35">
      <c r="A126" s="8" t="s">
        <v>267</v>
      </c>
      <c r="B126" s="8" t="s">
        <v>268</v>
      </c>
      <c r="C126" s="8" t="s">
        <v>254</v>
      </c>
      <c r="D126" s="23" t="s">
        <v>7</v>
      </c>
      <c r="E126" s="24" t="s">
        <v>9</v>
      </c>
      <c r="F126" s="22" t="s">
        <v>5</v>
      </c>
      <c r="G126" s="22" t="s">
        <v>5</v>
      </c>
      <c r="H126" s="22" t="s">
        <v>5</v>
      </c>
      <c r="I126" s="22" t="s">
        <v>5</v>
      </c>
      <c r="J126" s="22" t="s">
        <v>5</v>
      </c>
      <c r="K126" s="23" t="s">
        <v>7</v>
      </c>
      <c r="L126" s="24" t="s">
        <v>9</v>
      </c>
      <c r="M126" s="22" t="s">
        <v>5</v>
      </c>
      <c r="N126" s="22" t="s">
        <v>5</v>
      </c>
      <c r="O126" s="22" t="s">
        <v>5</v>
      </c>
      <c r="P126" s="22" t="s">
        <v>5</v>
      </c>
      <c r="Q126" s="22" t="s">
        <v>5</v>
      </c>
      <c r="R126" s="23" t="s">
        <v>7</v>
      </c>
      <c r="S126" s="24" t="s">
        <v>9</v>
      </c>
      <c r="T126" s="22" t="s">
        <v>5</v>
      </c>
      <c r="U126" s="22" t="s">
        <v>5</v>
      </c>
      <c r="V126" s="22" t="s">
        <v>5</v>
      </c>
      <c r="W126" s="22" t="s">
        <v>5</v>
      </c>
      <c r="X126" s="22" t="s">
        <v>5</v>
      </c>
      <c r="Y126" s="23" t="s">
        <v>7</v>
      </c>
      <c r="Z126" s="24" t="s">
        <v>9</v>
      </c>
      <c r="AA126" s="22" t="s">
        <v>5</v>
      </c>
      <c r="AB126" s="22" t="s">
        <v>5</v>
      </c>
      <c r="AC126" s="22" t="s">
        <v>5</v>
      </c>
      <c r="AD126" s="22" t="s">
        <v>5</v>
      </c>
      <c r="AE126" s="22" t="s">
        <v>5</v>
      </c>
      <c r="AF126" s="23" t="s">
        <v>7</v>
      </c>
      <c r="AG126" s="24" t="s">
        <v>9</v>
      </c>
      <c r="AH126" s="22" t="s">
        <v>5</v>
      </c>
      <c r="AI126" s="8">
        <f t="shared" si="40"/>
        <v>0</v>
      </c>
      <c r="AJ126" s="25">
        <f t="shared" si="41"/>
        <v>21</v>
      </c>
      <c r="AK126" s="8">
        <f t="shared" si="42"/>
        <v>0</v>
      </c>
      <c r="AL126" s="62">
        <v>0</v>
      </c>
      <c r="AM126" s="33">
        <f t="shared" si="43"/>
        <v>0</v>
      </c>
      <c r="AN126" s="63">
        <f t="shared" si="44"/>
        <v>168</v>
      </c>
      <c r="AO126" s="63">
        <f t="shared" si="45"/>
        <v>0</v>
      </c>
      <c r="AP126" s="63">
        <f t="shared" si="46"/>
        <v>0</v>
      </c>
      <c r="AQ126" s="53">
        <f t="shared" si="47"/>
        <v>0</v>
      </c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</row>
    <row r="127" spans="1:56" ht="22" customHeight="1" x14ac:dyDescent="0.35">
      <c r="A127" s="8" t="s">
        <v>269</v>
      </c>
      <c r="B127" s="8" t="s">
        <v>270</v>
      </c>
      <c r="C127" s="8" t="s">
        <v>254</v>
      </c>
      <c r="D127" s="23" t="s">
        <v>7</v>
      </c>
      <c r="E127" s="24" t="s">
        <v>9</v>
      </c>
      <c r="F127" s="22" t="s">
        <v>5</v>
      </c>
      <c r="G127" s="22" t="s">
        <v>5</v>
      </c>
      <c r="H127" s="22" t="s">
        <v>5</v>
      </c>
      <c r="I127" s="22" t="s">
        <v>5</v>
      </c>
      <c r="J127" s="22" t="s">
        <v>5</v>
      </c>
      <c r="K127" s="23" t="s">
        <v>7</v>
      </c>
      <c r="L127" s="24" t="s">
        <v>9</v>
      </c>
      <c r="M127" s="22" t="s">
        <v>5</v>
      </c>
      <c r="N127" s="22" t="s">
        <v>5</v>
      </c>
      <c r="O127" s="22" t="s">
        <v>5</v>
      </c>
      <c r="P127" s="22" t="s">
        <v>5</v>
      </c>
      <c r="Q127" s="22" t="s">
        <v>5</v>
      </c>
      <c r="R127" s="23" t="s">
        <v>7</v>
      </c>
      <c r="S127" s="24" t="s">
        <v>9</v>
      </c>
      <c r="T127" s="22" t="s">
        <v>5</v>
      </c>
      <c r="U127" s="22" t="s">
        <v>5</v>
      </c>
      <c r="V127" s="22" t="s">
        <v>5</v>
      </c>
      <c r="W127" s="22" t="s">
        <v>5</v>
      </c>
      <c r="X127" s="22" t="s">
        <v>5</v>
      </c>
      <c r="Y127" s="23" t="s">
        <v>7</v>
      </c>
      <c r="Z127" s="24" t="s">
        <v>9</v>
      </c>
      <c r="AA127" s="22" t="s">
        <v>5</v>
      </c>
      <c r="AB127" s="22" t="s">
        <v>5</v>
      </c>
      <c r="AC127" s="22" t="s">
        <v>5</v>
      </c>
      <c r="AD127" s="22" t="s">
        <v>5</v>
      </c>
      <c r="AE127" s="22" t="s">
        <v>5</v>
      </c>
      <c r="AF127" s="23" t="s">
        <v>7</v>
      </c>
      <c r="AG127" s="24" t="s">
        <v>9</v>
      </c>
      <c r="AH127" s="22" t="s">
        <v>5</v>
      </c>
      <c r="AI127" s="8">
        <f t="shared" si="40"/>
        <v>0</v>
      </c>
      <c r="AJ127" s="25">
        <f t="shared" si="41"/>
        <v>21</v>
      </c>
      <c r="AK127" s="8">
        <f t="shared" si="42"/>
        <v>0</v>
      </c>
      <c r="AL127" s="62">
        <v>0</v>
      </c>
      <c r="AM127" s="33">
        <f t="shared" si="43"/>
        <v>0</v>
      </c>
      <c r="AN127" s="63">
        <f t="shared" si="44"/>
        <v>168</v>
      </c>
      <c r="AO127" s="63">
        <f t="shared" si="45"/>
        <v>0</v>
      </c>
      <c r="AP127" s="63">
        <f t="shared" si="46"/>
        <v>0</v>
      </c>
      <c r="AQ127" s="53">
        <f t="shared" si="47"/>
        <v>0</v>
      </c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</row>
    <row r="128" spans="1:56" ht="22" customHeight="1" x14ac:dyDescent="0.35">
      <c r="A128" s="8" t="s">
        <v>271</v>
      </c>
      <c r="B128" s="8" t="s">
        <v>272</v>
      </c>
      <c r="C128" s="8" t="s">
        <v>254</v>
      </c>
      <c r="D128" s="23" t="s">
        <v>7</v>
      </c>
      <c r="E128" s="24" t="s">
        <v>9</v>
      </c>
      <c r="F128" s="22" t="s">
        <v>5</v>
      </c>
      <c r="G128" s="22" t="s">
        <v>5</v>
      </c>
      <c r="H128" s="22" t="s">
        <v>5</v>
      </c>
      <c r="I128" s="22" t="s">
        <v>5</v>
      </c>
      <c r="J128" s="22" t="s">
        <v>5</v>
      </c>
      <c r="K128" s="23" t="s">
        <v>7</v>
      </c>
      <c r="L128" s="24" t="s">
        <v>9</v>
      </c>
      <c r="M128" s="22" t="s">
        <v>5</v>
      </c>
      <c r="N128" s="22" t="s">
        <v>5</v>
      </c>
      <c r="O128" s="22" t="s">
        <v>5</v>
      </c>
      <c r="P128" s="22" t="s">
        <v>5</v>
      </c>
      <c r="Q128" s="22" t="s">
        <v>5</v>
      </c>
      <c r="R128" s="23" t="s">
        <v>7</v>
      </c>
      <c r="S128" s="24" t="s">
        <v>9</v>
      </c>
      <c r="T128" s="22" t="s">
        <v>5</v>
      </c>
      <c r="U128" s="22" t="s">
        <v>5</v>
      </c>
      <c r="V128" s="22" t="s">
        <v>5</v>
      </c>
      <c r="W128" s="22" t="s">
        <v>5</v>
      </c>
      <c r="X128" s="22" t="s">
        <v>5</v>
      </c>
      <c r="Y128" s="23" t="s">
        <v>7</v>
      </c>
      <c r="Z128" s="24" t="s">
        <v>9</v>
      </c>
      <c r="AA128" s="22" t="s">
        <v>5</v>
      </c>
      <c r="AB128" s="22" t="s">
        <v>5</v>
      </c>
      <c r="AC128" s="22" t="s">
        <v>5</v>
      </c>
      <c r="AD128" s="22" t="s">
        <v>5</v>
      </c>
      <c r="AE128" s="22" t="s">
        <v>5</v>
      </c>
      <c r="AF128" s="23" t="s">
        <v>7</v>
      </c>
      <c r="AG128" s="24" t="s">
        <v>9</v>
      </c>
      <c r="AH128" s="22" t="s">
        <v>5</v>
      </c>
      <c r="AI128" s="8">
        <f t="shared" si="40"/>
        <v>0</v>
      </c>
      <c r="AJ128" s="25">
        <f t="shared" si="41"/>
        <v>21</v>
      </c>
      <c r="AK128" s="8">
        <f t="shared" si="42"/>
        <v>0</v>
      </c>
      <c r="AL128" s="62">
        <v>0</v>
      </c>
      <c r="AM128" s="33">
        <f t="shared" si="43"/>
        <v>0</v>
      </c>
      <c r="AN128" s="63">
        <f t="shared" si="44"/>
        <v>168</v>
      </c>
      <c r="AO128" s="63">
        <f t="shared" si="45"/>
        <v>0</v>
      </c>
      <c r="AP128" s="63">
        <f t="shared" si="46"/>
        <v>0</v>
      </c>
      <c r="AQ128" s="53">
        <f t="shared" si="47"/>
        <v>0</v>
      </c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</row>
    <row r="129" spans="1:56" ht="22" customHeight="1" x14ac:dyDescent="0.35">
      <c r="A129" s="8" t="s">
        <v>273</v>
      </c>
      <c r="B129" s="8" t="s">
        <v>274</v>
      </c>
      <c r="C129" s="8" t="s">
        <v>254</v>
      </c>
      <c r="D129" s="23" t="s">
        <v>7</v>
      </c>
      <c r="E129" s="24" t="s">
        <v>9</v>
      </c>
      <c r="F129" s="22" t="s">
        <v>5</v>
      </c>
      <c r="G129" s="22" t="s">
        <v>5</v>
      </c>
      <c r="H129" s="22" t="s">
        <v>5</v>
      </c>
      <c r="I129" s="22" t="s">
        <v>5</v>
      </c>
      <c r="J129" s="22" t="s">
        <v>5</v>
      </c>
      <c r="K129" s="23" t="s">
        <v>7</v>
      </c>
      <c r="L129" s="24" t="s">
        <v>9</v>
      </c>
      <c r="M129" s="22" t="s">
        <v>5</v>
      </c>
      <c r="N129" s="22" t="s">
        <v>5</v>
      </c>
      <c r="O129" s="22" t="s">
        <v>5</v>
      </c>
      <c r="P129" s="22" t="s">
        <v>5</v>
      </c>
      <c r="Q129" s="22" t="s">
        <v>5</v>
      </c>
      <c r="R129" s="23" t="s">
        <v>7</v>
      </c>
      <c r="S129" s="24" t="s">
        <v>9</v>
      </c>
      <c r="T129" s="22" t="s">
        <v>5</v>
      </c>
      <c r="U129" s="22" t="s">
        <v>5</v>
      </c>
      <c r="V129" s="22" t="s">
        <v>5</v>
      </c>
      <c r="W129" s="22" t="s">
        <v>5</v>
      </c>
      <c r="X129" s="22" t="s">
        <v>5</v>
      </c>
      <c r="Y129" s="23" t="s">
        <v>7</v>
      </c>
      <c r="Z129" s="24" t="s">
        <v>9</v>
      </c>
      <c r="AA129" s="22" t="s">
        <v>5</v>
      </c>
      <c r="AB129" s="22" t="s">
        <v>5</v>
      </c>
      <c r="AC129" s="22" t="s">
        <v>5</v>
      </c>
      <c r="AD129" s="22" t="s">
        <v>5</v>
      </c>
      <c r="AE129" s="22" t="s">
        <v>5</v>
      </c>
      <c r="AF129" s="23" t="s">
        <v>7</v>
      </c>
      <c r="AG129" s="24" t="s">
        <v>9</v>
      </c>
      <c r="AH129" s="22" t="s">
        <v>5</v>
      </c>
      <c r="AI129" s="8">
        <f t="shared" si="40"/>
        <v>0</v>
      </c>
      <c r="AJ129" s="25">
        <f t="shared" si="41"/>
        <v>21</v>
      </c>
      <c r="AK129" s="8">
        <f t="shared" si="42"/>
        <v>0</v>
      </c>
      <c r="AL129" s="62">
        <v>0</v>
      </c>
      <c r="AM129" s="33">
        <f t="shared" si="43"/>
        <v>0</v>
      </c>
      <c r="AN129" s="63">
        <f t="shared" si="44"/>
        <v>168</v>
      </c>
      <c r="AO129" s="63">
        <f t="shared" si="45"/>
        <v>0</v>
      </c>
      <c r="AP129" s="63">
        <f t="shared" si="46"/>
        <v>0</v>
      </c>
      <c r="AQ129" s="53">
        <f t="shared" si="47"/>
        <v>0</v>
      </c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</row>
  </sheetData>
  <mergeCells count="11">
    <mergeCell ref="A118:AK118"/>
    <mergeCell ref="A37:AK37"/>
    <mergeCell ref="A1:AK1"/>
    <mergeCell ref="A91:AK91"/>
    <mergeCell ref="A4:AK4"/>
    <mergeCell ref="A97:AK97"/>
    <mergeCell ref="A21:AK21"/>
    <mergeCell ref="A113:AK113"/>
    <mergeCell ref="A2:AK2"/>
    <mergeCell ref="A76:AK76"/>
    <mergeCell ref="A84:AK8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29"/>
  <sheetViews>
    <sheetView workbookViewId="0">
      <pane xSplit="3" ySplit="3" topLeftCell="U21" activePane="bottomRight" state="frozen"/>
      <selection pane="topRight"/>
      <selection pane="bottomLeft"/>
      <selection pane="bottomRight" activeCell="A28" sqref="A28:XFD28"/>
    </sheetView>
  </sheetViews>
  <sheetFormatPr defaultRowHeight="14.5" x14ac:dyDescent="0.35"/>
  <cols>
    <col min="1" max="1" width="7" customWidth="1"/>
    <col min="2" max="2" width="25.6328125" bestFit="1" customWidth="1"/>
    <col min="3" max="3" width="12" customWidth="1"/>
    <col min="4" max="36" width="5" customWidth="1"/>
    <col min="37" max="37" width="7" customWidth="1"/>
    <col min="38" max="38" width="8" customWidth="1"/>
    <col min="39" max="39" width="9" customWidth="1"/>
    <col min="40" max="40" width="8" customWidth="1"/>
    <col min="41" max="42" width="9" customWidth="1"/>
  </cols>
  <sheetData>
    <row r="1" spans="1:55" ht="30" customHeight="1" x14ac:dyDescent="0.35">
      <c r="A1" s="78" t="s">
        <v>388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</row>
    <row r="2" spans="1:55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M2" s="38"/>
      <c r="AN2" s="59" t="s">
        <v>311</v>
      </c>
      <c r="AO2" s="60">
        <v>4</v>
      </c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</row>
    <row r="3" spans="1:55" ht="35.15" customHeight="1" x14ac:dyDescent="0.35">
      <c r="A3" s="18" t="s">
        <v>14</v>
      </c>
      <c r="B3" s="18" t="s">
        <v>15</v>
      </c>
      <c r="C3" s="18" t="s">
        <v>312</v>
      </c>
      <c r="D3" s="19" t="s">
        <v>389</v>
      </c>
      <c r="E3" s="19" t="s">
        <v>390</v>
      </c>
      <c r="F3" s="19" t="s">
        <v>391</v>
      </c>
      <c r="G3" s="19" t="s">
        <v>392</v>
      </c>
      <c r="H3" s="20" t="s">
        <v>317</v>
      </c>
      <c r="I3" s="21" t="s">
        <v>393</v>
      </c>
      <c r="J3" s="19" t="s">
        <v>394</v>
      </c>
      <c r="K3" s="19" t="s">
        <v>395</v>
      </c>
      <c r="L3" s="19" t="s">
        <v>396</v>
      </c>
      <c r="M3" s="19" t="s">
        <v>397</v>
      </c>
      <c r="N3" s="19" t="s">
        <v>398</v>
      </c>
      <c r="O3" s="20" t="s">
        <v>324</v>
      </c>
      <c r="P3" s="21" t="s">
        <v>399</v>
      </c>
      <c r="Q3" s="19" t="s">
        <v>400</v>
      </c>
      <c r="R3" s="19" t="s">
        <v>401</v>
      </c>
      <c r="S3" s="19" t="s">
        <v>402</v>
      </c>
      <c r="T3" s="19" t="s">
        <v>403</v>
      </c>
      <c r="U3" s="19" t="s">
        <v>404</v>
      </c>
      <c r="V3" s="20" t="s">
        <v>331</v>
      </c>
      <c r="W3" s="21" t="s">
        <v>405</v>
      </c>
      <c r="X3" s="19" t="s">
        <v>406</v>
      </c>
      <c r="Y3" s="19" t="s">
        <v>407</v>
      </c>
      <c r="Z3" s="19" t="s">
        <v>408</v>
      </c>
      <c r="AA3" s="19" t="s">
        <v>409</v>
      </c>
      <c r="AB3" s="19" t="s">
        <v>410</v>
      </c>
      <c r="AC3" s="20" t="s">
        <v>338</v>
      </c>
      <c r="AD3" s="21" t="s">
        <v>411</v>
      </c>
      <c r="AE3" s="19" t="s">
        <v>412</v>
      </c>
      <c r="AF3" s="19" t="s">
        <v>413</v>
      </c>
      <c r="AG3" s="19" t="s">
        <v>414</v>
      </c>
      <c r="AH3" s="7" t="s">
        <v>344</v>
      </c>
      <c r="AI3" s="7" t="s">
        <v>345</v>
      </c>
      <c r="AJ3" s="7" t="s">
        <v>29</v>
      </c>
      <c r="AK3" s="34" t="s">
        <v>346</v>
      </c>
      <c r="AL3" s="34" t="s">
        <v>347</v>
      </c>
      <c r="AM3" s="61" t="s">
        <v>348</v>
      </c>
      <c r="AN3" s="42" t="s">
        <v>349</v>
      </c>
      <c r="AO3" s="43" t="s">
        <v>350</v>
      </c>
      <c r="AP3" s="40" t="s">
        <v>351</v>
      </c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</row>
    <row r="4" spans="1:55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</row>
    <row r="5" spans="1:55" ht="22" customHeight="1" x14ac:dyDescent="0.35">
      <c r="A5" s="8" t="s">
        <v>43</v>
      </c>
      <c r="B5" s="8" t="s">
        <v>44</v>
      </c>
      <c r="C5" s="8" t="s">
        <v>45</v>
      </c>
      <c r="D5" s="26" t="s">
        <v>3</v>
      </c>
      <c r="E5" s="26" t="s">
        <v>3</v>
      </c>
      <c r="F5" s="26" t="s">
        <v>3</v>
      </c>
      <c r="G5" s="26" t="s">
        <v>3</v>
      </c>
      <c r="H5" s="27" t="s">
        <v>7</v>
      </c>
      <c r="I5" s="28" t="s">
        <v>11</v>
      </c>
      <c r="J5" s="26" t="s">
        <v>3</v>
      </c>
      <c r="K5" s="26" t="s">
        <v>3</v>
      </c>
      <c r="L5" s="26" t="s">
        <v>3</v>
      </c>
      <c r="M5" s="26" t="s">
        <v>3</v>
      </c>
      <c r="N5" s="26" t="s">
        <v>3</v>
      </c>
      <c r="O5" s="23" t="s">
        <v>7</v>
      </c>
      <c r="P5" s="24" t="s">
        <v>9</v>
      </c>
      <c r="Q5" s="22" t="s">
        <v>5</v>
      </c>
      <c r="R5" s="22" t="s">
        <v>5</v>
      </c>
      <c r="S5" s="26" t="s">
        <v>3</v>
      </c>
      <c r="T5" s="26" t="s">
        <v>3</v>
      </c>
      <c r="U5" s="26" t="s">
        <v>3</v>
      </c>
      <c r="V5" s="27" t="s">
        <v>7</v>
      </c>
      <c r="W5" s="28" t="s">
        <v>11</v>
      </c>
      <c r="X5" s="26" t="s">
        <v>3</v>
      </c>
      <c r="Y5" s="26" t="s">
        <v>3</v>
      </c>
      <c r="Z5" s="26" t="s">
        <v>3</v>
      </c>
      <c r="AA5" s="26" t="s">
        <v>3</v>
      </c>
      <c r="AB5" s="26" t="s">
        <v>3</v>
      </c>
      <c r="AC5" s="27" t="s">
        <v>7</v>
      </c>
      <c r="AD5" s="28" t="s">
        <v>11</v>
      </c>
      <c r="AE5" s="26" t="s">
        <v>3</v>
      </c>
      <c r="AF5" s="26" t="s">
        <v>3</v>
      </c>
      <c r="AG5" s="26" t="s">
        <v>3</v>
      </c>
      <c r="AH5" s="8">
        <f t="shared" ref="AH5:AH19" si="0">COUNTIF(D5:AG5,"ON")</f>
        <v>20</v>
      </c>
      <c r="AI5" s="8">
        <f t="shared" ref="AI5:AI19" si="1">COUNTIF(D5:AG5,"OFF")</f>
        <v>2</v>
      </c>
      <c r="AJ5" s="29">
        <f t="shared" ref="AJ5:AJ19" si="2">COUNTIF(D5:AG5,"OT")</f>
        <v>3</v>
      </c>
      <c r="AK5" s="62">
        <v>3</v>
      </c>
      <c r="AL5" s="33">
        <f t="shared" ref="AL5:AL19" si="3">AH5+AJ5+AK5*0.5</f>
        <v>24.5</v>
      </c>
      <c r="AM5" s="63">
        <f t="shared" ref="AM5:AM19" si="4">NETWORKDAYS(DATE(2025,4,1),EOMONTH(DATE(2025,4,1),0))*8</f>
        <v>176</v>
      </c>
      <c r="AN5" s="63">
        <f t="shared" ref="AN5:AN19" si="5">MAX(0,COUNTIF(G5,"ON")+COUNTIF(N5,"ON")+COUNTIF(U5,"ON")+COUNTIF(AB5,"ON")-AK5)</f>
        <v>1</v>
      </c>
      <c r="AO5" s="63">
        <f t="shared" ref="AO5:AO19" si="6">AN5*$AO$2</f>
        <v>4</v>
      </c>
      <c r="AP5" s="53">
        <f t="shared" ref="AP5:AP19" si="7">AL5-AO5/8</f>
        <v>24</v>
      </c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</row>
    <row r="6" spans="1:55" ht="22" customHeight="1" x14ac:dyDescent="0.35">
      <c r="A6" s="8" t="s">
        <v>46</v>
      </c>
      <c r="B6" s="8" t="s">
        <v>47</v>
      </c>
      <c r="C6" s="8" t="s">
        <v>45</v>
      </c>
      <c r="D6" s="26" t="s">
        <v>3</v>
      </c>
      <c r="E6" s="26" t="s">
        <v>3</v>
      </c>
      <c r="F6" s="26" t="s">
        <v>3</v>
      </c>
      <c r="G6" s="26" t="s">
        <v>3</v>
      </c>
      <c r="H6" s="27" t="s">
        <v>7</v>
      </c>
      <c r="I6" s="28" t="s">
        <v>11</v>
      </c>
      <c r="J6" s="22" t="s">
        <v>5</v>
      </c>
      <c r="K6" s="26" t="s">
        <v>3</v>
      </c>
      <c r="L6" s="26" t="s">
        <v>3</v>
      </c>
      <c r="M6" s="26" t="s">
        <v>3</v>
      </c>
      <c r="N6" s="26" t="s">
        <v>3</v>
      </c>
      <c r="O6" s="23" t="s">
        <v>7</v>
      </c>
      <c r="P6" s="24" t="s">
        <v>9</v>
      </c>
      <c r="Q6" s="22" t="s">
        <v>5</v>
      </c>
      <c r="R6" s="26" t="s">
        <v>3</v>
      </c>
      <c r="S6" s="26" t="s">
        <v>3</v>
      </c>
      <c r="T6" s="26" t="s">
        <v>3</v>
      </c>
      <c r="U6" s="22" t="s">
        <v>5</v>
      </c>
      <c r="V6" s="23" t="s">
        <v>7</v>
      </c>
      <c r="W6" s="24" t="s">
        <v>9</v>
      </c>
      <c r="X6" s="22" t="s">
        <v>5</v>
      </c>
      <c r="Y6" s="26" t="s">
        <v>3</v>
      </c>
      <c r="Z6" s="26" t="s">
        <v>3</v>
      </c>
      <c r="AA6" s="26" t="s">
        <v>3</v>
      </c>
      <c r="AB6" s="26" t="s">
        <v>3</v>
      </c>
      <c r="AC6" s="27" t="s">
        <v>7</v>
      </c>
      <c r="AD6" s="28" t="s">
        <v>11</v>
      </c>
      <c r="AE6" s="26" t="s">
        <v>3</v>
      </c>
      <c r="AF6" s="26" t="s">
        <v>3</v>
      </c>
      <c r="AG6" s="26" t="s">
        <v>3</v>
      </c>
      <c r="AH6" s="8">
        <f t="shared" si="0"/>
        <v>18</v>
      </c>
      <c r="AI6" s="8">
        <f t="shared" si="1"/>
        <v>4</v>
      </c>
      <c r="AJ6" s="29">
        <f t="shared" si="2"/>
        <v>2</v>
      </c>
      <c r="AK6" s="62">
        <v>2</v>
      </c>
      <c r="AL6" s="33">
        <f t="shared" si="3"/>
        <v>21</v>
      </c>
      <c r="AM6" s="63">
        <f t="shared" si="4"/>
        <v>176</v>
      </c>
      <c r="AN6" s="63">
        <f t="shared" si="5"/>
        <v>1</v>
      </c>
      <c r="AO6" s="63">
        <f t="shared" si="6"/>
        <v>4</v>
      </c>
      <c r="AP6" s="53">
        <f t="shared" si="7"/>
        <v>20.5</v>
      </c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ht="22" customHeight="1" x14ac:dyDescent="0.35">
      <c r="A7" s="8" t="s">
        <v>48</v>
      </c>
      <c r="B7" s="8" t="s">
        <v>49</v>
      </c>
      <c r="C7" s="8" t="s">
        <v>45</v>
      </c>
      <c r="D7" s="26" t="s">
        <v>3</v>
      </c>
      <c r="E7" s="26" t="s">
        <v>3</v>
      </c>
      <c r="F7" s="26" t="s">
        <v>3</v>
      </c>
      <c r="G7" s="22" t="s">
        <v>5</v>
      </c>
      <c r="H7" s="23" t="s">
        <v>7</v>
      </c>
      <c r="I7" s="24" t="s">
        <v>9</v>
      </c>
      <c r="J7" s="22" t="s">
        <v>5</v>
      </c>
      <c r="K7" s="22" t="s">
        <v>5</v>
      </c>
      <c r="L7" s="22" t="s">
        <v>5</v>
      </c>
      <c r="M7" s="22" t="s">
        <v>5</v>
      </c>
      <c r="N7" s="22" t="s">
        <v>5</v>
      </c>
      <c r="O7" s="23" t="s">
        <v>7</v>
      </c>
      <c r="P7" s="24" t="s">
        <v>9</v>
      </c>
      <c r="Q7" s="22" t="s">
        <v>5</v>
      </c>
      <c r="R7" s="22" t="s">
        <v>5</v>
      </c>
      <c r="S7" s="22" t="s">
        <v>5</v>
      </c>
      <c r="T7" s="22" t="s">
        <v>5</v>
      </c>
      <c r="U7" s="22" t="s">
        <v>5</v>
      </c>
      <c r="V7" s="23" t="s">
        <v>7</v>
      </c>
      <c r="W7" s="24" t="s">
        <v>9</v>
      </c>
      <c r="X7" s="22" t="s">
        <v>5</v>
      </c>
      <c r="Y7" s="22" t="s">
        <v>5</v>
      </c>
      <c r="Z7" s="22" t="s">
        <v>5</v>
      </c>
      <c r="AA7" s="22" t="s">
        <v>5</v>
      </c>
      <c r="AB7" s="22" t="s">
        <v>5</v>
      </c>
      <c r="AC7" s="23" t="s">
        <v>7</v>
      </c>
      <c r="AD7" s="24" t="s">
        <v>9</v>
      </c>
      <c r="AE7" s="22" t="s">
        <v>5</v>
      </c>
      <c r="AF7" s="22" t="s">
        <v>5</v>
      </c>
      <c r="AG7" s="22" t="s">
        <v>5</v>
      </c>
      <c r="AH7" s="8">
        <f t="shared" si="0"/>
        <v>3</v>
      </c>
      <c r="AI7" s="25">
        <f t="shared" si="1"/>
        <v>19</v>
      </c>
      <c r="AJ7" s="8">
        <f t="shared" si="2"/>
        <v>0</v>
      </c>
      <c r="AK7" s="62">
        <v>0</v>
      </c>
      <c r="AL7" s="33">
        <f t="shared" si="3"/>
        <v>3</v>
      </c>
      <c r="AM7" s="63">
        <f t="shared" si="4"/>
        <v>176</v>
      </c>
      <c r="AN7" s="63">
        <f t="shared" si="5"/>
        <v>0</v>
      </c>
      <c r="AO7" s="63">
        <f t="shared" si="6"/>
        <v>0</v>
      </c>
      <c r="AP7" s="53">
        <f t="shared" si="7"/>
        <v>3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ht="22" customHeight="1" x14ac:dyDescent="0.35">
      <c r="A8" s="8" t="s">
        <v>50</v>
      </c>
      <c r="B8" s="8" t="s">
        <v>51</v>
      </c>
      <c r="C8" s="8" t="s">
        <v>45</v>
      </c>
      <c r="D8" s="22" t="s">
        <v>5</v>
      </c>
      <c r="E8" s="22" t="s">
        <v>5</v>
      </c>
      <c r="F8" s="22" t="s">
        <v>5</v>
      </c>
      <c r="G8" s="22" t="s">
        <v>5</v>
      </c>
      <c r="H8" s="23" t="s">
        <v>7</v>
      </c>
      <c r="I8" s="24" t="s">
        <v>9</v>
      </c>
      <c r="J8" s="22" t="s">
        <v>5</v>
      </c>
      <c r="K8" s="22" t="s">
        <v>5</v>
      </c>
      <c r="L8" s="22" t="s">
        <v>5</v>
      </c>
      <c r="M8" s="22" t="s">
        <v>5</v>
      </c>
      <c r="N8" s="22" t="s">
        <v>5</v>
      </c>
      <c r="O8" s="23" t="s">
        <v>7</v>
      </c>
      <c r="P8" s="24" t="s">
        <v>9</v>
      </c>
      <c r="Q8" s="22" t="s">
        <v>5</v>
      </c>
      <c r="R8" s="26" t="s">
        <v>3</v>
      </c>
      <c r="S8" s="26" t="s">
        <v>3</v>
      </c>
      <c r="T8" s="26" t="s">
        <v>3</v>
      </c>
      <c r="U8" s="26" t="s">
        <v>3</v>
      </c>
      <c r="V8" s="27" t="s">
        <v>7</v>
      </c>
      <c r="W8" s="28" t="s">
        <v>11</v>
      </c>
      <c r="X8" s="26" t="s">
        <v>3</v>
      </c>
      <c r="Y8" s="26" t="s">
        <v>3</v>
      </c>
      <c r="Z8" s="26" t="s">
        <v>3</v>
      </c>
      <c r="AA8" s="26" t="s">
        <v>3</v>
      </c>
      <c r="AB8" s="26" t="s">
        <v>3</v>
      </c>
      <c r="AC8" s="27" t="s">
        <v>7</v>
      </c>
      <c r="AD8" s="24" t="s">
        <v>9</v>
      </c>
      <c r="AE8" s="26" t="s">
        <v>3</v>
      </c>
      <c r="AF8" s="26" t="s">
        <v>3</v>
      </c>
      <c r="AG8" s="26" t="s">
        <v>3</v>
      </c>
      <c r="AH8" s="8">
        <f t="shared" si="0"/>
        <v>12</v>
      </c>
      <c r="AI8" s="8">
        <f t="shared" si="1"/>
        <v>10</v>
      </c>
      <c r="AJ8" s="29">
        <f t="shared" si="2"/>
        <v>1</v>
      </c>
      <c r="AK8" s="62">
        <v>2</v>
      </c>
      <c r="AL8" s="33">
        <f t="shared" si="3"/>
        <v>14</v>
      </c>
      <c r="AM8" s="63">
        <f t="shared" si="4"/>
        <v>176</v>
      </c>
      <c r="AN8" s="63">
        <f t="shared" si="5"/>
        <v>0</v>
      </c>
      <c r="AO8" s="63">
        <f t="shared" si="6"/>
        <v>0</v>
      </c>
      <c r="AP8" s="53">
        <f t="shared" si="7"/>
        <v>14</v>
      </c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ht="22" customHeight="1" x14ac:dyDescent="0.35">
      <c r="A9" s="8" t="s">
        <v>52</v>
      </c>
      <c r="B9" s="8" t="s">
        <v>53</v>
      </c>
      <c r="C9" s="8" t="s">
        <v>45</v>
      </c>
      <c r="D9" s="26" t="s">
        <v>3</v>
      </c>
      <c r="E9" s="26" t="s">
        <v>3</v>
      </c>
      <c r="F9" s="26" t="s">
        <v>3</v>
      </c>
      <c r="G9" s="26" t="s">
        <v>3</v>
      </c>
      <c r="H9" s="27" t="s">
        <v>7</v>
      </c>
      <c r="I9" s="28" t="s">
        <v>11</v>
      </c>
      <c r="J9" s="22" t="s">
        <v>5</v>
      </c>
      <c r="K9" s="26" t="s">
        <v>3</v>
      </c>
      <c r="L9" s="22" t="s">
        <v>5</v>
      </c>
      <c r="M9" s="26" t="s">
        <v>3</v>
      </c>
      <c r="N9" s="26" t="s">
        <v>3</v>
      </c>
      <c r="O9" s="27" t="s">
        <v>7</v>
      </c>
      <c r="P9" s="28" t="s">
        <v>11</v>
      </c>
      <c r="Q9" s="26" t="s">
        <v>3</v>
      </c>
      <c r="R9" s="26" t="s">
        <v>3</v>
      </c>
      <c r="S9" s="26" t="s">
        <v>3</v>
      </c>
      <c r="T9" s="26" t="s">
        <v>3</v>
      </c>
      <c r="U9" s="22" t="s">
        <v>5</v>
      </c>
      <c r="V9" s="27" t="s">
        <v>7</v>
      </c>
      <c r="W9" s="28" t="s">
        <v>11</v>
      </c>
      <c r="X9" s="26" t="s">
        <v>3</v>
      </c>
      <c r="Y9" s="26" t="s">
        <v>3</v>
      </c>
      <c r="Z9" s="26" t="s">
        <v>3</v>
      </c>
      <c r="AA9" s="26" t="s">
        <v>3</v>
      </c>
      <c r="AB9" s="26" t="s">
        <v>3</v>
      </c>
      <c r="AC9" s="27" t="s">
        <v>7</v>
      </c>
      <c r="AD9" s="24" t="s">
        <v>9</v>
      </c>
      <c r="AE9" s="26" t="s">
        <v>3</v>
      </c>
      <c r="AF9" s="26" t="s">
        <v>3</v>
      </c>
      <c r="AG9" s="26" t="s">
        <v>3</v>
      </c>
      <c r="AH9" s="8">
        <f t="shared" si="0"/>
        <v>19</v>
      </c>
      <c r="AI9" s="8">
        <f t="shared" si="1"/>
        <v>3</v>
      </c>
      <c r="AJ9" s="29">
        <f t="shared" si="2"/>
        <v>3</v>
      </c>
      <c r="AK9" s="62">
        <v>4</v>
      </c>
      <c r="AL9" s="33">
        <f t="shared" si="3"/>
        <v>24</v>
      </c>
      <c r="AM9" s="63">
        <f t="shared" si="4"/>
        <v>176</v>
      </c>
      <c r="AN9" s="63">
        <f t="shared" si="5"/>
        <v>0</v>
      </c>
      <c r="AO9" s="63">
        <f t="shared" si="6"/>
        <v>0</v>
      </c>
      <c r="AP9" s="53">
        <f t="shared" si="7"/>
        <v>24</v>
      </c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ht="22" customHeight="1" x14ac:dyDescent="0.35">
      <c r="A10" s="8" t="s">
        <v>54</v>
      </c>
      <c r="B10" s="8" t="s">
        <v>55</v>
      </c>
      <c r="C10" s="8" t="s">
        <v>45</v>
      </c>
      <c r="D10" s="26" t="s">
        <v>3</v>
      </c>
      <c r="E10" s="26" t="s">
        <v>3</v>
      </c>
      <c r="F10" s="26" t="s">
        <v>3</v>
      </c>
      <c r="G10" s="26" t="s">
        <v>3</v>
      </c>
      <c r="H10" s="23" t="s">
        <v>7</v>
      </c>
      <c r="I10" s="24" t="s">
        <v>9</v>
      </c>
      <c r="J10" s="22" t="s">
        <v>5</v>
      </c>
      <c r="K10" s="22" t="s">
        <v>5</v>
      </c>
      <c r="L10" s="26" t="s">
        <v>3</v>
      </c>
      <c r="M10" s="26" t="s">
        <v>3</v>
      </c>
      <c r="N10" s="26" t="s">
        <v>3</v>
      </c>
      <c r="O10" s="27" t="s">
        <v>7</v>
      </c>
      <c r="P10" s="24" t="s">
        <v>9</v>
      </c>
      <c r="Q10" s="26" t="s">
        <v>3</v>
      </c>
      <c r="R10" s="26" t="s">
        <v>3</v>
      </c>
      <c r="S10" s="26" t="s">
        <v>3</v>
      </c>
      <c r="T10" s="26" t="s">
        <v>3</v>
      </c>
      <c r="U10" s="22" t="s">
        <v>5</v>
      </c>
      <c r="V10" s="23" t="s">
        <v>7</v>
      </c>
      <c r="W10" s="24" t="s">
        <v>9</v>
      </c>
      <c r="X10" s="22" t="s">
        <v>5</v>
      </c>
      <c r="Y10" s="26" t="s">
        <v>3</v>
      </c>
      <c r="Z10" s="26" t="s">
        <v>3</v>
      </c>
      <c r="AA10" s="26" t="s">
        <v>3</v>
      </c>
      <c r="AB10" s="22" t="s">
        <v>5</v>
      </c>
      <c r="AC10" s="23" t="s">
        <v>7</v>
      </c>
      <c r="AD10" s="24" t="s">
        <v>9</v>
      </c>
      <c r="AE10" s="22" t="s">
        <v>5</v>
      </c>
      <c r="AF10" s="22" t="s">
        <v>5</v>
      </c>
      <c r="AG10" s="22" t="s">
        <v>5</v>
      </c>
      <c r="AH10" s="8">
        <f t="shared" si="0"/>
        <v>14</v>
      </c>
      <c r="AI10" s="8">
        <f t="shared" si="1"/>
        <v>8</v>
      </c>
      <c r="AJ10" s="8">
        <f t="shared" si="2"/>
        <v>0</v>
      </c>
      <c r="AK10" s="62">
        <v>1</v>
      </c>
      <c r="AL10" s="33">
        <f t="shared" si="3"/>
        <v>14.5</v>
      </c>
      <c r="AM10" s="63">
        <f t="shared" si="4"/>
        <v>176</v>
      </c>
      <c r="AN10" s="63">
        <f t="shared" si="5"/>
        <v>1</v>
      </c>
      <c r="AO10" s="63">
        <f t="shared" si="6"/>
        <v>4</v>
      </c>
      <c r="AP10" s="53">
        <f t="shared" si="7"/>
        <v>14</v>
      </c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ht="22" customHeight="1" x14ac:dyDescent="0.35">
      <c r="A11" s="8" t="s">
        <v>56</v>
      </c>
      <c r="B11" s="8" t="s">
        <v>57</v>
      </c>
      <c r="C11" s="8" t="s">
        <v>45</v>
      </c>
      <c r="D11" s="26" t="s">
        <v>3</v>
      </c>
      <c r="E11" s="26" t="s">
        <v>3</v>
      </c>
      <c r="F11" s="26" t="s">
        <v>3</v>
      </c>
      <c r="G11" s="26" t="s">
        <v>3</v>
      </c>
      <c r="H11" s="23" t="s">
        <v>7</v>
      </c>
      <c r="I11" s="24" t="s">
        <v>9</v>
      </c>
      <c r="J11" s="22" t="s">
        <v>5</v>
      </c>
      <c r="K11" s="22" t="s">
        <v>5</v>
      </c>
      <c r="L11" s="22" t="s">
        <v>5</v>
      </c>
      <c r="M11" s="22" t="s">
        <v>5</v>
      </c>
      <c r="N11" s="22" t="s">
        <v>5</v>
      </c>
      <c r="O11" s="23" t="s">
        <v>7</v>
      </c>
      <c r="P11" s="24" t="s">
        <v>9</v>
      </c>
      <c r="Q11" s="22" t="s">
        <v>5</v>
      </c>
      <c r="R11" s="22" t="s">
        <v>5</v>
      </c>
      <c r="S11" s="22" t="s">
        <v>5</v>
      </c>
      <c r="T11" s="22" t="s">
        <v>5</v>
      </c>
      <c r="U11" s="22" t="s">
        <v>5</v>
      </c>
      <c r="V11" s="23" t="s">
        <v>7</v>
      </c>
      <c r="W11" s="24" t="s">
        <v>9</v>
      </c>
      <c r="X11" s="22" t="s">
        <v>5</v>
      </c>
      <c r="Y11" s="22" t="s">
        <v>5</v>
      </c>
      <c r="Z11" s="22" t="s">
        <v>5</v>
      </c>
      <c r="AA11" s="22" t="s">
        <v>5</v>
      </c>
      <c r="AB11" s="22" t="s">
        <v>5</v>
      </c>
      <c r="AC11" s="23" t="s">
        <v>7</v>
      </c>
      <c r="AD11" s="24" t="s">
        <v>9</v>
      </c>
      <c r="AE11" s="22" t="s">
        <v>5</v>
      </c>
      <c r="AF11" s="26" t="s">
        <v>3</v>
      </c>
      <c r="AG11" s="26" t="s">
        <v>3</v>
      </c>
      <c r="AH11" s="8">
        <f t="shared" si="0"/>
        <v>6</v>
      </c>
      <c r="AI11" s="25">
        <f t="shared" si="1"/>
        <v>16</v>
      </c>
      <c r="AJ11" s="8">
        <f t="shared" si="2"/>
        <v>0</v>
      </c>
      <c r="AK11" s="62">
        <v>0</v>
      </c>
      <c r="AL11" s="33">
        <f t="shared" si="3"/>
        <v>6</v>
      </c>
      <c r="AM11" s="63">
        <f t="shared" si="4"/>
        <v>176</v>
      </c>
      <c r="AN11" s="63">
        <f t="shared" si="5"/>
        <v>1</v>
      </c>
      <c r="AO11" s="63">
        <f t="shared" si="6"/>
        <v>4</v>
      </c>
      <c r="AP11" s="53">
        <f t="shared" si="7"/>
        <v>5.5</v>
      </c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</row>
    <row r="12" spans="1:55" ht="22" customHeight="1" x14ac:dyDescent="0.35">
      <c r="A12" s="8" t="s">
        <v>58</v>
      </c>
      <c r="B12" s="8" t="s">
        <v>59</v>
      </c>
      <c r="C12" s="8" t="s">
        <v>45</v>
      </c>
      <c r="D12" s="26" t="s">
        <v>3</v>
      </c>
      <c r="E12" s="26" t="s">
        <v>3</v>
      </c>
      <c r="F12" s="26" t="s">
        <v>3</v>
      </c>
      <c r="G12" s="26" t="s">
        <v>3</v>
      </c>
      <c r="H12" s="27" t="s">
        <v>7</v>
      </c>
      <c r="I12" s="28" t="s">
        <v>11</v>
      </c>
      <c r="J12" s="22" t="s">
        <v>5</v>
      </c>
      <c r="K12" s="26" t="s">
        <v>3</v>
      </c>
      <c r="L12" s="26" t="s">
        <v>3</v>
      </c>
      <c r="M12" s="26" t="s">
        <v>3</v>
      </c>
      <c r="N12" s="26" t="s">
        <v>3</v>
      </c>
      <c r="O12" s="23" t="s">
        <v>7</v>
      </c>
      <c r="P12" s="24" t="s">
        <v>9</v>
      </c>
      <c r="Q12" s="22" t="s">
        <v>5</v>
      </c>
      <c r="R12" s="26" t="s">
        <v>3</v>
      </c>
      <c r="S12" s="26" t="s">
        <v>3</v>
      </c>
      <c r="T12" s="26" t="s">
        <v>3</v>
      </c>
      <c r="U12" s="22" t="s">
        <v>5</v>
      </c>
      <c r="V12" s="27" t="s">
        <v>7</v>
      </c>
      <c r="W12" s="28" t="s">
        <v>11</v>
      </c>
      <c r="X12" s="26" t="s">
        <v>3</v>
      </c>
      <c r="Y12" s="26" t="s">
        <v>3</v>
      </c>
      <c r="Z12" s="26" t="s">
        <v>3</v>
      </c>
      <c r="AA12" s="26" t="s">
        <v>3</v>
      </c>
      <c r="AB12" s="26" t="s">
        <v>3</v>
      </c>
      <c r="AC12" s="27" t="s">
        <v>7</v>
      </c>
      <c r="AD12" s="28" t="s">
        <v>11</v>
      </c>
      <c r="AE12" s="26" t="s">
        <v>3</v>
      </c>
      <c r="AF12" s="26" t="s">
        <v>3</v>
      </c>
      <c r="AG12" s="26" t="s">
        <v>3</v>
      </c>
      <c r="AH12" s="8">
        <f t="shared" si="0"/>
        <v>19</v>
      </c>
      <c r="AI12" s="8">
        <f t="shared" si="1"/>
        <v>3</v>
      </c>
      <c r="AJ12" s="29">
        <f t="shared" si="2"/>
        <v>3</v>
      </c>
      <c r="AK12" s="62">
        <v>3</v>
      </c>
      <c r="AL12" s="33">
        <f t="shared" si="3"/>
        <v>23.5</v>
      </c>
      <c r="AM12" s="63">
        <f t="shared" si="4"/>
        <v>176</v>
      </c>
      <c r="AN12" s="63">
        <f t="shared" si="5"/>
        <v>0</v>
      </c>
      <c r="AO12" s="63">
        <f t="shared" si="6"/>
        <v>0</v>
      </c>
      <c r="AP12" s="53">
        <f t="shared" si="7"/>
        <v>23.5</v>
      </c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</row>
    <row r="13" spans="1:55" ht="22" customHeight="1" x14ac:dyDescent="0.35">
      <c r="A13" s="8" t="s">
        <v>60</v>
      </c>
      <c r="B13" s="8" t="s">
        <v>61</v>
      </c>
      <c r="C13" s="8" t="s">
        <v>45</v>
      </c>
      <c r="D13" s="26" t="s">
        <v>3</v>
      </c>
      <c r="E13" s="26" t="s">
        <v>3</v>
      </c>
      <c r="F13" s="26" t="s">
        <v>3</v>
      </c>
      <c r="G13" s="26" t="s">
        <v>3</v>
      </c>
      <c r="H13" s="23" t="s">
        <v>7</v>
      </c>
      <c r="I13" s="24" t="s">
        <v>9</v>
      </c>
      <c r="J13" s="22" t="s">
        <v>5</v>
      </c>
      <c r="K13" s="22" t="s">
        <v>5</v>
      </c>
      <c r="L13" s="22" t="s">
        <v>5</v>
      </c>
      <c r="M13" s="22" t="s">
        <v>5</v>
      </c>
      <c r="N13" s="22" t="s">
        <v>5</v>
      </c>
      <c r="O13" s="23" t="s">
        <v>7</v>
      </c>
      <c r="P13" s="24" t="s">
        <v>9</v>
      </c>
      <c r="Q13" s="22" t="s">
        <v>5</v>
      </c>
      <c r="R13" s="22" t="s">
        <v>5</v>
      </c>
      <c r="S13" s="22" t="s">
        <v>5</v>
      </c>
      <c r="T13" s="22" t="s">
        <v>5</v>
      </c>
      <c r="U13" s="22" t="s">
        <v>5</v>
      </c>
      <c r="V13" s="23" t="s">
        <v>7</v>
      </c>
      <c r="W13" s="24" t="s">
        <v>9</v>
      </c>
      <c r="X13" s="22" t="s">
        <v>5</v>
      </c>
      <c r="Y13" s="22" t="s">
        <v>5</v>
      </c>
      <c r="Z13" s="22" t="s">
        <v>5</v>
      </c>
      <c r="AA13" s="22" t="s">
        <v>5</v>
      </c>
      <c r="AB13" s="22" t="s">
        <v>5</v>
      </c>
      <c r="AC13" s="23" t="s">
        <v>7</v>
      </c>
      <c r="AD13" s="24" t="s">
        <v>9</v>
      </c>
      <c r="AE13" s="22" t="s">
        <v>5</v>
      </c>
      <c r="AF13" s="22" t="s">
        <v>5</v>
      </c>
      <c r="AG13" s="22" t="s">
        <v>5</v>
      </c>
      <c r="AH13" s="8">
        <f t="shared" si="0"/>
        <v>4</v>
      </c>
      <c r="AI13" s="25">
        <f t="shared" si="1"/>
        <v>18</v>
      </c>
      <c r="AJ13" s="8">
        <f t="shared" si="2"/>
        <v>0</v>
      </c>
      <c r="AK13" s="62">
        <v>0</v>
      </c>
      <c r="AL13" s="33">
        <f t="shared" si="3"/>
        <v>4</v>
      </c>
      <c r="AM13" s="63">
        <f t="shared" si="4"/>
        <v>176</v>
      </c>
      <c r="AN13" s="63">
        <f t="shared" si="5"/>
        <v>1</v>
      </c>
      <c r="AO13" s="63">
        <f t="shared" si="6"/>
        <v>4</v>
      </c>
      <c r="AP13" s="53">
        <f t="shared" si="7"/>
        <v>3.5</v>
      </c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</row>
    <row r="14" spans="1:55" ht="22" customHeight="1" x14ac:dyDescent="0.35">
      <c r="A14" s="8" t="s">
        <v>352</v>
      </c>
      <c r="B14" s="8" t="s">
        <v>353</v>
      </c>
      <c r="C14" s="8" t="s">
        <v>45</v>
      </c>
      <c r="D14" s="26" t="s">
        <v>3</v>
      </c>
      <c r="E14" s="26" t="s">
        <v>3</v>
      </c>
      <c r="F14" s="26" t="s">
        <v>3</v>
      </c>
      <c r="G14" s="26" t="s">
        <v>3</v>
      </c>
      <c r="H14" s="23" t="s">
        <v>7</v>
      </c>
      <c r="I14" s="24" t="s">
        <v>9</v>
      </c>
      <c r="J14" s="22" t="s">
        <v>5</v>
      </c>
      <c r="K14" s="22" t="s">
        <v>5</v>
      </c>
      <c r="L14" s="26" t="s">
        <v>3</v>
      </c>
      <c r="M14" s="26" t="s">
        <v>3</v>
      </c>
      <c r="N14" s="26" t="s">
        <v>3</v>
      </c>
      <c r="O14" s="27" t="s">
        <v>7</v>
      </c>
      <c r="P14" s="28" t="s">
        <v>11</v>
      </c>
      <c r="Q14" s="26" t="s">
        <v>3</v>
      </c>
      <c r="R14" s="26" t="s">
        <v>3</v>
      </c>
      <c r="S14" s="22" t="s">
        <v>5</v>
      </c>
      <c r="T14" s="22" t="s">
        <v>5</v>
      </c>
      <c r="U14" s="22" t="s">
        <v>5</v>
      </c>
      <c r="V14" s="23" t="s">
        <v>7</v>
      </c>
      <c r="W14" s="24" t="s">
        <v>9</v>
      </c>
      <c r="X14" s="22" t="s">
        <v>5</v>
      </c>
      <c r="Y14" s="22" t="s">
        <v>5</v>
      </c>
      <c r="Z14" s="22" t="s">
        <v>5</v>
      </c>
      <c r="AA14" s="22" t="s">
        <v>5</v>
      </c>
      <c r="AB14" s="22" t="s">
        <v>5</v>
      </c>
      <c r="AC14" s="23" t="s">
        <v>7</v>
      </c>
      <c r="AD14" s="24" t="s">
        <v>9</v>
      </c>
      <c r="AE14" s="22" t="s">
        <v>5</v>
      </c>
      <c r="AF14" s="22" t="s">
        <v>5</v>
      </c>
      <c r="AG14" s="22" t="s">
        <v>5</v>
      </c>
      <c r="AH14" s="8">
        <f t="shared" si="0"/>
        <v>9</v>
      </c>
      <c r="AI14" s="25">
        <f t="shared" si="1"/>
        <v>13</v>
      </c>
      <c r="AJ14" s="29">
        <f t="shared" si="2"/>
        <v>1</v>
      </c>
      <c r="AK14" s="62">
        <v>1</v>
      </c>
      <c r="AL14" s="33">
        <f t="shared" si="3"/>
        <v>10.5</v>
      </c>
      <c r="AM14" s="63">
        <f t="shared" si="4"/>
        <v>176</v>
      </c>
      <c r="AN14" s="63">
        <f t="shared" si="5"/>
        <v>1</v>
      </c>
      <c r="AO14" s="63">
        <f t="shared" si="6"/>
        <v>4</v>
      </c>
      <c r="AP14" s="53">
        <f t="shared" si="7"/>
        <v>10</v>
      </c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</row>
    <row r="15" spans="1:55" ht="22" customHeight="1" x14ac:dyDescent="0.35">
      <c r="A15" s="8" t="s">
        <v>62</v>
      </c>
      <c r="B15" s="8" t="s">
        <v>63</v>
      </c>
      <c r="C15" s="8" t="s">
        <v>45</v>
      </c>
      <c r="D15" s="26" t="s">
        <v>3</v>
      </c>
      <c r="E15" s="22" t="s">
        <v>5</v>
      </c>
      <c r="F15" s="22" t="s">
        <v>5</v>
      </c>
      <c r="G15" s="22" t="s">
        <v>5</v>
      </c>
      <c r="H15" s="23" t="s">
        <v>7</v>
      </c>
      <c r="I15" s="24" t="s">
        <v>9</v>
      </c>
      <c r="J15" s="22" t="s">
        <v>5</v>
      </c>
      <c r="K15" s="22" t="s">
        <v>5</v>
      </c>
      <c r="L15" s="22" t="s">
        <v>5</v>
      </c>
      <c r="M15" s="26" t="s">
        <v>3</v>
      </c>
      <c r="N15" s="22" t="s">
        <v>5</v>
      </c>
      <c r="O15" s="23" t="s">
        <v>7</v>
      </c>
      <c r="P15" s="28" t="s">
        <v>11</v>
      </c>
      <c r="Q15" s="22" t="s">
        <v>5</v>
      </c>
      <c r="R15" s="22" t="s">
        <v>5</v>
      </c>
      <c r="S15" s="22" t="s">
        <v>5</v>
      </c>
      <c r="T15" s="22" t="s">
        <v>5</v>
      </c>
      <c r="U15" s="22" t="s">
        <v>5</v>
      </c>
      <c r="V15" s="23" t="s">
        <v>7</v>
      </c>
      <c r="W15" s="24" t="s">
        <v>9</v>
      </c>
      <c r="X15" s="22" t="s">
        <v>5</v>
      </c>
      <c r="Y15" s="22" t="s">
        <v>5</v>
      </c>
      <c r="Z15" s="22" t="s">
        <v>5</v>
      </c>
      <c r="AA15" s="26" t="s">
        <v>3</v>
      </c>
      <c r="AB15" s="22" t="s">
        <v>5</v>
      </c>
      <c r="AC15" s="27" t="s">
        <v>7</v>
      </c>
      <c r="AD15" s="24" t="s">
        <v>9</v>
      </c>
      <c r="AE15" s="22" t="s">
        <v>5</v>
      </c>
      <c r="AF15" s="22" t="s">
        <v>5</v>
      </c>
      <c r="AG15" s="26" t="s">
        <v>3</v>
      </c>
      <c r="AH15" s="8">
        <f t="shared" si="0"/>
        <v>4</v>
      </c>
      <c r="AI15" s="25">
        <f t="shared" si="1"/>
        <v>18</v>
      </c>
      <c r="AJ15" s="29">
        <f t="shared" si="2"/>
        <v>1</v>
      </c>
      <c r="AK15" s="62">
        <v>1</v>
      </c>
      <c r="AL15" s="33">
        <f t="shared" si="3"/>
        <v>5.5</v>
      </c>
      <c r="AM15" s="63">
        <f t="shared" si="4"/>
        <v>176</v>
      </c>
      <c r="AN15" s="63">
        <f t="shared" si="5"/>
        <v>0</v>
      </c>
      <c r="AO15" s="63">
        <f t="shared" si="6"/>
        <v>0</v>
      </c>
      <c r="AP15" s="53">
        <f t="shared" si="7"/>
        <v>5.5</v>
      </c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</row>
    <row r="16" spans="1:55" ht="22" customHeight="1" x14ac:dyDescent="0.35">
      <c r="A16" s="8" t="s">
        <v>64</v>
      </c>
      <c r="B16" s="8" t="s">
        <v>63</v>
      </c>
      <c r="C16" s="8" t="s">
        <v>45</v>
      </c>
      <c r="D16" s="26" t="s">
        <v>3</v>
      </c>
      <c r="E16" s="26" t="s">
        <v>3</v>
      </c>
      <c r="F16" s="26" t="s">
        <v>3</v>
      </c>
      <c r="G16" s="26" t="s">
        <v>3</v>
      </c>
      <c r="H16" s="23" t="s">
        <v>7</v>
      </c>
      <c r="I16" s="24" t="s">
        <v>9</v>
      </c>
      <c r="J16" s="22" t="s">
        <v>5</v>
      </c>
      <c r="K16" s="22" t="s">
        <v>5</v>
      </c>
      <c r="L16" s="26" t="s">
        <v>3</v>
      </c>
      <c r="M16" s="26" t="s">
        <v>3</v>
      </c>
      <c r="N16" s="26" t="s">
        <v>3</v>
      </c>
      <c r="O16" s="27" t="s">
        <v>7</v>
      </c>
      <c r="P16" s="28" t="s">
        <v>11</v>
      </c>
      <c r="Q16" s="26" t="s">
        <v>3</v>
      </c>
      <c r="R16" s="26" t="s">
        <v>3</v>
      </c>
      <c r="S16" s="26" t="s">
        <v>3</v>
      </c>
      <c r="T16" s="26" t="s">
        <v>3</v>
      </c>
      <c r="U16" s="22" t="s">
        <v>5</v>
      </c>
      <c r="V16" s="27" t="s">
        <v>7</v>
      </c>
      <c r="W16" s="28" t="s">
        <v>11</v>
      </c>
      <c r="X16" s="26" t="s">
        <v>3</v>
      </c>
      <c r="Y16" s="26" t="s">
        <v>3</v>
      </c>
      <c r="Z16" s="26" t="s">
        <v>3</v>
      </c>
      <c r="AA16" s="22" t="s">
        <v>5</v>
      </c>
      <c r="AB16" s="26" t="s">
        <v>3</v>
      </c>
      <c r="AC16" s="27" t="s">
        <v>7</v>
      </c>
      <c r="AD16" s="28" t="s">
        <v>11</v>
      </c>
      <c r="AE16" s="26" t="s">
        <v>3</v>
      </c>
      <c r="AF16" s="26" t="s">
        <v>3</v>
      </c>
      <c r="AG16" s="26" t="s">
        <v>3</v>
      </c>
      <c r="AH16" s="8">
        <f t="shared" si="0"/>
        <v>18</v>
      </c>
      <c r="AI16" s="8">
        <f t="shared" si="1"/>
        <v>4</v>
      </c>
      <c r="AJ16" s="29">
        <f t="shared" si="2"/>
        <v>3</v>
      </c>
      <c r="AK16" s="62">
        <v>3</v>
      </c>
      <c r="AL16" s="33">
        <f t="shared" si="3"/>
        <v>22.5</v>
      </c>
      <c r="AM16" s="63">
        <f t="shared" si="4"/>
        <v>176</v>
      </c>
      <c r="AN16" s="63">
        <f t="shared" si="5"/>
        <v>0</v>
      </c>
      <c r="AO16" s="63">
        <f t="shared" si="6"/>
        <v>0</v>
      </c>
      <c r="AP16" s="53">
        <f t="shared" si="7"/>
        <v>22.5</v>
      </c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</row>
    <row r="17" spans="1:55" ht="22" customHeight="1" x14ac:dyDescent="0.35">
      <c r="A17" s="8" t="s">
        <v>65</v>
      </c>
      <c r="B17" s="8" t="s">
        <v>66</v>
      </c>
      <c r="C17" s="8" t="s">
        <v>45</v>
      </c>
      <c r="D17" s="26" t="s">
        <v>3</v>
      </c>
      <c r="E17" s="26" t="s">
        <v>3</v>
      </c>
      <c r="F17" s="26" t="s">
        <v>3</v>
      </c>
      <c r="G17" s="26" t="s">
        <v>3</v>
      </c>
      <c r="H17" s="23" t="s">
        <v>7</v>
      </c>
      <c r="I17" s="24" t="s">
        <v>9</v>
      </c>
      <c r="J17" s="22" t="s">
        <v>5</v>
      </c>
      <c r="K17" s="22" t="s">
        <v>5</v>
      </c>
      <c r="L17" s="22" t="s">
        <v>5</v>
      </c>
      <c r="M17" s="22" t="s">
        <v>5</v>
      </c>
      <c r="N17" s="22" t="s">
        <v>5</v>
      </c>
      <c r="O17" s="23" t="s">
        <v>7</v>
      </c>
      <c r="P17" s="24" t="s">
        <v>9</v>
      </c>
      <c r="Q17" s="22" t="s">
        <v>5</v>
      </c>
      <c r="R17" s="22" t="s">
        <v>5</v>
      </c>
      <c r="S17" s="22" t="s">
        <v>5</v>
      </c>
      <c r="T17" s="22" t="s">
        <v>5</v>
      </c>
      <c r="U17" s="22" t="s">
        <v>5</v>
      </c>
      <c r="V17" s="23" t="s">
        <v>7</v>
      </c>
      <c r="W17" s="24" t="s">
        <v>9</v>
      </c>
      <c r="X17" s="22" t="s">
        <v>5</v>
      </c>
      <c r="Y17" s="22" t="s">
        <v>5</v>
      </c>
      <c r="Z17" s="22" t="s">
        <v>5</v>
      </c>
      <c r="AA17" s="22" t="s">
        <v>5</v>
      </c>
      <c r="AB17" s="22" t="s">
        <v>5</v>
      </c>
      <c r="AC17" s="23" t="s">
        <v>7</v>
      </c>
      <c r="AD17" s="24" t="s">
        <v>9</v>
      </c>
      <c r="AE17" s="22" t="s">
        <v>5</v>
      </c>
      <c r="AF17" s="22" t="s">
        <v>5</v>
      </c>
      <c r="AG17" s="22" t="s">
        <v>5</v>
      </c>
      <c r="AH17" s="8">
        <f t="shared" si="0"/>
        <v>4</v>
      </c>
      <c r="AI17" s="25">
        <f t="shared" si="1"/>
        <v>18</v>
      </c>
      <c r="AJ17" s="8">
        <f t="shared" si="2"/>
        <v>0</v>
      </c>
      <c r="AK17" s="62">
        <v>0</v>
      </c>
      <c r="AL17" s="33">
        <f t="shared" si="3"/>
        <v>4</v>
      </c>
      <c r="AM17" s="63">
        <f t="shared" si="4"/>
        <v>176</v>
      </c>
      <c r="AN17" s="63">
        <f t="shared" si="5"/>
        <v>1</v>
      </c>
      <c r="AO17" s="63">
        <f t="shared" si="6"/>
        <v>4</v>
      </c>
      <c r="AP17" s="53">
        <f t="shared" si="7"/>
        <v>3.5</v>
      </c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</row>
    <row r="18" spans="1:55" ht="22" customHeight="1" x14ac:dyDescent="0.35">
      <c r="A18" s="8" t="s">
        <v>67</v>
      </c>
      <c r="B18" s="8" t="s">
        <v>68</v>
      </c>
      <c r="C18" s="8" t="s">
        <v>45</v>
      </c>
      <c r="D18" s="26" t="s">
        <v>3</v>
      </c>
      <c r="E18" s="26" t="s">
        <v>3</v>
      </c>
      <c r="F18" s="26" t="s">
        <v>3</v>
      </c>
      <c r="G18" s="26" t="s">
        <v>3</v>
      </c>
      <c r="H18" s="27" t="s">
        <v>7</v>
      </c>
      <c r="I18" s="28" t="s">
        <v>11</v>
      </c>
      <c r="J18" s="22" t="s">
        <v>5</v>
      </c>
      <c r="K18" s="26" t="s">
        <v>3</v>
      </c>
      <c r="L18" s="26" t="s">
        <v>3</v>
      </c>
      <c r="M18" s="26" t="s">
        <v>3</v>
      </c>
      <c r="N18" s="22" t="s">
        <v>5</v>
      </c>
      <c r="O18" s="23" t="s">
        <v>7</v>
      </c>
      <c r="P18" s="24" t="s">
        <v>9</v>
      </c>
      <c r="Q18" s="22" t="s">
        <v>5</v>
      </c>
      <c r="R18" s="22" t="s">
        <v>5</v>
      </c>
      <c r="S18" s="22" t="s">
        <v>5</v>
      </c>
      <c r="T18" s="22" t="s">
        <v>5</v>
      </c>
      <c r="U18" s="22" t="s">
        <v>5</v>
      </c>
      <c r="V18" s="23" t="s">
        <v>7</v>
      </c>
      <c r="W18" s="24" t="s">
        <v>9</v>
      </c>
      <c r="X18" s="22" t="s">
        <v>5</v>
      </c>
      <c r="Y18" s="22" t="s">
        <v>5</v>
      </c>
      <c r="Z18" s="22" t="s">
        <v>5</v>
      </c>
      <c r="AA18" s="22" t="s">
        <v>5</v>
      </c>
      <c r="AB18" s="22" t="s">
        <v>5</v>
      </c>
      <c r="AC18" s="23" t="s">
        <v>7</v>
      </c>
      <c r="AD18" s="24" t="s">
        <v>9</v>
      </c>
      <c r="AE18" s="22" t="s">
        <v>5</v>
      </c>
      <c r="AF18" s="22" t="s">
        <v>5</v>
      </c>
      <c r="AG18" s="22" t="s">
        <v>5</v>
      </c>
      <c r="AH18" s="8">
        <f t="shared" si="0"/>
        <v>7</v>
      </c>
      <c r="AI18" s="25">
        <f t="shared" si="1"/>
        <v>15</v>
      </c>
      <c r="AJ18" s="29">
        <f t="shared" si="2"/>
        <v>1</v>
      </c>
      <c r="AK18" s="62">
        <v>1</v>
      </c>
      <c r="AL18" s="33">
        <f t="shared" si="3"/>
        <v>8.5</v>
      </c>
      <c r="AM18" s="63">
        <f t="shared" si="4"/>
        <v>176</v>
      </c>
      <c r="AN18" s="63">
        <f t="shared" si="5"/>
        <v>0</v>
      </c>
      <c r="AO18" s="63">
        <f t="shared" si="6"/>
        <v>0</v>
      </c>
      <c r="AP18" s="53">
        <f t="shared" si="7"/>
        <v>8.5</v>
      </c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</row>
    <row r="19" spans="1:55" ht="22" customHeight="1" x14ac:dyDescent="0.35">
      <c r="A19" s="8" t="s">
        <v>69</v>
      </c>
      <c r="B19" s="8" t="s">
        <v>70</v>
      </c>
      <c r="C19" s="8" t="s">
        <v>45</v>
      </c>
      <c r="D19" s="26" t="s">
        <v>3</v>
      </c>
      <c r="E19" s="26" t="s">
        <v>3</v>
      </c>
      <c r="F19" s="26" t="s">
        <v>3</v>
      </c>
      <c r="G19" s="26" t="s">
        <v>3</v>
      </c>
      <c r="H19" s="27" t="s">
        <v>7</v>
      </c>
      <c r="I19" s="24" t="s">
        <v>9</v>
      </c>
      <c r="J19" s="22" t="s">
        <v>5</v>
      </c>
      <c r="K19" s="26" t="s">
        <v>3</v>
      </c>
      <c r="L19" s="26" t="s">
        <v>3</v>
      </c>
      <c r="M19" s="26" t="s">
        <v>3</v>
      </c>
      <c r="N19" s="26" t="s">
        <v>3</v>
      </c>
      <c r="O19" s="27" t="s">
        <v>7</v>
      </c>
      <c r="P19" s="28" t="s">
        <v>11</v>
      </c>
      <c r="Q19" s="26" t="s">
        <v>3</v>
      </c>
      <c r="R19" s="26" t="s">
        <v>3</v>
      </c>
      <c r="S19" s="26" t="s">
        <v>3</v>
      </c>
      <c r="T19" s="26" t="s">
        <v>3</v>
      </c>
      <c r="U19" s="22" t="s">
        <v>5</v>
      </c>
      <c r="V19" s="23" t="s">
        <v>7</v>
      </c>
      <c r="W19" s="24" t="s">
        <v>9</v>
      </c>
      <c r="X19" s="22" t="s">
        <v>5</v>
      </c>
      <c r="Y19" s="26" t="s">
        <v>3</v>
      </c>
      <c r="Z19" s="26" t="s">
        <v>3</v>
      </c>
      <c r="AA19" s="26" t="s">
        <v>3</v>
      </c>
      <c r="AB19" s="26" t="s">
        <v>3</v>
      </c>
      <c r="AC19" s="27" t="s">
        <v>7</v>
      </c>
      <c r="AD19" s="28" t="s">
        <v>11</v>
      </c>
      <c r="AE19" s="26" t="s">
        <v>3</v>
      </c>
      <c r="AF19" s="26" t="s">
        <v>3</v>
      </c>
      <c r="AG19" s="26" t="s">
        <v>3</v>
      </c>
      <c r="AH19" s="8">
        <f t="shared" si="0"/>
        <v>19</v>
      </c>
      <c r="AI19" s="8">
        <f t="shared" si="1"/>
        <v>3</v>
      </c>
      <c r="AJ19" s="29">
        <f t="shared" si="2"/>
        <v>2</v>
      </c>
      <c r="AK19" s="62">
        <v>3</v>
      </c>
      <c r="AL19" s="33">
        <f t="shared" si="3"/>
        <v>22.5</v>
      </c>
      <c r="AM19" s="63">
        <f t="shared" si="4"/>
        <v>176</v>
      </c>
      <c r="AN19" s="63">
        <f t="shared" si="5"/>
        <v>0</v>
      </c>
      <c r="AO19" s="63">
        <f t="shared" si="6"/>
        <v>0</v>
      </c>
      <c r="AP19" s="53">
        <f t="shared" si="7"/>
        <v>22.5</v>
      </c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</row>
    <row r="20" spans="1:55" x14ac:dyDescent="0.35"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</row>
    <row r="21" spans="1:55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</row>
    <row r="22" spans="1:55" ht="22" customHeight="1" x14ac:dyDescent="0.35">
      <c r="A22" s="8" t="s">
        <v>72</v>
      </c>
      <c r="B22" s="8" t="s">
        <v>73</v>
      </c>
      <c r="C22" s="8" t="s">
        <v>74</v>
      </c>
      <c r="D22" s="26" t="s">
        <v>3</v>
      </c>
      <c r="E22" s="26" t="s">
        <v>3</v>
      </c>
      <c r="F22" s="26" t="s">
        <v>3</v>
      </c>
      <c r="G22" s="26" t="s">
        <v>3</v>
      </c>
      <c r="H22" s="27" t="s">
        <v>7</v>
      </c>
      <c r="I22" s="24" t="s">
        <v>9</v>
      </c>
      <c r="J22" s="22" t="s">
        <v>5</v>
      </c>
      <c r="K22" s="26" t="s">
        <v>3</v>
      </c>
      <c r="L22" s="26" t="s">
        <v>3</v>
      </c>
      <c r="M22" s="26" t="s">
        <v>3</v>
      </c>
      <c r="N22" s="26" t="s">
        <v>3</v>
      </c>
      <c r="O22" s="27" t="s">
        <v>7</v>
      </c>
      <c r="P22" s="28" t="s">
        <v>11</v>
      </c>
      <c r="Q22" s="26" t="s">
        <v>3</v>
      </c>
      <c r="R22" s="26" t="s">
        <v>3</v>
      </c>
      <c r="S22" s="26" t="s">
        <v>3</v>
      </c>
      <c r="T22" s="26" t="s">
        <v>3</v>
      </c>
      <c r="U22" s="22" t="s">
        <v>5</v>
      </c>
      <c r="V22" s="23" t="s">
        <v>7</v>
      </c>
      <c r="W22" s="24" t="s">
        <v>9</v>
      </c>
      <c r="X22" s="22" t="s">
        <v>5</v>
      </c>
      <c r="Y22" s="26" t="s">
        <v>3</v>
      </c>
      <c r="Z22" s="26" t="s">
        <v>3</v>
      </c>
      <c r="AA22" s="26" t="s">
        <v>3</v>
      </c>
      <c r="AB22" s="26" t="s">
        <v>3</v>
      </c>
      <c r="AC22" s="27" t="s">
        <v>7</v>
      </c>
      <c r="AD22" s="24" t="s">
        <v>9</v>
      </c>
      <c r="AE22" s="26" t="s">
        <v>3</v>
      </c>
      <c r="AF22" s="26" t="s">
        <v>3</v>
      </c>
      <c r="AG22" s="22" t="s">
        <v>5</v>
      </c>
      <c r="AH22" s="8">
        <f t="shared" ref="AH22:AH35" si="8">COUNTIF(D22:AG22,"ON")</f>
        <v>18</v>
      </c>
      <c r="AI22" s="8">
        <f t="shared" ref="AI22:AI35" si="9">COUNTIF(D22:AG22,"OFF")</f>
        <v>4</v>
      </c>
      <c r="AJ22" s="29">
        <f t="shared" ref="AJ22:AJ35" si="10">COUNTIF(D22:AG22,"OT")</f>
        <v>1</v>
      </c>
      <c r="AK22" s="62">
        <v>3</v>
      </c>
      <c r="AL22" s="33">
        <f t="shared" ref="AL22:AL35" si="11">AH22+AJ22+AK22*0.5</f>
        <v>20.5</v>
      </c>
      <c r="AM22" s="63">
        <f t="shared" ref="AM22:AM35" si="12">NETWORKDAYS(DATE(2025,4,1),EOMONTH(DATE(2025,4,1),0))*8</f>
        <v>176</v>
      </c>
      <c r="AN22" s="63">
        <f t="shared" ref="AN22:AN35" si="13">MAX(0,COUNTIF(G22,"ON")+COUNTIF(N22,"ON")+COUNTIF(U22,"ON")+COUNTIF(AB22,"ON")-AK22)</f>
        <v>0</v>
      </c>
      <c r="AO22" s="63">
        <f t="shared" ref="AO22:AO35" si="14">AN22*$AO$2</f>
        <v>0</v>
      </c>
      <c r="AP22" s="53">
        <f t="shared" ref="AP22:AP35" si="15">AL22-AO22/8</f>
        <v>20.5</v>
      </c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</row>
    <row r="23" spans="1:55" ht="22" customHeight="1" x14ac:dyDescent="0.35">
      <c r="A23" s="8" t="s">
        <v>75</v>
      </c>
      <c r="B23" s="8" t="s">
        <v>76</v>
      </c>
      <c r="C23" s="8" t="s">
        <v>74</v>
      </c>
      <c r="D23" s="26" t="s">
        <v>3</v>
      </c>
      <c r="E23" s="26" t="s">
        <v>3</v>
      </c>
      <c r="F23" s="26" t="s">
        <v>3</v>
      </c>
      <c r="G23" s="26" t="s">
        <v>3</v>
      </c>
      <c r="H23" s="27" t="s">
        <v>7</v>
      </c>
      <c r="I23" s="24" t="s">
        <v>9</v>
      </c>
      <c r="J23" s="22" t="s">
        <v>5</v>
      </c>
      <c r="K23" s="26" t="s">
        <v>3</v>
      </c>
      <c r="L23" s="26" t="s">
        <v>3</v>
      </c>
      <c r="M23" s="26" t="s">
        <v>3</v>
      </c>
      <c r="N23" s="26" t="s">
        <v>3</v>
      </c>
      <c r="O23" s="27" t="s">
        <v>7</v>
      </c>
      <c r="P23" s="28" t="s">
        <v>11</v>
      </c>
      <c r="Q23" s="26" t="s">
        <v>3</v>
      </c>
      <c r="R23" s="26" t="s">
        <v>3</v>
      </c>
      <c r="S23" s="26" t="s">
        <v>3</v>
      </c>
      <c r="T23" s="26" t="s">
        <v>3</v>
      </c>
      <c r="U23" s="22" t="s">
        <v>5</v>
      </c>
      <c r="V23" s="23" t="s">
        <v>7</v>
      </c>
      <c r="W23" s="24" t="s">
        <v>9</v>
      </c>
      <c r="X23" s="22" t="s">
        <v>5</v>
      </c>
      <c r="Y23" s="26" t="s">
        <v>3</v>
      </c>
      <c r="Z23" s="26" t="s">
        <v>3</v>
      </c>
      <c r="AA23" s="26" t="s">
        <v>3</v>
      </c>
      <c r="AB23" s="26" t="s">
        <v>3</v>
      </c>
      <c r="AC23" s="27" t="s">
        <v>7</v>
      </c>
      <c r="AD23" s="24" t="s">
        <v>9</v>
      </c>
      <c r="AE23" s="26" t="s">
        <v>3</v>
      </c>
      <c r="AF23" s="26" t="s">
        <v>3</v>
      </c>
      <c r="AG23" s="22" t="s">
        <v>5</v>
      </c>
      <c r="AH23" s="8">
        <f t="shared" si="8"/>
        <v>18</v>
      </c>
      <c r="AI23" s="8">
        <f t="shared" si="9"/>
        <v>4</v>
      </c>
      <c r="AJ23" s="29">
        <f t="shared" si="10"/>
        <v>1</v>
      </c>
      <c r="AK23" s="62">
        <v>3</v>
      </c>
      <c r="AL23" s="33">
        <f t="shared" si="11"/>
        <v>20.5</v>
      </c>
      <c r="AM23" s="63">
        <f t="shared" si="12"/>
        <v>176</v>
      </c>
      <c r="AN23" s="63">
        <f t="shared" si="13"/>
        <v>0</v>
      </c>
      <c r="AO23" s="63">
        <f t="shared" si="14"/>
        <v>0</v>
      </c>
      <c r="AP23" s="53">
        <f t="shared" si="15"/>
        <v>20.5</v>
      </c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</row>
    <row r="24" spans="1:55" ht="22" customHeight="1" x14ac:dyDescent="0.35">
      <c r="A24" s="8" t="s">
        <v>77</v>
      </c>
      <c r="B24" s="8" t="s">
        <v>78</v>
      </c>
      <c r="C24" s="8" t="s">
        <v>74</v>
      </c>
      <c r="D24" s="26" t="s">
        <v>3</v>
      </c>
      <c r="E24" s="26" t="s">
        <v>3</v>
      </c>
      <c r="F24" s="26" t="s">
        <v>3</v>
      </c>
      <c r="G24" s="26" t="s">
        <v>3</v>
      </c>
      <c r="H24" s="27" t="s">
        <v>7</v>
      </c>
      <c r="I24" s="24" t="s">
        <v>9</v>
      </c>
      <c r="J24" s="22" t="s">
        <v>5</v>
      </c>
      <c r="K24" s="26" t="s">
        <v>3</v>
      </c>
      <c r="L24" s="26" t="s">
        <v>3</v>
      </c>
      <c r="M24" s="26" t="s">
        <v>3</v>
      </c>
      <c r="N24" s="26" t="s">
        <v>3</v>
      </c>
      <c r="O24" s="27" t="s">
        <v>7</v>
      </c>
      <c r="P24" s="28" t="s">
        <v>11</v>
      </c>
      <c r="Q24" s="26" t="s">
        <v>3</v>
      </c>
      <c r="R24" s="26" t="s">
        <v>3</v>
      </c>
      <c r="S24" s="26" t="s">
        <v>3</v>
      </c>
      <c r="T24" s="26" t="s">
        <v>3</v>
      </c>
      <c r="U24" s="22" t="s">
        <v>5</v>
      </c>
      <c r="V24" s="23" t="s">
        <v>7</v>
      </c>
      <c r="W24" s="24" t="s">
        <v>9</v>
      </c>
      <c r="X24" s="22" t="s">
        <v>5</v>
      </c>
      <c r="Y24" s="26" t="s">
        <v>3</v>
      </c>
      <c r="Z24" s="26" t="s">
        <v>3</v>
      </c>
      <c r="AA24" s="26" t="s">
        <v>3</v>
      </c>
      <c r="AB24" s="26" t="s">
        <v>3</v>
      </c>
      <c r="AC24" s="27" t="s">
        <v>7</v>
      </c>
      <c r="AD24" s="24" t="s">
        <v>9</v>
      </c>
      <c r="AE24" s="26" t="s">
        <v>3</v>
      </c>
      <c r="AF24" s="26" t="s">
        <v>3</v>
      </c>
      <c r="AG24" s="22" t="s">
        <v>5</v>
      </c>
      <c r="AH24" s="8">
        <f t="shared" si="8"/>
        <v>18</v>
      </c>
      <c r="AI24" s="8">
        <f t="shared" si="9"/>
        <v>4</v>
      </c>
      <c r="AJ24" s="29">
        <f t="shared" si="10"/>
        <v>1</v>
      </c>
      <c r="AK24" s="62">
        <v>3</v>
      </c>
      <c r="AL24" s="33">
        <f t="shared" si="11"/>
        <v>20.5</v>
      </c>
      <c r="AM24" s="63">
        <f t="shared" si="12"/>
        <v>176</v>
      </c>
      <c r="AN24" s="63">
        <f t="shared" si="13"/>
        <v>0</v>
      </c>
      <c r="AO24" s="63">
        <f t="shared" si="14"/>
        <v>0</v>
      </c>
      <c r="AP24" s="53">
        <f t="shared" si="15"/>
        <v>20.5</v>
      </c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</row>
    <row r="25" spans="1:55" ht="22" customHeight="1" x14ac:dyDescent="0.35">
      <c r="A25" s="8" t="s">
        <v>79</v>
      </c>
      <c r="B25" s="8" t="s">
        <v>80</v>
      </c>
      <c r="C25" s="8" t="s">
        <v>74</v>
      </c>
      <c r="D25" s="26" t="s">
        <v>3</v>
      </c>
      <c r="E25" s="26" t="s">
        <v>3</v>
      </c>
      <c r="F25" s="26" t="s">
        <v>3</v>
      </c>
      <c r="G25" s="26" t="s">
        <v>3</v>
      </c>
      <c r="H25" s="23" t="s">
        <v>7</v>
      </c>
      <c r="I25" s="24" t="s">
        <v>9</v>
      </c>
      <c r="J25" s="22" t="s">
        <v>5</v>
      </c>
      <c r="K25" s="26" t="s">
        <v>3</v>
      </c>
      <c r="L25" s="26" t="s">
        <v>3</v>
      </c>
      <c r="M25" s="26" t="s">
        <v>3</v>
      </c>
      <c r="N25" s="26" t="s">
        <v>3</v>
      </c>
      <c r="O25" s="27" t="s">
        <v>7</v>
      </c>
      <c r="P25" s="24" t="s">
        <v>9</v>
      </c>
      <c r="Q25" s="26" t="s">
        <v>3</v>
      </c>
      <c r="R25" s="26" t="s">
        <v>3</v>
      </c>
      <c r="S25" s="26" t="s">
        <v>3</v>
      </c>
      <c r="T25" s="26" t="s">
        <v>3</v>
      </c>
      <c r="U25" s="26" t="s">
        <v>3</v>
      </c>
      <c r="V25" s="23" t="s">
        <v>7</v>
      </c>
      <c r="W25" s="24" t="s">
        <v>9</v>
      </c>
      <c r="X25" s="26" t="s">
        <v>3</v>
      </c>
      <c r="Y25" s="26" t="s">
        <v>3</v>
      </c>
      <c r="Z25" s="26" t="s">
        <v>3</v>
      </c>
      <c r="AA25" s="26" t="s">
        <v>3</v>
      </c>
      <c r="AB25" s="26" t="s">
        <v>3</v>
      </c>
      <c r="AC25" s="27" t="s">
        <v>7</v>
      </c>
      <c r="AD25" s="24" t="s">
        <v>9</v>
      </c>
      <c r="AE25" s="26" t="s">
        <v>3</v>
      </c>
      <c r="AF25" s="26" t="s">
        <v>3</v>
      </c>
      <c r="AG25" s="26" t="s">
        <v>3</v>
      </c>
      <c r="AH25" s="8">
        <f t="shared" si="8"/>
        <v>21</v>
      </c>
      <c r="AI25" s="8">
        <f t="shared" si="9"/>
        <v>1</v>
      </c>
      <c r="AJ25" s="8">
        <f t="shared" si="10"/>
        <v>0</v>
      </c>
      <c r="AK25" s="62">
        <v>2</v>
      </c>
      <c r="AL25" s="33">
        <f t="shared" si="11"/>
        <v>22</v>
      </c>
      <c r="AM25" s="63">
        <f t="shared" si="12"/>
        <v>176</v>
      </c>
      <c r="AN25" s="63">
        <f t="shared" si="13"/>
        <v>2</v>
      </c>
      <c r="AO25" s="63">
        <f t="shared" si="14"/>
        <v>8</v>
      </c>
      <c r="AP25" s="53">
        <f t="shared" si="15"/>
        <v>21</v>
      </c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</row>
    <row r="26" spans="1:55" ht="22" customHeight="1" x14ac:dyDescent="0.35">
      <c r="A26" s="8" t="s">
        <v>81</v>
      </c>
      <c r="B26" s="8" t="s">
        <v>82</v>
      </c>
      <c r="C26" s="8" t="s">
        <v>74</v>
      </c>
      <c r="D26" s="26" t="s">
        <v>3</v>
      </c>
      <c r="E26" s="26" t="s">
        <v>3</v>
      </c>
      <c r="F26" s="26" t="s">
        <v>3</v>
      </c>
      <c r="G26" s="26" t="s">
        <v>3</v>
      </c>
      <c r="H26" s="27" t="s">
        <v>7</v>
      </c>
      <c r="I26" s="24" t="s">
        <v>9</v>
      </c>
      <c r="J26" s="22" t="s">
        <v>5</v>
      </c>
      <c r="K26" s="26" t="s">
        <v>3</v>
      </c>
      <c r="L26" s="26" t="s">
        <v>3</v>
      </c>
      <c r="M26" s="26" t="s">
        <v>3</v>
      </c>
      <c r="N26" s="26" t="s">
        <v>3</v>
      </c>
      <c r="O26" s="23" t="s">
        <v>7</v>
      </c>
      <c r="P26" s="24" t="s">
        <v>9</v>
      </c>
      <c r="Q26" s="26" t="s">
        <v>3</v>
      </c>
      <c r="R26" s="26" t="s">
        <v>3</v>
      </c>
      <c r="S26" s="26" t="s">
        <v>3</v>
      </c>
      <c r="T26" s="26" t="s">
        <v>3</v>
      </c>
      <c r="U26" s="22" t="s">
        <v>5</v>
      </c>
      <c r="V26" s="23" t="s">
        <v>7</v>
      </c>
      <c r="W26" s="24" t="s">
        <v>9</v>
      </c>
      <c r="X26" s="22" t="s">
        <v>5</v>
      </c>
      <c r="Y26" s="26" t="s">
        <v>3</v>
      </c>
      <c r="Z26" s="26" t="s">
        <v>3</v>
      </c>
      <c r="AA26" s="26" t="s">
        <v>3</v>
      </c>
      <c r="AB26" s="26" t="s">
        <v>3</v>
      </c>
      <c r="AC26" s="23" t="s">
        <v>7</v>
      </c>
      <c r="AD26" s="24" t="s">
        <v>9</v>
      </c>
      <c r="AE26" s="26" t="s">
        <v>3</v>
      </c>
      <c r="AF26" s="26" t="s">
        <v>3</v>
      </c>
      <c r="AG26" s="26" t="s">
        <v>3</v>
      </c>
      <c r="AH26" s="8">
        <f t="shared" si="8"/>
        <v>19</v>
      </c>
      <c r="AI26" s="8">
        <f t="shared" si="9"/>
        <v>3</v>
      </c>
      <c r="AJ26" s="8">
        <f t="shared" si="10"/>
        <v>0</v>
      </c>
      <c r="AK26" s="62">
        <v>1</v>
      </c>
      <c r="AL26" s="33">
        <f t="shared" si="11"/>
        <v>19.5</v>
      </c>
      <c r="AM26" s="63">
        <f t="shared" si="12"/>
        <v>176</v>
      </c>
      <c r="AN26" s="63">
        <f t="shared" si="13"/>
        <v>2</v>
      </c>
      <c r="AO26" s="63">
        <f t="shared" si="14"/>
        <v>8</v>
      </c>
      <c r="AP26" s="53">
        <f t="shared" si="15"/>
        <v>18.5</v>
      </c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</row>
    <row r="27" spans="1:55" ht="22" customHeight="1" x14ac:dyDescent="0.35">
      <c r="A27" s="8" t="s">
        <v>83</v>
      </c>
      <c r="B27" s="8" t="s">
        <v>84</v>
      </c>
      <c r="C27" s="8" t="s">
        <v>74</v>
      </c>
      <c r="D27" s="22" t="s">
        <v>5</v>
      </c>
      <c r="E27" s="22" t="s">
        <v>5</v>
      </c>
      <c r="F27" s="22" t="s">
        <v>5</v>
      </c>
      <c r="G27" s="22" t="s">
        <v>5</v>
      </c>
      <c r="H27" s="23" t="s">
        <v>7</v>
      </c>
      <c r="I27" s="24" t="s">
        <v>9</v>
      </c>
      <c r="J27" s="22" t="s">
        <v>5</v>
      </c>
      <c r="K27" s="22" t="s">
        <v>5</v>
      </c>
      <c r="L27" s="22" t="s">
        <v>5</v>
      </c>
      <c r="M27" s="22" t="s">
        <v>5</v>
      </c>
      <c r="N27" s="22" t="s">
        <v>5</v>
      </c>
      <c r="O27" s="23" t="s">
        <v>7</v>
      </c>
      <c r="P27" s="24" t="s">
        <v>9</v>
      </c>
      <c r="Q27" s="22" t="s">
        <v>5</v>
      </c>
      <c r="R27" s="22" t="s">
        <v>5</v>
      </c>
      <c r="S27" s="22" t="s">
        <v>5</v>
      </c>
      <c r="T27" s="22" t="s">
        <v>5</v>
      </c>
      <c r="U27" s="22" t="s">
        <v>5</v>
      </c>
      <c r="V27" s="23" t="s">
        <v>7</v>
      </c>
      <c r="W27" s="24" t="s">
        <v>9</v>
      </c>
      <c r="X27" s="22" t="s">
        <v>5</v>
      </c>
      <c r="Y27" s="22" t="s">
        <v>5</v>
      </c>
      <c r="Z27" s="22" t="s">
        <v>5</v>
      </c>
      <c r="AA27" s="22" t="s">
        <v>5</v>
      </c>
      <c r="AB27" s="22" t="s">
        <v>5</v>
      </c>
      <c r="AC27" s="23" t="s">
        <v>7</v>
      </c>
      <c r="AD27" s="24" t="s">
        <v>9</v>
      </c>
      <c r="AE27" s="26" t="s">
        <v>3</v>
      </c>
      <c r="AF27" s="26" t="s">
        <v>3</v>
      </c>
      <c r="AG27" s="26" t="s">
        <v>3</v>
      </c>
      <c r="AH27" s="8">
        <f t="shared" si="8"/>
        <v>3</v>
      </c>
      <c r="AI27" s="25">
        <f t="shared" si="9"/>
        <v>19</v>
      </c>
      <c r="AJ27" s="8">
        <f t="shared" si="10"/>
        <v>0</v>
      </c>
      <c r="AK27" s="62">
        <v>0</v>
      </c>
      <c r="AL27" s="33">
        <f t="shared" si="11"/>
        <v>3</v>
      </c>
      <c r="AM27" s="63">
        <f t="shared" si="12"/>
        <v>176</v>
      </c>
      <c r="AN27" s="63">
        <f t="shared" si="13"/>
        <v>0</v>
      </c>
      <c r="AO27" s="63">
        <f t="shared" si="14"/>
        <v>0</v>
      </c>
      <c r="AP27" s="53">
        <f t="shared" si="15"/>
        <v>3</v>
      </c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</row>
    <row r="28" spans="1:55" ht="22" customHeight="1" x14ac:dyDescent="0.35">
      <c r="A28" s="8" t="s">
        <v>85</v>
      </c>
      <c r="B28" s="8" t="s">
        <v>86</v>
      </c>
      <c r="C28" s="8" t="s">
        <v>74</v>
      </c>
      <c r="D28" s="26" t="s">
        <v>3</v>
      </c>
      <c r="E28" s="26" t="s">
        <v>3</v>
      </c>
      <c r="F28" s="22" t="s">
        <v>5</v>
      </c>
      <c r="G28" s="22" t="s">
        <v>5</v>
      </c>
      <c r="H28" s="27" t="s">
        <v>7</v>
      </c>
      <c r="I28" s="28" t="s">
        <v>11</v>
      </c>
      <c r="J28" s="26" t="s">
        <v>3</v>
      </c>
      <c r="K28" s="26" t="s">
        <v>3</v>
      </c>
      <c r="L28" s="26" t="s">
        <v>3</v>
      </c>
      <c r="M28" s="26" t="s">
        <v>3</v>
      </c>
      <c r="N28" s="26" t="s">
        <v>3</v>
      </c>
      <c r="O28" s="27" t="s">
        <v>7</v>
      </c>
      <c r="P28" s="28" t="s">
        <v>11</v>
      </c>
      <c r="Q28" s="26" t="s">
        <v>3</v>
      </c>
      <c r="R28" s="26" t="s">
        <v>3</v>
      </c>
      <c r="S28" s="26" t="s">
        <v>3</v>
      </c>
      <c r="T28" s="26" t="s">
        <v>3</v>
      </c>
      <c r="U28" s="26" t="s">
        <v>3</v>
      </c>
      <c r="V28" s="27" t="s">
        <v>7</v>
      </c>
      <c r="W28" s="24" t="s">
        <v>9</v>
      </c>
      <c r="X28" s="26" t="s">
        <v>3</v>
      </c>
      <c r="Y28" s="26" t="s">
        <v>3</v>
      </c>
      <c r="Z28" s="26" t="s">
        <v>3</v>
      </c>
      <c r="AA28" s="26" t="s">
        <v>3</v>
      </c>
      <c r="AB28" s="26" t="s">
        <v>3</v>
      </c>
      <c r="AC28" s="27" t="s">
        <v>7</v>
      </c>
      <c r="AD28" s="28" t="s">
        <v>11</v>
      </c>
      <c r="AE28" s="26" t="s">
        <v>3</v>
      </c>
      <c r="AF28" s="26" t="s">
        <v>3</v>
      </c>
      <c r="AG28" s="26" t="s">
        <v>3</v>
      </c>
      <c r="AH28" s="8">
        <f t="shared" si="8"/>
        <v>20</v>
      </c>
      <c r="AI28" s="8">
        <f t="shared" si="9"/>
        <v>2</v>
      </c>
      <c r="AJ28" s="29">
        <f t="shared" si="10"/>
        <v>3</v>
      </c>
      <c r="AK28" s="62">
        <v>4</v>
      </c>
      <c r="AL28" s="33">
        <f t="shared" si="11"/>
        <v>25</v>
      </c>
      <c r="AM28" s="63">
        <f t="shared" si="12"/>
        <v>176</v>
      </c>
      <c r="AN28" s="63">
        <f t="shared" si="13"/>
        <v>0</v>
      </c>
      <c r="AO28" s="63">
        <f t="shared" si="14"/>
        <v>0</v>
      </c>
      <c r="AP28" s="53">
        <f t="shared" si="15"/>
        <v>25</v>
      </c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</row>
    <row r="29" spans="1:55" ht="22" customHeight="1" x14ac:dyDescent="0.35">
      <c r="A29" s="8" t="s">
        <v>87</v>
      </c>
      <c r="B29" s="8" t="s">
        <v>88</v>
      </c>
      <c r="C29" s="8" t="s">
        <v>74</v>
      </c>
      <c r="D29" s="26" t="s">
        <v>3</v>
      </c>
      <c r="E29" s="26" t="s">
        <v>3</v>
      </c>
      <c r="F29" s="26" t="s">
        <v>3</v>
      </c>
      <c r="G29" s="26" t="s">
        <v>3</v>
      </c>
      <c r="H29" s="27" t="s">
        <v>7</v>
      </c>
      <c r="I29" s="24" t="s">
        <v>9</v>
      </c>
      <c r="J29" s="26" t="s">
        <v>3</v>
      </c>
      <c r="K29" s="26" t="s">
        <v>3</v>
      </c>
      <c r="L29" s="26" t="s">
        <v>3</v>
      </c>
      <c r="M29" s="26" t="s">
        <v>3</v>
      </c>
      <c r="N29" s="26" t="s">
        <v>3</v>
      </c>
      <c r="O29" s="23" t="s">
        <v>7</v>
      </c>
      <c r="P29" s="24" t="s">
        <v>9</v>
      </c>
      <c r="Q29" s="26" t="s">
        <v>3</v>
      </c>
      <c r="R29" s="26" t="s">
        <v>3</v>
      </c>
      <c r="S29" s="26" t="s">
        <v>3</v>
      </c>
      <c r="T29" s="26" t="s">
        <v>3</v>
      </c>
      <c r="U29" s="22" t="s">
        <v>5</v>
      </c>
      <c r="V29" s="27" t="s">
        <v>7</v>
      </c>
      <c r="W29" s="24" t="s">
        <v>9</v>
      </c>
      <c r="X29" s="26" t="s">
        <v>3</v>
      </c>
      <c r="Y29" s="26" t="s">
        <v>3</v>
      </c>
      <c r="Z29" s="26" t="s">
        <v>3</v>
      </c>
      <c r="AA29" s="26" t="s">
        <v>3</v>
      </c>
      <c r="AB29" s="26" t="s">
        <v>3</v>
      </c>
      <c r="AC29" s="23" t="s">
        <v>7</v>
      </c>
      <c r="AD29" s="24" t="s">
        <v>9</v>
      </c>
      <c r="AE29" s="26" t="s">
        <v>3</v>
      </c>
      <c r="AF29" s="26" t="s">
        <v>3</v>
      </c>
      <c r="AG29" s="26" t="s">
        <v>3</v>
      </c>
      <c r="AH29" s="8">
        <f t="shared" si="8"/>
        <v>21</v>
      </c>
      <c r="AI29" s="8">
        <f t="shared" si="9"/>
        <v>1</v>
      </c>
      <c r="AJ29" s="8">
        <f t="shared" si="10"/>
        <v>0</v>
      </c>
      <c r="AK29" s="62">
        <v>2</v>
      </c>
      <c r="AL29" s="33">
        <f t="shared" si="11"/>
        <v>22</v>
      </c>
      <c r="AM29" s="63">
        <f t="shared" si="12"/>
        <v>176</v>
      </c>
      <c r="AN29" s="63">
        <f t="shared" si="13"/>
        <v>1</v>
      </c>
      <c r="AO29" s="63">
        <f t="shared" si="14"/>
        <v>4</v>
      </c>
      <c r="AP29" s="53">
        <f t="shared" si="15"/>
        <v>21.5</v>
      </c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</row>
    <row r="30" spans="1:55" ht="22" customHeight="1" x14ac:dyDescent="0.35">
      <c r="A30" s="8" t="s">
        <v>89</v>
      </c>
      <c r="B30" s="8" t="s">
        <v>90</v>
      </c>
      <c r="C30" s="8" t="s">
        <v>74</v>
      </c>
      <c r="D30" s="22" t="s">
        <v>5</v>
      </c>
      <c r="E30" s="22" t="s">
        <v>5</v>
      </c>
      <c r="F30" s="22" t="s">
        <v>5</v>
      </c>
      <c r="G30" s="22" t="s">
        <v>5</v>
      </c>
      <c r="H30" s="23" t="s">
        <v>7</v>
      </c>
      <c r="I30" s="24" t="s">
        <v>9</v>
      </c>
      <c r="J30" s="22" t="s">
        <v>5</v>
      </c>
      <c r="K30" s="22" t="s">
        <v>5</v>
      </c>
      <c r="L30" s="22" t="s">
        <v>5</v>
      </c>
      <c r="M30" s="22" t="s">
        <v>5</v>
      </c>
      <c r="N30" s="22" t="s">
        <v>5</v>
      </c>
      <c r="O30" s="23" t="s">
        <v>7</v>
      </c>
      <c r="P30" s="24" t="s">
        <v>9</v>
      </c>
      <c r="Q30" s="22" t="s">
        <v>5</v>
      </c>
      <c r="R30" s="22" t="s">
        <v>5</v>
      </c>
      <c r="S30" s="22" t="s">
        <v>5</v>
      </c>
      <c r="T30" s="22" t="s">
        <v>5</v>
      </c>
      <c r="U30" s="22" t="s">
        <v>5</v>
      </c>
      <c r="V30" s="23" t="s">
        <v>7</v>
      </c>
      <c r="W30" s="24" t="s">
        <v>9</v>
      </c>
      <c r="X30" s="22" t="s">
        <v>5</v>
      </c>
      <c r="Y30" s="22" t="s">
        <v>5</v>
      </c>
      <c r="Z30" s="22" t="s">
        <v>5</v>
      </c>
      <c r="AA30" s="22" t="s">
        <v>5</v>
      </c>
      <c r="AB30" s="22" t="s">
        <v>5</v>
      </c>
      <c r="AC30" s="23" t="s">
        <v>7</v>
      </c>
      <c r="AD30" s="24" t="s">
        <v>9</v>
      </c>
      <c r="AE30" s="26" t="s">
        <v>3</v>
      </c>
      <c r="AF30" s="26" t="s">
        <v>3</v>
      </c>
      <c r="AG30" s="26" t="s">
        <v>3</v>
      </c>
      <c r="AH30" s="8">
        <f t="shared" si="8"/>
        <v>3</v>
      </c>
      <c r="AI30" s="25">
        <f t="shared" si="9"/>
        <v>19</v>
      </c>
      <c r="AJ30" s="8">
        <f t="shared" si="10"/>
        <v>0</v>
      </c>
      <c r="AK30" s="62">
        <v>0</v>
      </c>
      <c r="AL30" s="33">
        <f t="shared" si="11"/>
        <v>3</v>
      </c>
      <c r="AM30" s="63">
        <f t="shared" si="12"/>
        <v>176</v>
      </c>
      <c r="AN30" s="63">
        <f t="shared" si="13"/>
        <v>0</v>
      </c>
      <c r="AO30" s="63">
        <f t="shared" si="14"/>
        <v>0</v>
      </c>
      <c r="AP30" s="53">
        <f t="shared" si="15"/>
        <v>3</v>
      </c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</row>
    <row r="31" spans="1:55" ht="22" customHeight="1" x14ac:dyDescent="0.35">
      <c r="A31" s="8" t="s">
        <v>91</v>
      </c>
      <c r="B31" s="8" t="s">
        <v>92</v>
      </c>
      <c r="C31" s="8" t="s">
        <v>74</v>
      </c>
      <c r="D31" s="26" t="s">
        <v>3</v>
      </c>
      <c r="E31" s="26" t="s">
        <v>3</v>
      </c>
      <c r="F31" s="26" t="s">
        <v>3</v>
      </c>
      <c r="G31" s="26" t="s">
        <v>3</v>
      </c>
      <c r="H31" s="27" t="s">
        <v>7</v>
      </c>
      <c r="I31" s="24" t="s">
        <v>9</v>
      </c>
      <c r="J31" s="22" t="s">
        <v>5</v>
      </c>
      <c r="K31" s="26" t="s">
        <v>3</v>
      </c>
      <c r="L31" s="26" t="s">
        <v>3</v>
      </c>
      <c r="M31" s="26" t="s">
        <v>3</v>
      </c>
      <c r="N31" s="26" t="s">
        <v>3</v>
      </c>
      <c r="O31" s="27" t="s">
        <v>7</v>
      </c>
      <c r="P31" s="28" t="s">
        <v>11</v>
      </c>
      <c r="Q31" s="26" t="s">
        <v>3</v>
      </c>
      <c r="R31" s="26" t="s">
        <v>3</v>
      </c>
      <c r="S31" s="26" t="s">
        <v>3</v>
      </c>
      <c r="T31" s="26" t="s">
        <v>3</v>
      </c>
      <c r="U31" s="22" t="s">
        <v>5</v>
      </c>
      <c r="V31" s="23" t="s">
        <v>7</v>
      </c>
      <c r="W31" s="24" t="s">
        <v>9</v>
      </c>
      <c r="X31" s="22" t="s">
        <v>5</v>
      </c>
      <c r="Y31" s="26" t="s">
        <v>3</v>
      </c>
      <c r="Z31" s="26" t="s">
        <v>3</v>
      </c>
      <c r="AA31" s="26" t="s">
        <v>3</v>
      </c>
      <c r="AB31" s="26" t="s">
        <v>3</v>
      </c>
      <c r="AC31" s="27" t="s">
        <v>7</v>
      </c>
      <c r="AD31" s="28" t="s">
        <v>11</v>
      </c>
      <c r="AE31" s="26" t="s">
        <v>3</v>
      </c>
      <c r="AF31" s="26" t="s">
        <v>3</v>
      </c>
      <c r="AG31" s="22" t="s">
        <v>5</v>
      </c>
      <c r="AH31" s="8">
        <f t="shared" si="8"/>
        <v>18</v>
      </c>
      <c r="AI31" s="8">
        <f t="shared" si="9"/>
        <v>4</v>
      </c>
      <c r="AJ31" s="29">
        <f t="shared" si="10"/>
        <v>2</v>
      </c>
      <c r="AK31" s="62">
        <v>3</v>
      </c>
      <c r="AL31" s="33">
        <f t="shared" si="11"/>
        <v>21.5</v>
      </c>
      <c r="AM31" s="63">
        <f t="shared" si="12"/>
        <v>176</v>
      </c>
      <c r="AN31" s="63">
        <f t="shared" si="13"/>
        <v>0</v>
      </c>
      <c r="AO31" s="63">
        <f t="shared" si="14"/>
        <v>0</v>
      </c>
      <c r="AP31" s="53">
        <f t="shared" si="15"/>
        <v>21.5</v>
      </c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</row>
    <row r="32" spans="1:55" ht="22" customHeight="1" x14ac:dyDescent="0.35">
      <c r="A32" s="8" t="s">
        <v>93</v>
      </c>
      <c r="B32" s="8" t="s">
        <v>94</v>
      </c>
      <c r="C32" s="8" t="s">
        <v>74</v>
      </c>
      <c r="D32" s="26" t="s">
        <v>3</v>
      </c>
      <c r="E32" s="26" t="s">
        <v>3</v>
      </c>
      <c r="F32" s="26" t="s">
        <v>3</v>
      </c>
      <c r="G32" s="26" t="s">
        <v>3</v>
      </c>
      <c r="H32" s="27" t="s">
        <v>7</v>
      </c>
      <c r="I32" s="24" t="s">
        <v>9</v>
      </c>
      <c r="J32" s="22" t="s">
        <v>5</v>
      </c>
      <c r="K32" s="26" t="s">
        <v>3</v>
      </c>
      <c r="L32" s="26" t="s">
        <v>3</v>
      </c>
      <c r="M32" s="26" t="s">
        <v>3</v>
      </c>
      <c r="N32" s="26" t="s">
        <v>3</v>
      </c>
      <c r="O32" s="27" t="s">
        <v>7</v>
      </c>
      <c r="P32" s="28" t="s">
        <v>11</v>
      </c>
      <c r="Q32" s="26" t="s">
        <v>3</v>
      </c>
      <c r="R32" s="26" t="s">
        <v>3</v>
      </c>
      <c r="S32" s="26" t="s">
        <v>3</v>
      </c>
      <c r="T32" s="26" t="s">
        <v>3</v>
      </c>
      <c r="U32" s="22" t="s">
        <v>5</v>
      </c>
      <c r="V32" s="27" t="s">
        <v>7</v>
      </c>
      <c r="W32" s="24" t="s">
        <v>9</v>
      </c>
      <c r="X32" s="26" t="s">
        <v>3</v>
      </c>
      <c r="Y32" s="26" t="s">
        <v>3</v>
      </c>
      <c r="Z32" s="26" t="s">
        <v>3</v>
      </c>
      <c r="AA32" s="26" t="s">
        <v>3</v>
      </c>
      <c r="AB32" s="26" t="s">
        <v>3</v>
      </c>
      <c r="AC32" s="27" t="s">
        <v>7</v>
      </c>
      <c r="AD32" s="28" t="s">
        <v>11</v>
      </c>
      <c r="AE32" s="26" t="s">
        <v>3</v>
      </c>
      <c r="AF32" s="26" t="s">
        <v>3</v>
      </c>
      <c r="AG32" s="22" t="s">
        <v>5</v>
      </c>
      <c r="AH32" s="8">
        <f t="shared" si="8"/>
        <v>19</v>
      </c>
      <c r="AI32" s="8">
        <f t="shared" si="9"/>
        <v>3</v>
      </c>
      <c r="AJ32" s="29">
        <f t="shared" si="10"/>
        <v>2</v>
      </c>
      <c r="AK32" s="62">
        <v>4</v>
      </c>
      <c r="AL32" s="33">
        <f t="shared" si="11"/>
        <v>23</v>
      </c>
      <c r="AM32" s="63">
        <f t="shared" si="12"/>
        <v>176</v>
      </c>
      <c r="AN32" s="63">
        <f t="shared" si="13"/>
        <v>0</v>
      </c>
      <c r="AO32" s="63">
        <f t="shared" si="14"/>
        <v>0</v>
      </c>
      <c r="AP32" s="53">
        <f t="shared" si="15"/>
        <v>23</v>
      </c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</row>
    <row r="33" spans="1:55" ht="22" customHeight="1" x14ac:dyDescent="0.35">
      <c r="A33" s="8" t="s">
        <v>95</v>
      </c>
      <c r="B33" s="8" t="s">
        <v>96</v>
      </c>
      <c r="C33" s="8" t="s">
        <v>74</v>
      </c>
      <c r="D33" s="22" t="s">
        <v>5</v>
      </c>
      <c r="E33" s="22" t="s">
        <v>5</v>
      </c>
      <c r="F33" s="22" t="s">
        <v>5</v>
      </c>
      <c r="G33" s="26" t="s">
        <v>3</v>
      </c>
      <c r="H33" s="27" t="s">
        <v>7</v>
      </c>
      <c r="I33" s="24" t="s">
        <v>9</v>
      </c>
      <c r="J33" s="26" t="s">
        <v>3</v>
      </c>
      <c r="K33" s="26" t="s">
        <v>3</v>
      </c>
      <c r="L33" s="26" t="s">
        <v>3</v>
      </c>
      <c r="M33" s="26" t="s">
        <v>3</v>
      </c>
      <c r="N33" s="26" t="s">
        <v>3</v>
      </c>
      <c r="O33" s="27" t="s">
        <v>7</v>
      </c>
      <c r="P33" s="28" t="s">
        <v>11</v>
      </c>
      <c r="Q33" s="26" t="s">
        <v>3</v>
      </c>
      <c r="R33" s="26" t="s">
        <v>3</v>
      </c>
      <c r="S33" s="26" t="s">
        <v>3</v>
      </c>
      <c r="T33" s="26" t="s">
        <v>3</v>
      </c>
      <c r="U33" s="22" t="s">
        <v>5</v>
      </c>
      <c r="V33" s="23" t="s">
        <v>7</v>
      </c>
      <c r="W33" s="24" t="s">
        <v>9</v>
      </c>
      <c r="X33" s="22" t="s">
        <v>5</v>
      </c>
      <c r="Y33" s="26" t="s">
        <v>3</v>
      </c>
      <c r="Z33" s="26" t="s">
        <v>3</v>
      </c>
      <c r="AA33" s="26" t="s">
        <v>3</v>
      </c>
      <c r="AB33" s="26" t="s">
        <v>3</v>
      </c>
      <c r="AC33" s="27" t="s">
        <v>7</v>
      </c>
      <c r="AD33" s="28" t="s">
        <v>11</v>
      </c>
      <c r="AE33" s="26" t="s">
        <v>3</v>
      </c>
      <c r="AF33" s="26" t="s">
        <v>3</v>
      </c>
      <c r="AG33" s="26" t="s">
        <v>3</v>
      </c>
      <c r="AH33" s="8">
        <f t="shared" si="8"/>
        <v>17</v>
      </c>
      <c r="AI33" s="8">
        <f t="shared" si="9"/>
        <v>5</v>
      </c>
      <c r="AJ33" s="29">
        <f t="shared" si="10"/>
        <v>2</v>
      </c>
      <c r="AK33" s="62">
        <v>3</v>
      </c>
      <c r="AL33" s="33">
        <f t="shared" si="11"/>
        <v>20.5</v>
      </c>
      <c r="AM33" s="63">
        <f t="shared" si="12"/>
        <v>176</v>
      </c>
      <c r="AN33" s="63">
        <f t="shared" si="13"/>
        <v>0</v>
      </c>
      <c r="AO33" s="63">
        <f t="shared" si="14"/>
        <v>0</v>
      </c>
      <c r="AP33" s="53">
        <f t="shared" si="15"/>
        <v>20.5</v>
      </c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</row>
    <row r="34" spans="1:55" ht="22" customHeight="1" x14ac:dyDescent="0.35">
      <c r="A34" s="8" t="s">
        <v>97</v>
      </c>
      <c r="B34" s="8" t="s">
        <v>98</v>
      </c>
      <c r="C34" s="8" t="s">
        <v>74</v>
      </c>
      <c r="D34" s="22" t="s">
        <v>5</v>
      </c>
      <c r="E34" s="22" t="s">
        <v>5</v>
      </c>
      <c r="F34" s="22" t="s">
        <v>5</v>
      </c>
      <c r="G34" s="22" t="s">
        <v>5</v>
      </c>
      <c r="H34" s="23" t="s">
        <v>7</v>
      </c>
      <c r="I34" s="24" t="s">
        <v>9</v>
      </c>
      <c r="J34" s="22" t="s">
        <v>5</v>
      </c>
      <c r="K34" s="22" t="s">
        <v>5</v>
      </c>
      <c r="L34" s="22" t="s">
        <v>5</v>
      </c>
      <c r="M34" s="22" t="s">
        <v>5</v>
      </c>
      <c r="N34" s="22" t="s">
        <v>5</v>
      </c>
      <c r="O34" s="23" t="s">
        <v>7</v>
      </c>
      <c r="P34" s="24" t="s">
        <v>9</v>
      </c>
      <c r="Q34" s="22" t="s">
        <v>5</v>
      </c>
      <c r="R34" s="22" t="s">
        <v>5</v>
      </c>
      <c r="S34" s="22" t="s">
        <v>5</v>
      </c>
      <c r="T34" s="22" t="s">
        <v>5</v>
      </c>
      <c r="U34" s="22" t="s">
        <v>5</v>
      </c>
      <c r="V34" s="23" t="s">
        <v>7</v>
      </c>
      <c r="W34" s="24" t="s">
        <v>9</v>
      </c>
      <c r="X34" s="22" t="s">
        <v>5</v>
      </c>
      <c r="Y34" s="22" t="s">
        <v>5</v>
      </c>
      <c r="Z34" s="22" t="s">
        <v>5</v>
      </c>
      <c r="AA34" s="22" t="s">
        <v>5</v>
      </c>
      <c r="AB34" s="22" t="s">
        <v>5</v>
      </c>
      <c r="AC34" s="23" t="s">
        <v>7</v>
      </c>
      <c r="AD34" s="24" t="s">
        <v>9</v>
      </c>
      <c r="AE34" s="22" t="s">
        <v>5</v>
      </c>
      <c r="AF34" s="22" t="s">
        <v>5</v>
      </c>
      <c r="AG34" s="22" t="s">
        <v>5</v>
      </c>
      <c r="AH34" s="8">
        <f t="shared" si="8"/>
        <v>0</v>
      </c>
      <c r="AI34" s="25">
        <f t="shared" si="9"/>
        <v>22</v>
      </c>
      <c r="AJ34" s="8">
        <f t="shared" si="10"/>
        <v>0</v>
      </c>
      <c r="AK34" s="62">
        <v>0</v>
      </c>
      <c r="AL34" s="33">
        <f t="shared" si="11"/>
        <v>0</v>
      </c>
      <c r="AM34" s="63">
        <f t="shared" si="12"/>
        <v>176</v>
      </c>
      <c r="AN34" s="63">
        <f t="shared" si="13"/>
        <v>0</v>
      </c>
      <c r="AO34" s="63">
        <f t="shared" si="14"/>
        <v>0</v>
      </c>
      <c r="AP34" s="53">
        <f t="shared" si="15"/>
        <v>0</v>
      </c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</row>
    <row r="35" spans="1:55" ht="22" customHeight="1" x14ac:dyDescent="0.35">
      <c r="A35" s="8" t="s">
        <v>99</v>
      </c>
      <c r="B35" s="8" t="s">
        <v>100</v>
      </c>
      <c r="C35" s="8" t="s">
        <v>74</v>
      </c>
      <c r="D35" s="26" t="s">
        <v>3</v>
      </c>
      <c r="E35" s="26" t="s">
        <v>3</v>
      </c>
      <c r="F35" s="26" t="s">
        <v>3</v>
      </c>
      <c r="G35" s="26" t="s">
        <v>3</v>
      </c>
      <c r="H35" s="23" t="s">
        <v>7</v>
      </c>
      <c r="I35" s="24" t="s">
        <v>9</v>
      </c>
      <c r="J35" s="22" t="s">
        <v>5</v>
      </c>
      <c r="K35" s="22" t="s">
        <v>5</v>
      </c>
      <c r="L35" s="22" t="s">
        <v>5</v>
      </c>
      <c r="M35" s="22" t="s">
        <v>5</v>
      </c>
      <c r="N35" s="22" t="s">
        <v>5</v>
      </c>
      <c r="O35" s="23" t="s">
        <v>7</v>
      </c>
      <c r="P35" s="24" t="s">
        <v>9</v>
      </c>
      <c r="Q35" s="22" t="s">
        <v>5</v>
      </c>
      <c r="R35" s="22" t="s">
        <v>5</v>
      </c>
      <c r="S35" s="22" t="s">
        <v>5</v>
      </c>
      <c r="T35" s="22" t="s">
        <v>5</v>
      </c>
      <c r="U35" s="22" t="s">
        <v>5</v>
      </c>
      <c r="V35" s="23" t="s">
        <v>7</v>
      </c>
      <c r="W35" s="24" t="s">
        <v>9</v>
      </c>
      <c r="X35" s="22" t="s">
        <v>5</v>
      </c>
      <c r="Y35" s="22" t="s">
        <v>5</v>
      </c>
      <c r="Z35" s="22" t="s">
        <v>5</v>
      </c>
      <c r="AA35" s="22" t="s">
        <v>5</v>
      </c>
      <c r="AB35" s="22" t="s">
        <v>5</v>
      </c>
      <c r="AC35" s="23" t="s">
        <v>7</v>
      </c>
      <c r="AD35" s="24" t="s">
        <v>9</v>
      </c>
      <c r="AE35" s="22" t="s">
        <v>5</v>
      </c>
      <c r="AF35" s="22" t="s">
        <v>5</v>
      </c>
      <c r="AG35" s="22" t="s">
        <v>5</v>
      </c>
      <c r="AH35" s="8">
        <f t="shared" si="8"/>
        <v>4</v>
      </c>
      <c r="AI35" s="25">
        <f t="shared" si="9"/>
        <v>18</v>
      </c>
      <c r="AJ35" s="8">
        <f t="shared" si="10"/>
        <v>0</v>
      </c>
      <c r="AK35" s="62">
        <v>0</v>
      </c>
      <c r="AL35" s="33">
        <f t="shared" si="11"/>
        <v>4</v>
      </c>
      <c r="AM35" s="63">
        <f t="shared" si="12"/>
        <v>176</v>
      </c>
      <c r="AN35" s="63">
        <f t="shared" si="13"/>
        <v>1</v>
      </c>
      <c r="AO35" s="63">
        <f t="shared" si="14"/>
        <v>4</v>
      </c>
      <c r="AP35" s="53">
        <f t="shared" si="15"/>
        <v>3.5</v>
      </c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</row>
    <row r="36" spans="1:55" x14ac:dyDescent="0.35"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</row>
    <row r="37" spans="1:55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</row>
    <row r="38" spans="1:55" ht="22" customHeight="1" x14ac:dyDescent="0.35">
      <c r="A38" s="8" t="s">
        <v>102</v>
      </c>
      <c r="B38" s="8" t="s">
        <v>103</v>
      </c>
      <c r="C38" s="8" t="s">
        <v>104</v>
      </c>
      <c r="D38" s="26" t="s">
        <v>3</v>
      </c>
      <c r="E38" s="26" t="s">
        <v>3</v>
      </c>
      <c r="F38" s="26" t="s">
        <v>3</v>
      </c>
      <c r="G38" s="22" t="s">
        <v>5</v>
      </c>
      <c r="H38" s="23" t="s">
        <v>7</v>
      </c>
      <c r="I38" s="24" t="s">
        <v>9</v>
      </c>
      <c r="J38" s="22" t="s">
        <v>5</v>
      </c>
      <c r="K38" s="22" t="s">
        <v>5</v>
      </c>
      <c r="L38" s="22" t="s">
        <v>5</v>
      </c>
      <c r="M38" s="22" t="s">
        <v>5</v>
      </c>
      <c r="N38" s="22" t="s">
        <v>5</v>
      </c>
      <c r="O38" s="23" t="s">
        <v>7</v>
      </c>
      <c r="P38" s="24" t="s">
        <v>9</v>
      </c>
      <c r="Q38" s="22" t="s">
        <v>5</v>
      </c>
      <c r="R38" s="22" t="s">
        <v>5</v>
      </c>
      <c r="S38" s="22" t="s">
        <v>5</v>
      </c>
      <c r="T38" s="22" t="s">
        <v>5</v>
      </c>
      <c r="U38" s="22" t="s">
        <v>5</v>
      </c>
      <c r="V38" s="23" t="s">
        <v>7</v>
      </c>
      <c r="W38" s="24" t="s">
        <v>9</v>
      </c>
      <c r="X38" s="22" t="s">
        <v>5</v>
      </c>
      <c r="Y38" s="22" t="s">
        <v>5</v>
      </c>
      <c r="Z38" s="22" t="s">
        <v>5</v>
      </c>
      <c r="AA38" s="22" t="s">
        <v>5</v>
      </c>
      <c r="AB38" s="22" t="s">
        <v>5</v>
      </c>
      <c r="AC38" s="23" t="s">
        <v>7</v>
      </c>
      <c r="AD38" s="24" t="s">
        <v>9</v>
      </c>
      <c r="AE38" s="22" t="s">
        <v>5</v>
      </c>
      <c r="AF38" s="22" t="s">
        <v>5</v>
      </c>
      <c r="AG38" s="22" t="s">
        <v>5</v>
      </c>
      <c r="AH38" s="8">
        <f t="shared" ref="AH38:AH74" si="16">COUNTIF(D38:AG38,"ON")</f>
        <v>3</v>
      </c>
      <c r="AI38" s="25">
        <f t="shared" ref="AI38:AI74" si="17">COUNTIF(D38:AG38,"OFF")</f>
        <v>19</v>
      </c>
      <c r="AJ38" s="8">
        <f t="shared" ref="AJ38:AJ74" si="18">COUNTIF(D38:AG38,"OT")</f>
        <v>0</v>
      </c>
      <c r="AK38" s="62">
        <v>0</v>
      </c>
      <c r="AL38" s="33">
        <f t="shared" ref="AL38:AL74" si="19">AH38+AJ38+AK38*0.5</f>
        <v>3</v>
      </c>
      <c r="AM38" s="63">
        <f t="shared" ref="AM38:AM74" si="20">NETWORKDAYS(DATE(2025,4,1),EOMONTH(DATE(2025,4,1),0))*8</f>
        <v>176</v>
      </c>
      <c r="AN38" s="63">
        <f t="shared" ref="AN38:AN74" si="21">MAX(0,COUNTIF(G38,"ON")+COUNTIF(N38,"ON")+COUNTIF(U38,"ON")+COUNTIF(AB38,"ON")-AK38)</f>
        <v>0</v>
      </c>
      <c r="AO38" s="63">
        <f t="shared" ref="AO38:AO74" si="22">AN38*$AO$2</f>
        <v>0</v>
      </c>
      <c r="AP38" s="53">
        <f t="shared" ref="AP38:AP74" si="23">AL38-AO38/8</f>
        <v>3</v>
      </c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</row>
    <row r="39" spans="1:55" ht="22" customHeight="1" x14ac:dyDescent="0.35">
      <c r="A39" s="8" t="s">
        <v>105</v>
      </c>
      <c r="B39" s="8" t="s">
        <v>106</v>
      </c>
      <c r="C39" s="8" t="s">
        <v>104</v>
      </c>
      <c r="D39" s="22" t="s">
        <v>5</v>
      </c>
      <c r="E39" s="22" t="s">
        <v>5</v>
      </c>
      <c r="F39" s="22" t="s">
        <v>5</v>
      </c>
      <c r="G39" s="22" t="s">
        <v>5</v>
      </c>
      <c r="H39" s="23" t="s">
        <v>7</v>
      </c>
      <c r="I39" s="24" t="s">
        <v>9</v>
      </c>
      <c r="J39" s="22" t="s">
        <v>5</v>
      </c>
      <c r="K39" s="22" t="s">
        <v>5</v>
      </c>
      <c r="L39" s="22" t="s">
        <v>5</v>
      </c>
      <c r="M39" s="22" t="s">
        <v>5</v>
      </c>
      <c r="N39" s="22" t="s">
        <v>5</v>
      </c>
      <c r="O39" s="23" t="s">
        <v>7</v>
      </c>
      <c r="P39" s="24" t="s">
        <v>9</v>
      </c>
      <c r="Q39" s="22" t="s">
        <v>5</v>
      </c>
      <c r="R39" s="26" t="s">
        <v>3</v>
      </c>
      <c r="S39" s="26" t="s">
        <v>3</v>
      </c>
      <c r="T39" s="26" t="s">
        <v>3</v>
      </c>
      <c r="U39" s="22" t="s">
        <v>5</v>
      </c>
      <c r="V39" s="23" t="s">
        <v>7</v>
      </c>
      <c r="W39" s="24" t="s">
        <v>9</v>
      </c>
      <c r="X39" s="26" t="s">
        <v>3</v>
      </c>
      <c r="Y39" s="26" t="s">
        <v>3</v>
      </c>
      <c r="Z39" s="22" t="s">
        <v>5</v>
      </c>
      <c r="AA39" s="26" t="s">
        <v>3</v>
      </c>
      <c r="AB39" s="26" t="s">
        <v>3</v>
      </c>
      <c r="AC39" s="27" t="s">
        <v>7</v>
      </c>
      <c r="AD39" s="24" t="s">
        <v>9</v>
      </c>
      <c r="AE39" s="26" t="s">
        <v>3</v>
      </c>
      <c r="AF39" s="26" t="s">
        <v>3</v>
      </c>
      <c r="AG39" s="26" t="s">
        <v>3</v>
      </c>
      <c r="AH39" s="8">
        <f t="shared" si="16"/>
        <v>10</v>
      </c>
      <c r="AI39" s="25">
        <f t="shared" si="17"/>
        <v>12</v>
      </c>
      <c r="AJ39" s="8">
        <f t="shared" si="18"/>
        <v>0</v>
      </c>
      <c r="AK39" s="62">
        <v>1</v>
      </c>
      <c r="AL39" s="33">
        <f t="shared" si="19"/>
        <v>10.5</v>
      </c>
      <c r="AM39" s="63">
        <f t="shared" si="20"/>
        <v>176</v>
      </c>
      <c r="AN39" s="63">
        <f t="shared" si="21"/>
        <v>0</v>
      </c>
      <c r="AO39" s="63">
        <f t="shared" si="22"/>
        <v>0</v>
      </c>
      <c r="AP39" s="53">
        <f t="shared" si="23"/>
        <v>10.5</v>
      </c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</row>
    <row r="40" spans="1:55" ht="22" customHeight="1" x14ac:dyDescent="0.35">
      <c r="A40" s="8" t="s">
        <v>107</v>
      </c>
      <c r="B40" s="8" t="s">
        <v>108</v>
      </c>
      <c r="C40" s="8" t="s">
        <v>104</v>
      </c>
      <c r="D40" s="26" t="s">
        <v>3</v>
      </c>
      <c r="E40" s="26" t="s">
        <v>3</v>
      </c>
      <c r="F40" s="26" t="s">
        <v>3</v>
      </c>
      <c r="G40" s="26" t="s">
        <v>3</v>
      </c>
      <c r="H40" s="23" t="s">
        <v>7</v>
      </c>
      <c r="I40" s="24" t="s">
        <v>9</v>
      </c>
      <c r="J40" s="22" t="s">
        <v>5</v>
      </c>
      <c r="K40" s="22" t="s">
        <v>5</v>
      </c>
      <c r="L40" s="22" t="s">
        <v>5</v>
      </c>
      <c r="M40" s="22" t="s">
        <v>5</v>
      </c>
      <c r="N40" s="22" t="s">
        <v>5</v>
      </c>
      <c r="O40" s="23" t="s">
        <v>7</v>
      </c>
      <c r="P40" s="24" t="s">
        <v>9</v>
      </c>
      <c r="Q40" s="22" t="s">
        <v>5</v>
      </c>
      <c r="R40" s="26" t="s">
        <v>3</v>
      </c>
      <c r="S40" s="26" t="s">
        <v>3</v>
      </c>
      <c r="T40" s="22" t="s">
        <v>5</v>
      </c>
      <c r="U40" s="26" t="s">
        <v>3</v>
      </c>
      <c r="V40" s="27" t="s">
        <v>7</v>
      </c>
      <c r="W40" s="24" t="s">
        <v>9</v>
      </c>
      <c r="X40" s="26" t="s">
        <v>3</v>
      </c>
      <c r="Y40" s="26" t="s">
        <v>3</v>
      </c>
      <c r="Z40" s="26" t="s">
        <v>3</v>
      </c>
      <c r="AA40" s="26" t="s">
        <v>3</v>
      </c>
      <c r="AB40" s="26" t="s">
        <v>3</v>
      </c>
      <c r="AC40" s="23" t="s">
        <v>7</v>
      </c>
      <c r="AD40" s="24" t="s">
        <v>9</v>
      </c>
      <c r="AE40" s="26" t="s">
        <v>3</v>
      </c>
      <c r="AF40" s="26" t="s">
        <v>3</v>
      </c>
      <c r="AG40" s="26" t="s">
        <v>3</v>
      </c>
      <c r="AH40" s="8">
        <f t="shared" si="16"/>
        <v>15</v>
      </c>
      <c r="AI40" s="8">
        <f t="shared" si="17"/>
        <v>7</v>
      </c>
      <c r="AJ40" s="8">
        <f t="shared" si="18"/>
        <v>0</v>
      </c>
      <c r="AK40" s="62">
        <v>1</v>
      </c>
      <c r="AL40" s="33">
        <f t="shared" si="19"/>
        <v>15.5</v>
      </c>
      <c r="AM40" s="63">
        <f t="shared" si="20"/>
        <v>176</v>
      </c>
      <c r="AN40" s="63">
        <f t="shared" si="21"/>
        <v>2</v>
      </c>
      <c r="AO40" s="63">
        <f t="shared" si="22"/>
        <v>8</v>
      </c>
      <c r="AP40" s="53">
        <f t="shared" si="23"/>
        <v>14.5</v>
      </c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</row>
    <row r="41" spans="1:55" ht="22" customHeight="1" x14ac:dyDescent="0.35">
      <c r="A41" s="8" t="s">
        <v>109</v>
      </c>
      <c r="B41" s="8" t="s">
        <v>110</v>
      </c>
      <c r="C41" s="8" t="s">
        <v>104</v>
      </c>
      <c r="D41" s="26" t="s">
        <v>3</v>
      </c>
      <c r="E41" s="26" t="s">
        <v>3</v>
      </c>
      <c r="F41" s="26" t="s">
        <v>3</v>
      </c>
      <c r="G41" s="26" t="s">
        <v>3</v>
      </c>
      <c r="H41" s="27" t="s">
        <v>7</v>
      </c>
      <c r="I41" s="28" t="s">
        <v>11</v>
      </c>
      <c r="J41" s="22" t="s">
        <v>5</v>
      </c>
      <c r="K41" s="26" t="s">
        <v>3</v>
      </c>
      <c r="L41" s="22" t="s">
        <v>5</v>
      </c>
      <c r="M41" s="26" t="s">
        <v>3</v>
      </c>
      <c r="N41" s="26" t="s">
        <v>3</v>
      </c>
      <c r="O41" s="27" t="s">
        <v>7</v>
      </c>
      <c r="P41" s="28" t="s">
        <v>11</v>
      </c>
      <c r="Q41" s="26" t="s">
        <v>3</v>
      </c>
      <c r="R41" s="26" t="s">
        <v>3</v>
      </c>
      <c r="S41" s="26" t="s">
        <v>3</v>
      </c>
      <c r="T41" s="26" t="s">
        <v>3</v>
      </c>
      <c r="U41" s="26" t="s">
        <v>3</v>
      </c>
      <c r="V41" s="23" t="s">
        <v>7</v>
      </c>
      <c r="W41" s="24" t="s">
        <v>9</v>
      </c>
      <c r="X41" s="22" t="s">
        <v>5</v>
      </c>
      <c r="Y41" s="26" t="s">
        <v>3</v>
      </c>
      <c r="Z41" s="26" t="s">
        <v>3</v>
      </c>
      <c r="AA41" s="26" t="s">
        <v>3</v>
      </c>
      <c r="AB41" s="26" t="s">
        <v>3</v>
      </c>
      <c r="AC41" s="23" t="s">
        <v>7</v>
      </c>
      <c r="AD41" s="24" t="s">
        <v>9</v>
      </c>
      <c r="AE41" s="22" t="s">
        <v>5</v>
      </c>
      <c r="AF41" s="22" t="s">
        <v>5</v>
      </c>
      <c r="AG41" s="22" t="s">
        <v>5</v>
      </c>
      <c r="AH41" s="8">
        <f t="shared" si="16"/>
        <v>16</v>
      </c>
      <c r="AI41" s="8">
        <f t="shared" si="17"/>
        <v>6</v>
      </c>
      <c r="AJ41" s="29">
        <f t="shared" si="18"/>
        <v>2</v>
      </c>
      <c r="AK41" s="62">
        <v>2</v>
      </c>
      <c r="AL41" s="33">
        <f t="shared" si="19"/>
        <v>19</v>
      </c>
      <c r="AM41" s="63">
        <f t="shared" si="20"/>
        <v>176</v>
      </c>
      <c r="AN41" s="63">
        <f t="shared" si="21"/>
        <v>2</v>
      </c>
      <c r="AO41" s="63">
        <f t="shared" si="22"/>
        <v>8</v>
      </c>
      <c r="AP41" s="53">
        <f t="shared" si="23"/>
        <v>18</v>
      </c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</row>
    <row r="42" spans="1:55" ht="22" customHeight="1" x14ac:dyDescent="0.35">
      <c r="A42" s="8" t="s">
        <v>111</v>
      </c>
      <c r="B42" s="8" t="s">
        <v>112</v>
      </c>
      <c r="C42" s="8" t="s">
        <v>104</v>
      </c>
      <c r="D42" s="26" t="s">
        <v>3</v>
      </c>
      <c r="E42" s="26" t="s">
        <v>3</v>
      </c>
      <c r="F42" s="26" t="s">
        <v>3</v>
      </c>
      <c r="G42" s="22" t="s">
        <v>5</v>
      </c>
      <c r="H42" s="23" t="s">
        <v>7</v>
      </c>
      <c r="I42" s="24" t="s">
        <v>9</v>
      </c>
      <c r="J42" s="22" t="s">
        <v>5</v>
      </c>
      <c r="K42" s="22" t="s">
        <v>5</v>
      </c>
      <c r="L42" s="22" t="s">
        <v>5</v>
      </c>
      <c r="M42" s="22" t="s">
        <v>5</v>
      </c>
      <c r="N42" s="22" t="s">
        <v>5</v>
      </c>
      <c r="O42" s="23" t="s">
        <v>7</v>
      </c>
      <c r="P42" s="24" t="s">
        <v>9</v>
      </c>
      <c r="Q42" s="22" t="s">
        <v>5</v>
      </c>
      <c r="R42" s="22" t="s">
        <v>5</v>
      </c>
      <c r="S42" s="22" t="s">
        <v>5</v>
      </c>
      <c r="T42" s="22" t="s">
        <v>5</v>
      </c>
      <c r="U42" s="22" t="s">
        <v>5</v>
      </c>
      <c r="V42" s="23" t="s">
        <v>7</v>
      </c>
      <c r="W42" s="24" t="s">
        <v>9</v>
      </c>
      <c r="X42" s="22" t="s">
        <v>5</v>
      </c>
      <c r="Y42" s="22" t="s">
        <v>5</v>
      </c>
      <c r="Z42" s="22" t="s">
        <v>5</v>
      </c>
      <c r="AA42" s="22" t="s">
        <v>5</v>
      </c>
      <c r="AB42" s="22" t="s">
        <v>5</v>
      </c>
      <c r="AC42" s="23" t="s">
        <v>7</v>
      </c>
      <c r="AD42" s="24" t="s">
        <v>9</v>
      </c>
      <c r="AE42" s="22" t="s">
        <v>5</v>
      </c>
      <c r="AF42" s="22" t="s">
        <v>5</v>
      </c>
      <c r="AG42" s="22" t="s">
        <v>5</v>
      </c>
      <c r="AH42" s="8">
        <f t="shared" si="16"/>
        <v>3</v>
      </c>
      <c r="AI42" s="25">
        <f t="shared" si="17"/>
        <v>19</v>
      </c>
      <c r="AJ42" s="8">
        <f t="shared" si="18"/>
        <v>0</v>
      </c>
      <c r="AK42" s="62">
        <v>0</v>
      </c>
      <c r="AL42" s="33">
        <f t="shared" si="19"/>
        <v>3</v>
      </c>
      <c r="AM42" s="63">
        <f t="shared" si="20"/>
        <v>176</v>
      </c>
      <c r="AN42" s="63">
        <f t="shared" si="21"/>
        <v>0</v>
      </c>
      <c r="AO42" s="63">
        <f t="shared" si="22"/>
        <v>0</v>
      </c>
      <c r="AP42" s="53">
        <f t="shared" si="23"/>
        <v>3</v>
      </c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</row>
    <row r="43" spans="1:55" ht="22" customHeight="1" x14ac:dyDescent="0.35">
      <c r="A43" s="8" t="s">
        <v>113</v>
      </c>
      <c r="B43" s="8" t="s">
        <v>114</v>
      </c>
      <c r="C43" s="8" t="s">
        <v>104</v>
      </c>
      <c r="D43" s="26" t="s">
        <v>3</v>
      </c>
      <c r="E43" s="26" t="s">
        <v>3</v>
      </c>
      <c r="F43" s="26" t="s">
        <v>3</v>
      </c>
      <c r="G43" s="26" t="s">
        <v>3</v>
      </c>
      <c r="H43" s="27" t="s">
        <v>7</v>
      </c>
      <c r="I43" s="28" t="s">
        <v>11</v>
      </c>
      <c r="J43" s="22" t="s">
        <v>5</v>
      </c>
      <c r="K43" s="26" t="s">
        <v>3</v>
      </c>
      <c r="L43" s="26" t="s">
        <v>3</v>
      </c>
      <c r="M43" s="26" t="s">
        <v>3</v>
      </c>
      <c r="N43" s="26" t="s">
        <v>3</v>
      </c>
      <c r="O43" s="27" t="s">
        <v>7</v>
      </c>
      <c r="P43" s="28" t="s">
        <v>11</v>
      </c>
      <c r="Q43" s="26" t="s">
        <v>3</v>
      </c>
      <c r="R43" s="22" t="s">
        <v>5</v>
      </c>
      <c r="S43" s="22" t="s">
        <v>5</v>
      </c>
      <c r="T43" s="22" t="s">
        <v>5</v>
      </c>
      <c r="U43" s="22" t="s">
        <v>5</v>
      </c>
      <c r="V43" s="23" t="s">
        <v>7</v>
      </c>
      <c r="W43" s="24" t="s">
        <v>9</v>
      </c>
      <c r="X43" s="22" t="s">
        <v>5</v>
      </c>
      <c r="Y43" s="22" t="s">
        <v>5</v>
      </c>
      <c r="Z43" s="22" t="s">
        <v>5</v>
      </c>
      <c r="AA43" s="26" t="s">
        <v>3</v>
      </c>
      <c r="AB43" s="26" t="s">
        <v>3</v>
      </c>
      <c r="AC43" s="27" t="s">
        <v>7</v>
      </c>
      <c r="AD43" s="24" t="s">
        <v>9</v>
      </c>
      <c r="AE43" s="26" t="s">
        <v>3</v>
      </c>
      <c r="AF43" s="26" t="s">
        <v>3</v>
      </c>
      <c r="AG43" s="26" t="s">
        <v>3</v>
      </c>
      <c r="AH43" s="8">
        <f t="shared" si="16"/>
        <v>14</v>
      </c>
      <c r="AI43" s="8">
        <f t="shared" si="17"/>
        <v>8</v>
      </c>
      <c r="AJ43" s="29">
        <f t="shared" si="18"/>
        <v>2</v>
      </c>
      <c r="AK43" s="62">
        <v>3</v>
      </c>
      <c r="AL43" s="33">
        <f t="shared" si="19"/>
        <v>17.5</v>
      </c>
      <c r="AM43" s="63">
        <f t="shared" si="20"/>
        <v>176</v>
      </c>
      <c r="AN43" s="63">
        <f t="shared" si="21"/>
        <v>0</v>
      </c>
      <c r="AO43" s="63">
        <f t="shared" si="22"/>
        <v>0</v>
      </c>
      <c r="AP43" s="53">
        <f t="shared" si="23"/>
        <v>17.5</v>
      </c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</row>
    <row r="44" spans="1:55" ht="22" customHeight="1" x14ac:dyDescent="0.35">
      <c r="A44" s="8" t="s">
        <v>115</v>
      </c>
      <c r="B44" s="8" t="s">
        <v>116</v>
      </c>
      <c r="C44" s="8" t="s">
        <v>104</v>
      </c>
      <c r="D44" s="22" t="s">
        <v>5</v>
      </c>
      <c r="E44" s="22" t="s">
        <v>5</v>
      </c>
      <c r="F44" s="22" t="s">
        <v>5</v>
      </c>
      <c r="G44" s="22" t="s">
        <v>5</v>
      </c>
      <c r="H44" s="23" t="s">
        <v>7</v>
      </c>
      <c r="I44" s="24" t="s">
        <v>9</v>
      </c>
      <c r="J44" s="22" t="s">
        <v>5</v>
      </c>
      <c r="K44" s="22" t="s">
        <v>5</v>
      </c>
      <c r="L44" s="22" t="s">
        <v>5</v>
      </c>
      <c r="M44" s="22" t="s">
        <v>5</v>
      </c>
      <c r="N44" s="22" t="s">
        <v>5</v>
      </c>
      <c r="O44" s="23" t="s">
        <v>7</v>
      </c>
      <c r="P44" s="24" t="s">
        <v>9</v>
      </c>
      <c r="Q44" s="22" t="s">
        <v>5</v>
      </c>
      <c r="R44" s="22" t="s">
        <v>5</v>
      </c>
      <c r="S44" s="22" t="s">
        <v>5</v>
      </c>
      <c r="T44" s="22" t="s">
        <v>5</v>
      </c>
      <c r="U44" s="22" t="s">
        <v>5</v>
      </c>
      <c r="V44" s="23" t="s">
        <v>7</v>
      </c>
      <c r="W44" s="24" t="s">
        <v>9</v>
      </c>
      <c r="X44" s="22" t="s">
        <v>5</v>
      </c>
      <c r="Y44" s="22" t="s">
        <v>5</v>
      </c>
      <c r="Z44" s="22" t="s">
        <v>5</v>
      </c>
      <c r="AA44" s="22" t="s">
        <v>5</v>
      </c>
      <c r="AB44" s="22" t="s">
        <v>5</v>
      </c>
      <c r="AC44" s="23" t="s">
        <v>7</v>
      </c>
      <c r="AD44" s="24" t="s">
        <v>9</v>
      </c>
      <c r="AE44" s="22" t="s">
        <v>5</v>
      </c>
      <c r="AF44" s="22" t="s">
        <v>5</v>
      </c>
      <c r="AG44" s="22" t="s">
        <v>5</v>
      </c>
      <c r="AH44" s="8">
        <f t="shared" si="16"/>
        <v>0</v>
      </c>
      <c r="AI44" s="25">
        <f t="shared" si="17"/>
        <v>22</v>
      </c>
      <c r="AJ44" s="8">
        <f t="shared" si="18"/>
        <v>0</v>
      </c>
      <c r="AK44" s="62">
        <v>0</v>
      </c>
      <c r="AL44" s="33">
        <f t="shared" si="19"/>
        <v>0</v>
      </c>
      <c r="AM44" s="63">
        <f t="shared" si="20"/>
        <v>176</v>
      </c>
      <c r="AN44" s="63">
        <f t="shared" si="21"/>
        <v>0</v>
      </c>
      <c r="AO44" s="63">
        <f t="shared" si="22"/>
        <v>0</v>
      </c>
      <c r="AP44" s="53">
        <f t="shared" si="23"/>
        <v>0</v>
      </c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</row>
    <row r="45" spans="1:55" ht="22" customHeight="1" x14ac:dyDescent="0.35">
      <c r="A45" s="8" t="s">
        <v>117</v>
      </c>
      <c r="B45" s="8" t="s">
        <v>118</v>
      </c>
      <c r="C45" s="8" t="s">
        <v>104</v>
      </c>
      <c r="D45" s="22" t="s">
        <v>5</v>
      </c>
      <c r="E45" s="22" t="s">
        <v>5</v>
      </c>
      <c r="F45" s="22" t="s">
        <v>5</v>
      </c>
      <c r="G45" s="22" t="s">
        <v>5</v>
      </c>
      <c r="H45" s="23" t="s">
        <v>7</v>
      </c>
      <c r="I45" s="24" t="s">
        <v>9</v>
      </c>
      <c r="J45" s="22" t="s">
        <v>5</v>
      </c>
      <c r="K45" s="22" t="s">
        <v>5</v>
      </c>
      <c r="L45" s="22" t="s">
        <v>5</v>
      </c>
      <c r="M45" s="22" t="s">
        <v>5</v>
      </c>
      <c r="N45" s="22" t="s">
        <v>5</v>
      </c>
      <c r="O45" s="23" t="s">
        <v>7</v>
      </c>
      <c r="P45" s="24" t="s">
        <v>9</v>
      </c>
      <c r="Q45" s="22" t="s">
        <v>5</v>
      </c>
      <c r="R45" s="26" t="s">
        <v>3</v>
      </c>
      <c r="S45" s="22" t="s">
        <v>5</v>
      </c>
      <c r="T45" s="22" t="s">
        <v>5</v>
      </c>
      <c r="U45" s="22" t="s">
        <v>5</v>
      </c>
      <c r="V45" s="23" t="s">
        <v>7</v>
      </c>
      <c r="W45" s="24" t="s">
        <v>9</v>
      </c>
      <c r="X45" s="22" t="s">
        <v>5</v>
      </c>
      <c r="Y45" s="22" t="s">
        <v>5</v>
      </c>
      <c r="Z45" s="22" t="s">
        <v>5</v>
      </c>
      <c r="AA45" s="22" t="s">
        <v>5</v>
      </c>
      <c r="AB45" s="22" t="s">
        <v>5</v>
      </c>
      <c r="AC45" s="23" t="s">
        <v>7</v>
      </c>
      <c r="AD45" s="24" t="s">
        <v>9</v>
      </c>
      <c r="AE45" s="22" t="s">
        <v>5</v>
      </c>
      <c r="AF45" s="22" t="s">
        <v>5</v>
      </c>
      <c r="AG45" s="22" t="s">
        <v>5</v>
      </c>
      <c r="AH45" s="8">
        <f t="shared" si="16"/>
        <v>1</v>
      </c>
      <c r="AI45" s="25">
        <f t="shared" si="17"/>
        <v>21</v>
      </c>
      <c r="AJ45" s="8">
        <f t="shared" si="18"/>
        <v>0</v>
      </c>
      <c r="AK45" s="62">
        <v>0</v>
      </c>
      <c r="AL45" s="33">
        <f t="shared" si="19"/>
        <v>1</v>
      </c>
      <c r="AM45" s="63">
        <f t="shared" si="20"/>
        <v>176</v>
      </c>
      <c r="AN45" s="63">
        <f t="shared" si="21"/>
        <v>0</v>
      </c>
      <c r="AO45" s="63">
        <f t="shared" si="22"/>
        <v>0</v>
      </c>
      <c r="AP45" s="53">
        <f t="shared" si="23"/>
        <v>1</v>
      </c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</row>
    <row r="46" spans="1:55" ht="22" customHeight="1" x14ac:dyDescent="0.35">
      <c r="A46" s="8" t="s">
        <v>119</v>
      </c>
      <c r="B46" s="8" t="s">
        <v>120</v>
      </c>
      <c r="C46" s="8" t="s">
        <v>104</v>
      </c>
      <c r="D46" s="22" t="s">
        <v>5</v>
      </c>
      <c r="E46" s="22" t="s">
        <v>5</v>
      </c>
      <c r="F46" s="22" t="s">
        <v>5</v>
      </c>
      <c r="G46" s="22" t="s">
        <v>5</v>
      </c>
      <c r="H46" s="23" t="s">
        <v>7</v>
      </c>
      <c r="I46" s="24" t="s">
        <v>9</v>
      </c>
      <c r="J46" s="22" t="s">
        <v>5</v>
      </c>
      <c r="K46" s="22" t="s">
        <v>5</v>
      </c>
      <c r="L46" s="22" t="s">
        <v>5</v>
      </c>
      <c r="M46" s="22" t="s">
        <v>5</v>
      </c>
      <c r="N46" s="22" t="s">
        <v>5</v>
      </c>
      <c r="O46" s="23" t="s">
        <v>7</v>
      </c>
      <c r="P46" s="24" t="s">
        <v>9</v>
      </c>
      <c r="Q46" s="22" t="s">
        <v>5</v>
      </c>
      <c r="R46" s="26" t="s">
        <v>3</v>
      </c>
      <c r="S46" s="26" t="s">
        <v>3</v>
      </c>
      <c r="T46" s="26" t="s">
        <v>3</v>
      </c>
      <c r="U46" s="26" t="s">
        <v>3</v>
      </c>
      <c r="V46" s="27" t="s">
        <v>7</v>
      </c>
      <c r="W46" s="28" t="s">
        <v>11</v>
      </c>
      <c r="X46" s="26" t="s">
        <v>3</v>
      </c>
      <c r="Y46" s="26" t="s">
        <v>3</v>
      </c>
      <c r="Z46" s="26" t="s">
        <v>3</v>
      </c>
      <c r="AA46" s="26" t="s">
        <v>3</v>
      </c>
      <c r="AB46" s="26" t="s">
        <v>3</v>
      </c>
      <c r="AC46" s="27" t="s">
        <v>7</v>
      </c>
      <c r="AD46" s="24" t="s">
        <v>9</v>
      </c>
      <c r="AE46" s="26" t="s">
        <v>3</v>
      </c>
      <c r="AF46" s="26" t="s">
        <v>3</v>
      </c>
      <c r="AG46" s="26" t="s">
        <v>3</v>
      </c>
      <c r="AH46" s="8">
        <f t="shared" si="16"/>
        <v>12</v>
      </c>
      <c r="AI46" s="8">
        <f t="shared" si="17"/>
        <v>10</v>
      </c>
      <c r="AJ46" s="29">
        <f t="shared" si="18"/>
        <v>1</v>
      </c>
      <c r="AK46" s="62">
        <v>2</v>
      </c>
      <c r="AL46" s="33">
        <f t="shared" si="19"/>
        <v>14</v>
      </c>
      <c r="AM46" s="63">
        <f t="shared" si="20"/>
        <v>176</v>
      </c>
      <c r="AN46" s="63">
        <f t="shared" si="21"/>
        <v>0</v>
      </c>
      <c r="AO46" s="63">
        <f t="shared" si="22"/>
        <v>0</v>
      </c>
      <c r="AP46" s="53">
        <f t="shared" si="23"/>
        <v>14</v>
      </c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</row>
    <row r="47" spans="1:55" ht="22" customHeight="1" x14ac:dyDescent="0.35">
      <c r="A47" s="8" t="s">
        <v>121</v>
      </c>
      <c r="B47" s="8" t="s">
        <v>122</v>
      </c>
      <c r="C47" s="8" t="s">
        <v>104</v>
      </c>
      <c r="D47" s="26" t="s">
        <v>3</v>
      </c>
      <c r="E47" s="26" t="s">
        <v>3</v>
      </c>
      <c r="F47" s="26" t="s">
        <v>3</v>
      </c>
      <c r="G47" s="22" t="s">
        <v>5</v>
      </c>
      <c r="H47" s="23" t="s">
        <v>7</v>
      </c>
      <c r="I47" s="24" t="s">
        <v>9</v>
      </c>
      <c r="J47" s="22" t="s">
        <v>5</v>
      </c>
      <c r="K47" s="22" t="s">
        <v>5</v>
      </c>
      <c r="L47" s="22" t="s">
        <v>5</v>
      </c>
      <c r="M47" s="22" t="s">
        <v>5</v>
      </c>
      <c r="N47" s="22" t="s">
        <v>5</v>
      </c>
      <c r="O47" s="23" t="s">
        <v>7</v>
      </c>
      <c r="P47" s="24" t="s">
        <v>9</v>
      </c>
      <c r="Q47" s="22" t="s">
        <v>5</v>
      </c>
      <c r="R47" s="22" t="s">
        <v>5</v>
      </c>
      <c r="S47" s="22" t="s">
        <v>5</v>
      </c>
      <c r="T47" s="22" t="s">
        <v>5</v>
      </c>
      <c r="U47" s="22" t="s">
        <v>5</v>
      </c>
      <c r="V47" s="23" t="s">
        <v>7</v>
      </c>
      <c r="W47" s="24" t="s">
        <v>9</v>
      </c>
      <c r="X47" s="22" t="s">
        <v>5</v>
      </c>
      <c r="Y47" s="22" t="s">
        <v>5</v>
      </c>
      <c r="Z47" s="22" t="s">
        <v>5</v>
      </c>
      <c r="AA47" s="22" t="s">
        <v>5</v>
      </c>
      <c r="AB47" s="22" t="s">
        <v>5</v>
      </c>
      <c r="AC47" s="23" t="s">
        <v>7</v>
      </c>
      <c r="AD47" s="24" t="s">
        <v>9</v>
      </c>
      <c r="AE47" s="22" t="s">
        <v>5</v>
      </c>
      <c r="AF47" s="22" t="s">
        <v>5</v>
      </c>
      <c r="AG47" s="22" t="s">
        <v>5</v>
      </c>
      <c r="AH47" s="8">
        <f t="shared" si="16"/>
        <v>3</v>
      </c>
      <c r="AI47" s="25">
        <f t="shared" si="17"/>
        <v>19</v>
      </c>
      <c r="AJ47" s="8">
        <f t="shared" si="18"/>
        <v>0</v>
      </c>
      <c r="AK47" s="62">
        <v>0</v>
      </c>
      <c r="AL47" s="33">
        <f t="shared" si="19"/>
        <v>3</v>
      </c>
      <c r="AM47" s="63">
        <f t="shared" si="20"/>
        <v>176</v>
      </c>
      <c r="AN47" s="63">
        <f t="shared" si="21"/>
        <v>0</v>
      </c>
      <c r="AO47" s="63">
        <f t="shared" si="22"/>
        <v>0</v>
      </c>
      <c r="AP47" s="53">
        <f t="shared" si="23"/>
        <v>3</v>
      </c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</row>
    <row r="48" spans="1:55" ht="22" customHeight="1" x14ac:dyDescent="0.35">
      <c r="A48" s="8" t="s">
        <v>123</v>
      </c>
      <c r="B48" s="8" t="s">
        <v>124</v>
      </c>
      <c r="C48" s="8" t="s">
        <v>104</v>
      </c>
      <c r="D48" s="26" t="s">
        <v>3</v>
      </c>
      <c r="E48" s="26" t="s">
        <v>3</v>
      </c>
      <c r="F48" s="26" t="s">
        <v>3</v>
      </c>
      <c r="G48" s="26" t="s">
        <v>3</v>
      </c>
      <c r="H48" s="27" t="s">
        <v>7</v>
      </c>
      <c r="I48" s="24" t="s">
        <v>9</v>
      </c>
      <c r="J48" s="26" t="s">
        <v>3</v>
      </c>
      <c r="K48" s="26" t="s">
        <v>3</v>
      </c>
      <c r="L48" s="22" t="s">
        <v>5</v>
      </c>
      <c r="M48" s="22" t="s">
        <v>5</v>
      </c>
      <c r="N48" s="22" t="s">
        <v>5</v>
      </c>
      <c r="O48" s="23" t="s">
        <v>7</v>
      </c>
      <c r="P48" s="24" t="s">
        <v>9</v>
      </c>
      <c r="Q48" s="22" t="s">
        <v>5</v>
      </c>
      <c r="R48" s="26" t="s">
        <v>3</v>
      </c>
      <c r="S48" s="26" t="s">
        <v>3</v>
      </c>
      <c r="T48" s="26" t="s">
        <v>3</v>
      </c>
      <c r="U48" s="22" t="s">
        <v>5</v>
      </c>
      <c r="V48" s="23" t="s">
        <v>7</v>
      </c>
      <c r="W48" s="28" t="s">
        <v>11</v>
      </c>
      <c r="X48" s="26" t="s">
        <v>3</v>
      </c>
      <c r="Y48" s="26" t="s">
        <v>3</v>
      </c>
      <c r="Z48" s="26" t="s">
        <v>3</v>
      </c>
      <c r="AA48" s="26" t="s">
        <v>3</v>
      </c>
      <c r="AB48" s="26" t="s">
        <v>3</v>
      </c>
      <c r="AC48" s="23" t="s">
        <v>7</v>
      </c>
      <c r="AD48" s="24" t="s">
        <v>9</v>
      </c>
      <c r="AE48" s="22" t="s">
        <v>5</v>
      </c>
      <c r="AF48" s="26" t="s">
        <v>3</v>
      </c>
      <c r="AG48" s="22" t="s">
        <v>5</v>
      </c>
      <c r="AH48" s="8">
        <f t="shared" si="16"/>
        <v>15</v>
      </c>
      <c r="AI48" s="8">
        <f t="shared" si="17"/>
        <v>7</v>
      </c>
      <c r="AJ48" s="29">
        <f t="shared" si="18"/>
        <v>1</v>
      </c>
      <c r="AK48" s="62">
        <v>1</v>
      </c>
      <c r="AL48" s="33">
        <f t="shared" si="19"/>
        <v>16.5</v>
      </c>
      <c r="AM48" s="63">
        <f t="shared" si="20"/>
        <v>176</v>
      </c>
      <c r="AN48" s="63">
        <f t="shared" si="21"/>
        <v>1</v>
      </c>
      <c r="AO48" s="63">
        <f t="shared" si="22"/>
        <v>4</v>
      </c>
      <c r="AP48" s="53">
        <f t="shared" si="23"/>
        <v>16</v>
      </c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</row>
    <row r="49" spans="1:55" ht="22" customHeight="1" x14ac:dyDescent="0.35">
      <c r="A49" s="8" t="s">
        <v>125</v>
      </c>
      <c r="B49" s="8" t="s">
        <v>126</v>
      </c>
      <c r="C49" s="8" t="s">
        <v>104</v>
      </c>
      <c r="D49" s="26" t="s">
        <v>3</v>
      </c>
      <c r="E49" s="26" t="s">
        <v>3</v>
      </c>
      <c r="F49" s="26" t="s">
        <v>3</v>
      </c>
      <c r="G49" s="26" t="s">
        <v>3</v>
      </c>
      <c r="H49" s="23" t="s">
        <v>7</v>
      </c>
      <c r="I49" s="24" t="s">
        <v>9</v>
      </c>
      <c r="J49" s="22" t="s">
        <v>5</v>
      </c>
      <c r="K49" s="22" t="s">
        <v>5</v>
      </c>
      <c r="L49" s="26" t="s">
        <v>3</v>
      </c>
      <c r="M49" s="26" t="s">
        <v>3</v>
      </c>
      <c r="N49" s="26" t="s">
        <v>3</v>
      </c>
      <c r="O49" s="27" t="s">
        <v>7</v>
      </c>
      <c r="P49" s="28" t="s">
        <v>11</v>
      </c>
      <c r="Q49" s="26" t="s">
        <v>3</v>
      </c>
      <c r="R49" s="26" t="s">
        <v>3</v>
      </c>
      <c r="S49" s="26" t="s">
        <v>3</v>
      </c>
      <c r="T49" s="26" t="s">
        <v>3</v>
      </c>
      <c r="U49" s="22" t="s">
        <v>5</v>
      </c>
      <c r="V49" s="23" t="s">
        <v>7</v>
      </c>
      <c r="W49" s="24" t="s">
        <v>9</v>
      </c>
      <c r="X49" s="22" t="s">
        <v>5</v>
      </c>
      <c r="Y49" s="26" t="s">
        <v>3</v>
      </c>
      <c r="Z49" s="26" t="s">
        <v>3</v>
      </c>
      <c r="AA49" s="22" t="s">
        <v>5</v>
      </c>
      <c r="AB49" s="22" t="s">
        <v>5</v>
      </c>
      <c r="AC49" s="27" t="s">
        <v>7</v>
      </c>
      <c r="AD49" s="28" t="s">
        <v>11</v>
      </c>
      <c r="AE49" s="26" t="s">
        <v>3</v>
      </c>
      <c r="AF49" s="26" t="s">
        <v>3</v>
      </c>
      <c r="AG49" s="26" t="s">
        <v>3</v>
      </c>
      <c r="AH49" s="8">
        <f t="shared" si="16"/>
        <v>16</v>
      </c>
      <c r="AI49" s="8">
        <f t="shared" si="17"/>
        <v>6</v>
      </c>
      <c r="AJ49" s="29">
        <f t="shared" si="18"/>
        <v>2</v>
      </c>
      <c r="AK49" s="62">
        <v>2</v>
      </c>
      <c r="AL49" s="33">
        <f t="shared" si="19"/>
        <v>19</v>
      </c>
      <c r="AM49" s="63">
        <f t="shared" si="20"/>
        <v>176</v>
      </c>
      <c r="AN49" s="63">
        <f t="shared" si="21"/>
        <v>0</v>
      </c>
      <c r="AO49" s="63">
        <f t="shared" si="22"/>
        <v>0</v>
      </c>
      <c r="AP49" s="53">
        <f t="shared" si="23"/>
        <v>19</v>
      </c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</row>
    <row r="50" spans="1:55" ht="22" customHeight="1" x14ac:dyDescent="0.35">
      <c r="A50" s="8" t="s">
        <v>127</v>
      </c>
      <c r="B50" s="8" t="s">
        <v>128</v>
      </c>
      <c r="C50" s="8" t="s">
        <v>104</v>
      </c>
      <c r="D50" s="22" t="s">
        <v>5</v>
      </c>
      <c r="E50" s="22" t="s">
        <v>5</v>
      </c>
      <c r="F50" s="22" t="s">
        <v>5</v>
      </c>
      <c r="G50" s="22" t="s">
        <v>5</v>
      </c>
      <c r="H50" s="23" t="s">
        <v>7</v>
      </c>
      <c r="I50" s="24" t="s">
        <v>9</v>
      </c>
      <c r="J50" s="22" t="s">
        <v>5</v>
      </c>
      <c r="K50" s="22" t="s">
        <v>5</v>
      </c>
      <c r="L50" s="22" t="s">
        <v>5</v>
      </c>
      <c r="M50" s="22" t="s">
        <v>5</v>
      </c>
      <c r="N50" s="22" t="s">
        <v>5</v>
      </c>
      <c r="O50" s="23" t="s">
        <v>7</v>
      </c>
      <c r="P50" s="24" t="s">
        <v>9</v>
      </c>
      <c r="Q50" s="22" t="s">
        <v>5</v>
      </c>
      <c r="R50" s="26" t="s">
        <v>3</v>
      </c>
      <c r="S50" s="26" t="s">
        <v>3</v>
      </c>
      <c r="T50" s="26" t="s">
        <v>3</v>
      </c>
      <c r="U50" s="22" t="s">
        <v>5</v>
      </c>
      <c r="V50" s="23" t="s">
        <v>7</v>
      </c>
      <c r="W50" s="24" t="s">
        <v>9</v>
      </c>
      <c r="X50" s="26" t="s">
        <v>3</v>
      </c>
      <c r="Y50" s="26" t="s">
        <v>3</v>
      </c>
      <c r="Z50" s="26" t="s">
        <v>3</v>
      </c>
      <c r="AA50" s="26" t="s">
        <v>3</v>
      </c>
      <c r="AB50" s="26" t="s">
        <v>3</v>
      </c>
      <c r="AC50" s="23" t="s">
        <v>7</v>
      </c>
      <c r="AD50" s="24" t="s">
        <v>9</v>
      </c>
      <c r="AE50" s="22" t="s">
        <v>5</v>
      </c>
      <c r="AF50" s="26" t="s">
        <v>3</v>
      </c>
      <c r="AG50" s="26" t="s">
        <v>3</v>
      </c>
      <c r="AH50" s="8">
        <f t="shared" si="16"/>
        <v>10</v>
      </c>
      <c r="AI50" s="25">
        <f t="shared" si="17"/>
        <v>12</v>
      </c>
      <c r="AJ50" s="8">
        <f t="shared" si="18"/>
        <v>0</v>
      </c>
      <c r="AK50" s="62">
        <v>0</v>
      </c>
      <c r="AL50" s="33">
        <f t="shared" si="19"/>
        <v>10</v>
      </c>
      <c r="AM50" s="63">
        <f t="shared" si="20"/>
        <v>176</v>
      </c>
      <c r="AN50" s="63">
        <f t="shared" si="21"/>
        <v>1</v>
      </c>
      <c r="AO50" s="63">
        <f t="shared" si="22"/>
        <v>4</v>
      </c>
      <c r="AP50" s="53">
        <f t="shared" si="23"/>
        <v>9.5</v>
      </c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</row>
    <row r="51" spans="1:55" ht="22" customHeight="1" x14ac:dyDescent="0.35">
      <c r="A51" s="8" t="s">
        <v>129</v>
      </c>
      <c r="B51" s="8" t="s">
        <v>130</v>
      </c>
      <c r="C51" s="8" t="s">
        <v>104</v>
      </c>
      <c r="D51" s="26" t="s">
        <v>3</v>
      </c>
      <c r="E51" s="26" t="s">
        <v>3</v>
      </c>
      <c r="F51" s="26" t="s">
        <v>3</v>
      </c>
      <c r="G51" s="26" t="s">
        <v>3</v>
      </c>
      <c r="H51" s="27" t="s">
        <v>7</v>
      </c>
      <c r="I51" s="28" t="s">
        <v>11</v>
      </c>
      <c r="J51" s="26" t="s">
        <v>3</v>
      </c>
      <c r="K51" s="26" t="s">
        <v>3</v>
      </c>
      <c r="L51" s="26" t="s">
        <v>3</v>
      </c>
      <c r="M51" s="26" t="s">
        <v>3</v>
      </c>
      <c r="N51" s="26" t="s">
        <v>3</v>
      </c>
      <c r="O51" s="27" t="s">
        <v>7</v>
      </c>
      <c r="P51" s="28" t="s">
        <v>11</v>
      </c>
      <c r="Q51" s="26" t="s">
        <v>3</v>
      </c>
      <c r="R51" s="22" t="s">
        <v>5</v>
      </c>
      <c r="S51" s="22" t="s">
        <v>5</v>
      </c>
      <c r="T51" s="22" t="s">
        <v>5</v>
      </c>
      <c r="U51" s="22" t="s">
        <v>5</v>
      </c>
      <c r="V51" s="23" t="s">
        <v>7</v>
      </c>
      <c r="W51" s="24" t="s">
        <v>9</v>
      </c>
      <c r="X51" s="22" t="s">
        <v>5</v>
      </c>
      <c r="Y51" s="22" t="s">
        <v>5</v>
      </c>
      <c r="Z51" s="22" t="s">
        <v>5</v>
      </c>
      <c r="AA51" s="22" t="s">
        <v>5</v>
      </c>
      <c r="AB51" s="22" t="s">
        <v>5</v>
      </c>
      <c r="AC51" s="23" t="s">
        <v>7</v>
      </c>
      <c r="AD51" s="24" t="s">
        <v>9</v>
      </c>
      <c r="AE51" s="22" t="s">
        <v>5</v>
      </c>
      <c r="AF51" s="22" t="s">
        <v>5</v>
      </c>
      <c r="AG51" s="22" t="s">
        <v>5</v>
      </c>
      <c r="AH51" s="8">
        <f t="shared" si="16"/>
        <v>10</v>
      </c>
      <c r="AI51" s="25">
        <f t="shared" si="17"/>
        <v>12</v>
      </c>
      <c r="AJ51" s="29">
        <f t="shared" si="18"/>
        <v>2</v>
      </c>
      <c r="AK51" s="62">
        <v>2</v>
      </c>
      <c r="AL51" s="33">
        <f t="shared" si="19"/>
        <v>13</v>
      </c>
      <c r="AM51" s="63">
        <f t="shared" si="20"/>
        <v>176</v>
      </c>
      <c r="AN51" s="63">
        <f t="shared" si="21"/>
        <v>0</v>
      </c>
      <c r="AO51" s="63">
        <f t="shared" si="22"/>
        <v>0</v>
      </c>
      <c r="AP51" s="53">
        <f t="shared" si="23"/>
        <v>13</v>
      </c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</row>
    <row r="52" spans="1:55" ht="22" customHeight="1" x14ac:dyDescent="0.35">
      <c r="A52" s="8" t="s">
        <v>131</v>
      </c>
      <c r="B52" s="8" t="s">
        <v>132</v>
      </c>
      <c r="C52" s="8" t="s">
        <v>104</v>
      </c>
      <c r="D52" s="22" t="s">
        <v>5</v>
      </c>
      <c r="E52" s="22" t="s">
        <v>5</v>
      </c>
      <c r="F52" s="22" t="s">
        <v>5</v>
      </c>
      <c r="G52" s="22" t="s">
        <v>5</v>
      </c>
      <c r="H52" s="23" t="s">
        <v>7</v>
      </c>
      <c r="I52" s="24" t="s">
        <v>9</v>
      </c>
      <c r="J52" s="22" t="s">
        <v>5</v>
      </c>
      <c r="K52" s="22" t="s">
        <v>5</v>
      </c>
      <c r="L52" s="22" t="s">
        <v>5</v>
      </c>
      <c r="M52" s="22" t="s">
        <v>5</v>
      </c>
      <c r="N52" s="22" t="s">
        <v>5</v>
      </c>
      <c r="O52" s="23" t="s">
        <v>7</v>
      </c>
      <c r="P52" s="24" t="s">
        <v>9</v>
      </c>
      <c r="Q52" s="22" t="s">
        <v>5</v>
      </c>
      <c r="R52" s="26" t="s">
        <v>3</v>
      </c>
      <c r="S52" s="26" t="s">
        <v>3</v>
      </c>
      <c r="T52" s="26" t="s">
        <v>3</v>
      </c>
      <c r="U52" s="22" t="s">
        <v>5</v>
      </c>
      <c r="V52" s="23" t="s">
        <v>7</v>
      </c>
      <c r="W52" s="28" t="s">
        <v>11</v>
      </c>
      <c r="X52" s="26" t="s">
        <v>3</v>
      </c>
      <c r="Y52" s="26" t="s">
        <v>3</v>
      </c>
      <c r="Z52" s="26" t="s">
        <v>3</v>
      </c>
      <c r="AA52" s="26" t="s">
        <v>3</v>
      </c>
      <c r="AB52" s="26" t="s">
        <v>3</v>
      </c>
      <c r="AC52" s="27" t="s">
        <v>7</v>
      </c>
      <c r="AD52" s="28" t="s">
        <v>11</v>
      </c>
      <c r="AE52" s="26" t="s">
        <v>3</v>
      </c>
      <c r="AF52" s="26" t="s">
        <v>3</v>
      </c>
      <c r="AG52" s="26" t="s">
        <v>3</v>
      </c>
      <c r="AH52" s="8">
        <f t="shared" si="16"/>
        <v>11</v>
      </c>
      <c r="AI52" s="25">
        <f t="shared" si="17"/>
        <v>11</v>
      </c>
      <c r="AJ52" s="29">
        <f t="shared" si="18"/>
        <v>2</v>
      </c>
      <c r="AK52" s="62">
        <v>1</v>
      </c>
      <c r="AL52" s="33">
        <f t="shared" si="19"/>
        <v>13.5</v>
      </c>
      <c r="AM52" s="63">
        <f t="shared" si="20"/>
        <v>176</v>
      </c>
      <c r="AN52" s="63">
        <f t="shared" si="21"/>
        <v>0</v>
      </c>
      <c r="AO52" s="63">
        <f t="shared" si="22"/>
        <v>0</v>
      </c>
      <c r="AP52" s="53">
        <f t="shared" si="23"/>
        <v>13.5</v>
      </c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</row>
    <row r="53" spans="1:55" ht="22" customHeight="1" x14ac:dyDescent="0.35">
      <c r="A53" s="8" t="s">
        <v>133</v>
      </c>
      <c r="B53" s="8" t="s">
        <v>134</v>
      </c>
      <c r="C53" s="8" t="s">
        <v>104</v>
      </c>
      <c r="D53" s="26" t="s">
        <v>3</v>
      </c>
      <c r="E53" s="22" t="s">
        <v>5</v>
      </c>
      <c r="F53" s="22" t="s">
        <v>5</v>
      </c>
      <c r="G53" s="26" t="s">
        <v>3</v>
      </c>
      <c r="H53" s="27" t="s">
        <v>7</v>
      </c>
      <c r="I53" s="28" t="s">
        <v>11</v>
      </c>
      <c r="J53" s="22" t="s">
        <v>5</v>
      </c>
      <c r="K53" s="26" t="s">
        <v>3</v>
      </c>
      <c r="L53" s="26" t="s">
        <v>3</v>
      </c>
      <c r="M53" s="26" t="s">
        <v>3</v>
      </c>
      <c r="N53" s="26" t="s">
        <v>3</v>
      </c>
      <c r="O53" s="27" t="s">
        <v>7</v>
      </c>
      <c r="P53" s="28" t="s">
        <v>11</v>
      </c>
      <c r="Q53" s="26" t="s">
        <v>3</v>
      </c>
      <c r="R53" s="22" t="s">
        <v>5</v>
      </c>
      <c r="S53" s="22" t="s">
        <v>5</v>
      </c>
      <c r="T53" s="22" t="s">
        <v>5</v>
      </c>
      <c r="U53" s="22" t="s">
        <v>5</v>
      </c>
      <c r="V53" s="23" t="s">
        <v>7</v>
      </c>
      <c r="W53" s="24" t="s">
        <v>9</v>
      </c>
      <c r="X53" s="22" t="s">
        <v>5</v>
      </c>
      <c r="Y53" s="22" t="s">
        <v>5</v>
      </c>
      <c r="Z53" s="22" t="s">
        <v>5</v>
      </c>
      <c r="AA53" s="22" t="s">
        <v>5</v>
      </c>
      <c r="AB53" s="22" t="s">
        <v>5</v>
      </c>
      <c r="AC53" s="23" t="s">
        <v>7</v>
      </c>
      <c r="AD53" s="24" t="s">
        <v>9</v>
      </c>
      <c r="AE53" s="22" t="s">
        <v>5</v>
      </c>
      <c r="AF53" s="22" t="s">
        <v>5</v>
      </c>
      <c r="AG53" s="22" t="s">
        <v>5</v>
      </c>
      <c r="AH53" s="8">
        <f t="shared" si="16"/>
        <v>7</v>
      </c>
      <c r="AI53" s="25">
        <f t="shared" si="17"/>
        <v>15</v>
      </c>
      <c r="AJ53" s="29">
        <f t="shared" si="18"/>
        <v>2</v>
      </c>
      <c r="AK53" s="62">
        <v>2</v>
      </c>
      <c r="AL53" s="33">
        <f t="shared" si="19"/>
        <v>10</v>
      </c>
      <c r="AM53" s="63">
        <f t="shared" si="20"/>
        <v>176</v>
      </c>
      <c r="AN53" s="63">
        <f t="shared" si="21"/>
        <v>0</v>
      </c>
      <c r="AO53" s="63">
        <f t="shared" si="22"/>
        <v>0</v>
      </c>
      <c r="AP53" s="53">
        <f t="shared" si="23"/>
        <v>10</v>
      </c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</row>
    <row r="54" spans="1:55" ht="22" customHeight="1" x14ac:dyDescent="0.35">
      <c r="A54" s="8" t="s">
        <v>135</v>
      </c>
      <c r="B54" s="8" t="s">
        <v>136</v>
      </c>
      <c r="C54" s="8" t="s">
        <v>104</v>
      </c>
      <c r="D54" s="22" t="s">
        <v>5</v>
      </c>
      <c r="E54" s="22" t="s">
        <v>5</v>
      </c>
      <c r="F54" s="22" t="s">
        <v>5</v>
      </c>
      <c r="G54" s="22" t="s">
        <v>5</v>
      </c>
      <c r="H54" s="23" t="s">
        <v>7</v>
      </c>
      <c r="I54" s="24" t="s">
        <v>9</v>
      </c>
      <c r="J54" s="22" t="s">
        <v>5</v>
      </c>
      <c r="K54" s="22" t="s">
        <v>5</v>
      </c>
      <c r="L54" s="22" t="s">
        <v>5</v>
      </c>
      <c r="M54" s="22" t="s">
        <v>5</v>
      </c>
      <c r="N54" s="22" t="s">
        <v>5</v>
      </c>
      <c r="O54" s="23" t="s">
        <v>7</v>
      </c>
      <c r="P54" s="24" t="s">
        <v>9</v>
      </c>
      <c r="Q54" s="22" t="s">
        <v>5</v>
      </c>
      <c r="R54" s="26" t="s">
        <v>3</v>
      </c>
      <c r="S54" s="26" t="s">
        <v>3</v>
      </c>
      <c r="T54" s="26" t="s">
        <v>3</v>
      </c>
      <c r="U54" s="22" t="s">
        <v>5</v>
      </c>
      <c r="V54" s="23" t="s">
        <v>7</v>
      </c>
      <c r="W54" s="24" t="s">
        <v>9</v>
      </c>
      <c r="X54" s="22" t="s">
        <v>5</v>
      </c>
      <c r="Y54" s="22" t="s">
        <v>5</v>
      </c>
      <c r="Z54" s="26" t="s">
        <v>3</v>
      </c>
      <c r="AA54" s="26" t="s">
        <v>3</v>
      </c>
      <c r="AB54" s="26" t="s">
        <v>3</v>
      </c>
      <c r="AC54" s="27" t="s">
        <v>7</v>
      </c>
      <c r="AD54" s="28" t="s">
        <v>11</v>
      </c>
      <c r="AE54" s="22" t="s">
        <v>5</v>
      </c>
      <c r="AF54" s="26" t="s">
        <v>3</v>
      </c>
      <c r="AG54" s="22" t="s">
        <v>5</v>
      </c>
      <c r="AH54" s="8">
        <f t="shared" si="16"/>
        <v>7</v>
      </c>
      <c r="AI54" s="25">
        <f t="shared" si="17"/>
        <v>15</v>
      </c>
      <c r="AJ54" s="29">
        <f t="shared" si="18"/>
        <v>1</v>
      </c>
      <c r="AK54" s="62">
        <v>1</v>
      </c>
      <c r="AL54" s="33">
        <f t="shared" si="19"/>
        <v>8.5</v>
      </c>
      <c r="AM54" s="63">
        <f t="shared" si="20"/>
        <v>176</v>
      </c>
      <c r="AN54" s="63">
        <f t="shared" si="21"/>
        <v>0</v>
      </c>
      <c r="AO54" s="63">
        <f t="shared" si="22"/>
        <v>0</v>
      </c>
      <c r="AP54" s="53">
        <f t="shared" si="23"/>
        <v>8.5</v>
      </c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</row>
    <row r="55" spans="1:55" ht="22" customHeight="1" x14ac:dyDescent="0.35">
      <c r="A55" s="8" t="s">
        <v>137</v>
      </c>
      <c r="B55" s="8" t="s">
        <v>138</v>
      </c>
      <c r="C55" s="8" t="s">
        <v>104</v>
      </c>
      <c r="D55" s="22" t="s">
        <v>5</v>
      </c>
      <c r="E55" s="22" t="s">
        <v>5</v>
      </c>
      <c r="F55" s="26" t="s">
        <v>3</v>
      </c>
      <c r="G55" s="22" t="s">
        <v>5</v>
      </c>
      <c r="H55" s="23" t="s">
        <v>7</v>
      </c>
      <c r="I55" s="24" t="s">
        <v>9</v>
      </c>
      <c r="J55" s="22" t="s">
        <v>5</v>
      </c>
      <c r="K55" s="22" t="s">
        <v>5</v>
      </c>
      <c r="L55" s="22" t="s">
        <v>5</v>
      </c>
      <c r="M55" s="22" t="s">
        <v>5</v>
      </c>
      <c r="N55" s="22" t="s">
        <v>5</v>
      </c>
      <c r="O55" s="23" t="s">
        <v>7</v>
      </c>
      <c r="P55" s="24" t="s">
        <v>9</v>
      </c>
      <c r="Q55" s="22" t="s">
        <v>5</v>
      </c>
      <c r="R55" s="22" t="s">
        <v>5</v>
      </c>
      <c r="S55" s="22" t="s">
        <v>5</v>
      </c>
      <c r="T55" s="22" t="s">
        <v>5</v>
      </c>
      <c r="U55" s="22" t="s">
        <v>5</v>
      </c>
      <c r="V55" s="23" t="s">
        <v>7</v>
      </c>
      <c r="W55" s="24" t="s">
        <v>9</v>
      </c>
      <c r="X55" s="22" t="s">
        <v>5</v>
      </c>
      <c r="Y55" s="22" t="s">
        <v>5</v>
      </c>
      <c r="Z55" s="22" t="s">
        <v>5</v>
      </c>
      <c r="AA55" s="22" t="s">
        <v>5</v>
      </c>
      <c r="AB55" s="22" t="s">
        <v>5</v>
      </c>
      <c r="AC55" s="23" t="s">
        <v>7</v>
      </c>
      <c r="AD55" s="24" t="s">
        <v>9</v>
      </c>
      <c r="AE55" s="22" t="s">
        <v>5</v>
      </c>
      <c r="AF55" s="22" t="s">
        <v>5</v>
      </c>
      <c r="AG55" s="22" t="s">
        <v>5</v>
      </c>
      <c r="AH55" s="8">
        <f t="shared" si="16"/>
        <v>1</v>
      </c>
      <c r="AI55" s="25">
        <f t="shared" si="17"/>
        <v>21</v>
      </c>
      <c r="AJ55" s="8">
        <f t="shared" si="18"/>
        <v>0</v>
      </c>
      <c r="AK55" s="62">
        <v>0</v>
      </c>
      <c r="AL55" s="33">
        <f t="shared" si="19"/>
        <v>1</v>
      </c>
      <c r="AM55" s="63">
        <f t="shared" si="20"/>
        <v>176</v>
      </c>
      <c r="AN55" s="63">
        <f t="shared" si="21"/>
        <v>0</v>
      </c>
      <c r="AO55" s="63">
        <f t="shared" si="22"/>
        <v>0</v>
      </c>
      <c r="AP55" s="53">
        <f t="shared" si="23"/>
        <v>1</v>
      </c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</row>
    <row r="56" spans="1:55" ht="22" customHeight="1" x14ac:dyDescent="0.35">
      <c r="A56" s="8" t="s">
        <v>139</v>
      </c>
      <c r="B56" s="8" t="s">
        <v>140</v>
      </c>
      <c r="C56" s="8" t="s">
        <v>104</v>
      </c>
      <c r="D56" s="26" t="s">
        <v>3</v>
      </c>
      <c r="E56" s="22" t="s">
        <v>5</v>
      </c>
      <c r="F56" s="26" t="s">
        <v>3</v>
      </c>
      <c r="G56" s="26" t="s">
        <v>3</v>
      </c>
      <c r="H56" s="27" t="s">
        <v>7</v>
      </c>
      <c r="I56" s="28" t="s">
        <v>11</v>
      </c>
      <c r="J56" s="26" t="s">
        <v>3</v>
      </c>
      <c r="K56" s="26" t="s">
        <v>3</v>
      </c>
      <c r="L56" s="26" t="s">
        <v>3</v>
      </c>
      <c r="M56" s="26" t="s">
        <v>3</v>
      </c>
      <c r="N56" s="26" t="s">
        <v>3</v>
      </c>
      <c r="O56" s="27" t="s">
        <v>7</v>
      </c>
      <c r="P56" s="28" t="s">
        <v>11</v>
      </c>
      <c r="Q56" s="26" t="s">
        <v>3</v>
      </c>
      <c r="R56" s="22" t="s">
        <v>5</v>
      </c>
      <c r="S56" s="22" t="s">
        <v>5</v>
      </c>
      <c r="T56" s="22" t="s">
        <v>5</v>
      </c>
      <c r="U56" s="22" t="s">
        <v>5</v>
      </c>
      <c r="V56" s="23" t="s">
        <v>7</v>
      </c>
      <c r="W56" s="24" t="s">
        <v>9</v>
      </c>
      <c r="X56" s="22" t="s">
        <v>5</v>
      </c>
      <c r="Y56" s="22" t="s">
        <v>5</v>
      </c>
      <c r="Z56" s="22" t="s">
        <v>5</v>
      </c>
      <c r="AA56" s="22" t="s">
        <v>5</v>
      </c>
      <c r="AB56" s="22" t="s">
        <v>5</v>
      </c>
      <c r="AC56" s="23" t="s">
        <v>7</v>
      </c>
      <c r="AD56" s="24" t="s">
        <v>9</v>
      </c>
      <c r="AE56" s="22" t="s">
        <v>5</v>
      </c>
      <c r="AF56" s="22" t="s">
        <v>5</v>
      </c>
      <c r="AG56" s="22" t="s">
        <v>5</v>
      </c>
      <c r="AH56" s="8">
        <f t="shared" si="16"/>
        <v>9</v>
      </c>
      <c r="AI56" s="25">
        <f t="shared" si="17"/>
        <v>13</v>
      </c>
      <c r="AJ56" s="29">
        <f t="shared" si="18"/>
        <v>2</v>
      </c>
      <c r="AK56" s="62">
        <v>2</v>
      </c>
      <c r="AL56" s="33">
        <f t="shared" si="19"/>
        <v>12</v>
      </c>
      <c r="AM56" s="63">
        <f t="shared" si="20"/>
        <v>176</v>
      </c>
      <c r="AN56" s="63">
        <f t="shared" si="21"/>
        <v>0</v>
      </c>
      <c r="AO56" s="63">
        <f t="shared" si="22"/>
        <v>0</v>
      </c>
      <c r="AP56" s="53">
        <f t="shared" si="23"/>
        <v>12</v>
      </c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</row>
    <row r="57" spans="1:55" ht="22" customHeight="1" x14ac:dyDescent="0.35">
      <c r="A57" s="8" t="s">
        <v>141</v>
      </c>
      <c r="B57" s="8" t="s">
        <v>142</v>
      </c>
      <c r="C57" s="8" t="s">
        <v>104</v>
      </c>
      <c r="D57" s="22" t="s">
        <v>5</v>
      </c>
      <c r="E57" s="22" t="s">
        <v>5</v>
      </c>
      <c r="F57" s="22" t="s">
        <v>5</v>
      </c>
      <c r="G57" s="22" t="s">
        <v>5</v>
      </c>
      <c r="H57" s="23" t="s">
        <v>7</v>
      </c>
      <c r="I57" s="24" t="s">
        <v>9</v>
      </c>
      <c r="J57" s="22" t="s">
        <v>5</v>
      </c>
      <c r="K57" s="22" t="s">
        <v>5</v>
      </c>
      <c r="L57" s="22" t="s">
        <v>5</v>
      </c>
      <c r="M57" s="22" t="s">
        <v>5</v>
      </c>
      <c r="N57" s="22" t="s">
        <v>5</v>
      </c>
      <c r="O57" s="23" t="s">
        <v>7</v>
      </c>
      <c r="P57" s="24" t="s">
        <v>9</v>
      </c>
      <c r="Q57" s="22" t="s">
        <v>5</v>
      </c>
      <c r="R57" s="26" t="s">
        <v>3</v>
      </c>
      <c r="S57" s="26" t="s">
        <v>3</v>
      </c>
      <c r="T57" s="22" t="s">
        <v>5</v>
      </c>
      <c r="U57" s="26" t="s">
        <v>3</v>
      </c>
      <c r="V57" s="27" t="s">
        <v>7</v>
      </c>
      <c r="W57" s="28" t="s">
        <v>11</v>
      </c>
      <c r="X57" s="26" t="s">
        <v>3</v>
      </c>
      <c r="Y57" s="26" t="s">
        <v>3</v>
      </c>
      <c r="Z57" s="26" t="s">
        <v>3</v>
      </c>
      <c r="AA57" s="26" t="s">
        <v>3</v>
      </c>
      <c r="AB57" s="26" t="s">
        <v>3</v>
      </c>
      <c r="AC57" s="27" t="s">
        <v>7</v>
      </c>
      <c r="AD57" s="24" t="s">
        <v>9</v>
      </c>
      <c r="AE57" s="22" t="s">
        <v>5</v>
      </c>
      <c r="AF57" s="22" t="s">
        <v>5</v>
      </c>
      <c r="AG57" s="26" t="s">
        <v>3</v>
      </c>
      <c r="AH57" s="8">
        <f t="shared" si="16"/>
        <v>9</v>
      </c>
      <c r="AI57" s="25">
        <f t="shared" si="17"/>
        <v>13</v>
      </c>
      <c r="AJ57" s="29">
        <f t="shared" si="18"/>
        <v>1</v>
      </c>
      <c r="AK57" s="62">
        <v>2</v>
      </c>
      <c r="AL57" s="33">
        <f t="shared" si="19"/>
        <v>11</v>
      </c>
      <c r="AM57" s="63">
        <f t="shared" si="20"/>
        <v>176</v>
      </c>
      <c r="AN57" s="63">
        <f t="shared" si="21"/>
        <v>0</v>
      </c>
      <c r="AO57" s="63">
        <f t="shared" si="22"/>
        <v>0</v>
      </c>
      <c r="AP57" s="53">
        <f t="shared" si="23"/>
        <v>11</v>
      </c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</row>
    <row r="58" spans="1:55" ht="22" customHeight="1" x14ac:dyDescent="0.35">
      <c r="A58" s="8" t="s">
        <v>143</v>
      </c>
      <c r="B58" s="8" t="s">
        <v>144</v>
      </c>
      <c r="C58" s="8" t="s">
        <v>104</v>
      </c>
      <c r="D58" s="26" t="s">
        <v>3</v>
      </c>
      <c r="E58" s="26" t="s">
        <v>3</v>
      </c>
      <c r="F58" s="26" t="s">
        <v>3</v>
      </c>
      <c r="G58" s="26" t="s">
        <v>3</v>
      </c>
      <c r="H58" s="27" t="s">
        <v>7</v>
      </c>
      <c r="I58" s="28" t="s">
        <v>11</v>
      </c>
      <c r="J58" s="26" t="s">
        <v>3</v>
      </c>
      <c r="K58" s="26" t="s">
        <v>3</v>
      </c>
      <c r="L58" s="26" t="s">
        <v>3</v>
      </c>
      <c r="M58" s="26" t="s">
        <v>3</v>
      </c>
      <c r="N58" s="26" t="s">
        <v>3</v>
      </c>
      <c r="O58" s="27" t="s">
        <v>7</v>
      </c>
      <c r="P58" s="28" t="s">
        <v>11</v>
      </c>
      <c r="Q58" s="26" t="s">
        <v>3</v>
      </c>
      <c r="R58" s="22" t="s">
        <v>5</v>
      </c>
      <c r="S58" s="22" t="s">
        <v>5</v>
      </c>
      <c r="T58" s="22" t="s">
        <v>5</v>
      </c>
      <c r="U58" s="22" t="s">
        <v>5</v>
      </c>
      <c r="V58" s="23" t="s">
        <v>7</v>
      </c>
      <c r="W58" s="24" t="s">
        <v>9</v>
      </c>
      <c r="X58" s="22" t="s">
        <v>5</v>
      </c>
      <c r="Y58" s="22" t="s">
        <v>5</v>
      </c>
      <c r="Z58" s="22" t="s">
        <v>5</v>
      </c>
      <c r="AA58" s="22" t="s">
        <v>5</v>
      </c>
      <c r="AB58" s="22" t="s">
        <v>5</v>
      </c>
      <c r="AC58" s="23" t="s">
        <v>7</v>
      </c>
      <c r="AD58" s="24" t="s">
        <v>9</v>
      </c>
      <c r="AE58" s="22" t="s">
        <v>5</v>
      </c>
      <c r="AF58" s="22" t="s">
        <v>5</v>
      </c>
      <c r="AG58" s="22" t="s">
        <v>5</v>
      </c>
      <c r="AH58" s="8">
        <f t="shared" si="16"/>
        <v>10</v>
      </c>
      <c r="AI58" s="25">
        <f t="shared" si="17"/>
        <v>12</v>
      </c>
      <c r="AJ58" s="29">
        <f t="shared" si="18"/>
        <v>2</v>
      </c>
      <c r="AK58" s="62">
        <v>2</v>
      </c>
      <c r="AL58" s="33">
        <f t="shared" si="19"/>
        <v>13</v>
      </c>
      <c r="AM58" s="63">
        <f t="shared" si="20"/>
        <v>176</v>
      </c>
      <c r="AN58" s="63">
        <f t="shared" si="21"/>
        <v>0</v>
      </c>
      <c r="AO58" s="63">
        <f t="shared" si="22"/>
        <v>0</v>
      </c>
      <c r="AP58" s="53">
        <f t="shared" si="23"/>
        <v>13</v>
      </c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</row>
    <row r="59" spans="1:55" ht="22" customHeight="1" x14ac:dyDescent="0.35">
      <c r="A59" s="8" t="s">
        <v>145</v>
      </c>
      <c r="B59" s="8" t="s">
        <v>146</v>
      </c>
      <c r="C59" s="8" t="s">
        <v>104</v>
      </c>
      <c r="D59" s="26" t="s">
        <v>3</v>
      </c>
      <c r="E59" s="22" t="s">
        <v>5</v>
      </c>
      <c r="F59" s="22" t="s">
        <v>5</v>
      </c>
      <c r="G59" s="26" t="s">
        <v>3</v>
      </c>
      <c r="H59" s="27" t="s">
        <v>7</v>
      </c>
      <c r="I59" s="28" t="s">
        <v>11</v>
      </c>
      <c r="J59" s="26" t="s">
        <v>3</v>
      </c>
      <c r="K59" s="26" t="s">
        <v>3</v>
      </c>
      <c r="L59" s="26" t="s">
        <v>3</v>
      </c>
      <c r="M59" s="26" t="s">
        <v>3</v>
      </c>
      <c r="N59" s="26" t="s">
        <v>3</v>
      </c>
      <c r="O59" s="27" t="s">
        <v>7</v>
      </c>
      <c r="P59" s="28" t="s">
        <v>11</v>
      </c>
      <c r="Q59" s="26" t="s">
        <v>3</v>
      </c>
      <c r="R59" s="26" t="s">
        <v>3</v>
      </c>
      <c r="S59" s="22" t="s">
        <v>5</v>
      </c>
      <c r="T59" s="22" t="s">
        <v>5</v>
      </c>
      <c r="U59" s="22" t="s">
        <v>5</v>
      </c>
      <c r="V59" s="23" t="s">
        <v>7</v>
      </c>
      <c r="W59" s="24" t="s">
        <v>9</v>
      </c>
      <c r="X59" s="22" t="s">
        <v>5</v>
      </c>
      <c r="Y59" s="22" t="s">
        <v>5</v>
      </c>
      <c r="Z59" s="22" t="s">
        <v>5</v>
      </c>
      <c r="AA59" s="22" t="s">
        <v>5</v>
      </c>
      <c r="AB59" s="22" t="s">
        <v>5</v>
      </c>
      <c r="AC59" s="23" t="s">
        <v>7</v>
      </c>
      <c r="AD59" s="24" t="s">
        <v>9</v>
      </c>
      <c r="AE59" s="22" t="s">
        <v>5</v>
      </c>
      <c r="AF59" s="22" t="s">
        <v>5</v>
      </c>
      <c r="AG59" s="22" t="s">
        <v>5</v>
      </c>
      <c r="AH59" s="8">
        <f t="shared" si="16"/>
        <v>9</v>
      </c>
      <c r="AI59" s="25">
        <f t="shared" si="17"/>
        <v>13</v>
      </c>
      <c r="AJ59" s="29">
        <f t="shared" si="18"/>
        <v>2</v>
      </c>
      <c r="AK59" s="62">
        <v>2</v>
      </c>
      <c r="AL59" s="33">
        <f t="shared" si="19"/>
        <v>12</v>
      </c>
      <c r="AM59" s="63">
        <f t="shared" si="20"/>
        <v>176</v>
      </c>
      <c r="AN59" s="63">
        <f t="shared" si="21"/>
        <v>0</v>
      </c>
      <c r="AO59" s="63">
        <f t="shared" si="22"/>
        <v>0</v>
      </c>
      <c r="AP59" s="53">
        <f t="shared" si="23"/>
        <v>12</v>
      </c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</row>
    <row r="60" spans="1:55" ht="22" customHeight="1" x14ac:dyDescent="0.35">
      <c r="A60" s="8" t="s">
        <v>147</v>
      </c>
      <c r="B60" s="8" t="s">
        <v>148</v>
      </c>
      <c r="C60" s="8" t="s">
        <v>104</v>
      </c>
      <c r="D60" s="22" t="s">
        <v>5</v>
      </c>
      <c r="E60" s="22" t="s">
        <v>5</v>
      </c>
      <c r="F60" s="22" t="s">
        <v>5</v>
      </c>
      <c r="G60" s="22" t="s">
        <v>5</v>
      </c>
      <c r="H60" s="23" t="s">
        <v>7</v>
      </c>
      <c r="I60" s="24" t="s">
        <v>9</v>
      </c>
      <c r="J60" s="22" t="s">
        <v>5</v>
      </c>
      <c r="K60" s="22" t="s">
        <v>5</v>
      </c>
      <c r="L60" s="22" t="s">
        <v>5</v>
      </c>
      <c r="M60" s="22" t="s">
        <v>5</v>
      </c>
      <c r="N60" s="22" t="s">
        <v>5</v>
      </c>
      <c r="O60" s="23" t="s">
        <v>7</v>
      </c>
      <c r="P60" s="24" t="s">
        <v>9</v>
      </c>
      <c r="Q60" s="22" t="s">
        <v>5</v>
      </c>
      <c r="R60" s="26" t="s">
        <v>3</v>
      </c>
      <c r="S60" s="26" t="s">
        <v>3</v>
      </c>
      <c r="T60" s="26" t="s">
        <v>3</v>
      </c>
      <c r="U60" s="26" t="s">
        <v>3</v>
      </c>
      <c r="V60" s="27" t="s">
        <v>7</v>
      </c>
      <c r="W60" s="28" t="s">
        <v>11</v>
      </c>
      <c r="X60" s="26" t="s">
        <v>3</v>
      </c>
      <c r="Y60" s="26" t="s">
        <v>3</v>
      </c>
      <c r="Z60" s="26" t="s">
        <v>3</v>
      </c>
      <c r="AA60" s="26" t="s">
        <v>3</v>
      </c>
      <c r="AB60" s="22" t="s">
        <v>5</v>
      </c>
      <c r="AC60" s="23" t="s">
        <v>7</v>
      </c>
      <c r="AD60" s="24" t="s">
        <v>9</v>
      </c>
      <c r="AE60" s="22" t="s">
        <v>5</v>
      </c>
      <c r="AF60" s="26" t="s">
        <v>3</v>
      </c>
      <c r="AG60" s="22" t="s">
        <v>5</v>
      </c>
      <c r="AH60" s="8">
        <f t="shared" si="16"/>
        <v>9</v>
      </c>
      <c r="AI60" s="25">
        <f t="shared" si="17"/>
        <v>13</v>
      </c>
      <c r="AJ60" s="29">
        <f t="shared" si="18"/>
        <v>1</v>
      </c>
      <c r="AK60" s="62">
        <v>1</v>
      </c>
      <c r="AL60" s="33">
        <f t="shared" si="19"/>
        <v>10.5</v>
      </c>
      <c r="AM60" s="63">
        <f t="shared" si="20"/>
        <v>176</v>
      </c>
      <c r="AN60" s="63">
        <f t="shared" si="21"/>
        <v>0</v>
      </c>
      <c r="AO60" s="63">
        <f t="shared" si="22"/>
        <v>0</v>
      </c>
      <c r="AP60" s="53">
        <f t="shared" si="23"/>
        <v>10.5</v>
      </c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</row>
    <row r="61" spans="1:55" ht="22" customHeight="1" x14ac:dyDescent="0.35">
      <c r="A61" s="8" t="s">
        <v>149</v>
      </c>
      <c r="B61" s="8" t="s">
        <v>150</v>
      </c>
      <c r="C61" s="8" t="s">
        <v>104</v>
      </c>
      <c r="D61" s="22" t="s">
        <v>5</v>
      </c>
      <c r="E61" s="22" t="s">
        <v>5</v>
      </c>
      <c r="F61" s="22" t="s">
        <v>5</v>
      </c>
      <c r="G61" s="22" t="s">
        <v>5</v>
      </c>
      <c r="H61" s="23" t="s">
        <v>7</v>
      </c>
      <c r="I61" s="24" t="s">
        <v>9</v>
      </c>
      <c r="J61" s="22" t="s">
        <v>5</v>
      </c>
      <c r="K61" s="22" t="s">
        <v>5</v>
      </c>
      <c r="L61" s="22" t="s">
        <v>5</v>
      </c>
      <c r="M61" s="22" t="s">
        <v>5</v>
      </c>
      <c r="N61" s="22" t="s">
        <v>5</v>
      </c>
      <c r="O61" s="23" t="s">
        <v>7</v>
      </c>
      <c r="P61" s="24" t="s">
        <v>9</v>
      </c>
      <c r="Q61" s="22" t="s">
        <v>5</v>
      </c>
      <c r="R61" s="26" t="s">
        <v>3</v>
      </c>
      <c r="S61" s="26" t="s">
        <v>3</v>
      </c>
      <c r="T61" s="26" t="s">
        <v>3</v>
      </c>
      <c r="U61" s="26" t="s">
        <v>3</v>
      </c>
      <c r="V61" s="27" t="s">
        <v>7</v>
      </c>
      <c r="W61" s="28" t="s">
        <v>11</v>
      </c>
      <c r="X61" s="26" t="s">
        <v>3</v>
      </c>
      <c r="Y61" s="26" t="s">
        <v>3</v>
      </c>
      <c r="Z61" s="26" t="s">
        <v>3</v>
      </c>
      <c r="AA61" s="26" t="s">
        <v>3</v>
      </c>
      <c r="AB61" s="22" t="s">
        <v>5</v>
      </c>
      <c r="AC61" s="23" t="s">
        <v>7</v>
      </c>
      <c r="AD61" s="24" t="s">
        <v>9</v>
      </c>
      <c r="AE61" s="22" t="s">
        <v>5</v>
      </c>
      <c r="AF61" s="26" t="s">
        <v>3</v>
      </c>
      <c r="AG61" s="22" t="s">
        <v>5</v>
      </c>
      <c r="AH61" s="8">
        <f t="shared" si="16"/>
        <v>9</v>
      </c>
      <c r="AI61" s="25">
        <f t="shared" si="17"/>
        <v>13</v>
      </c>
      <c r="AJ61" s="29">
        <f t="shared" si="18"/>
        <v>1</v>
      </c>
      <c r="AK61" s="62">
        <v>1</v>
      </c>
      <c r="AL61" s="33">
        <f t="shared" si="19"/>
        <v>10.5</v>
      </c>
      <c r="AM61" s="63">
        <f t="shared" si="20"/>
        <v>176</v>
      </c>
      <c r="AN61" s="63">
        <f t="shared" si="21"/>
        <v>0</v>
      </c>
      <c r="AO61" s="63">
        <f t="shared" si="22"/>
        <v>0</v>
      </c>
      <c r="AP61" s="53">
        <f t="shared" si="23"/>
        <v>10.5</v>
      </c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</row>
    <row r="62" spans="1:55" ht="22" customHeight="1" x14ac:dyDescent="0.35">
      <c r="A62" s="8" t="s">
        <v>151</v>
      </c>
      <c r="B62" s="8" t="s">
        <v>152</v>
      </c>
      <c r="C62" s="8" t="s">
        <v>104</v>
      </c>
      <c r="D62" s="22" t="s">
        <v>5</v>
      </c>
      <c r="E62" s="26" t="s">
        <v>3</v>
      </c>
      <c r="F62" s="22" t="s">
        <v>5</v>
      </c>
      <c r="G62" s="26" t="s">
        <v>3</v>
      </c>
      <c r="H62" s="27" t="s">
        <v>7</v>
      </c>
      <c r="I62" s="28" t="s">
        <v>11</v>
      </c>
      <c r="J62" s="26" t="s">
        <v>3</v>
      </c>
      <c r="K62" s="26" t="s">
        <v>3</v>
      </c>
      <c r="L62" s="26" t="s">
        <v>3</v>
      </c>
      <c r="M62" s="26" t="s">
        <v>3</v>
      </c>
      <c r="N62" s="26" t="s">
        <v>3</v>
      </c>
      <c r="O62" s="27" t="s">
        <v>7</v>
      </c>
      <c r="P62" s="28" t="s">
        <v>11</v>
      </c>
      <c r="Q62" s="22" t="s">
        <v>5</v>
      </c>
      <c r="R62" s="22" t="s">
        <v>5</v>
      </c>
      <c r="S62" s="22" t="s">
        <v>5</v>
      </c>
      <c r="T62" s="22" t="s">
        <v>5</v>
      </c>
      <c r="U62" s="22" t="s">
        <v>5</v>
      </c>
      <c r="V62" s="23" t="s">
        <v>7</v>
      </c>
      <c r="W62" s="24" t="s">
        <v>9</v>
      </c>
      <c r="X62" s="22" t="s">
        <v>5</v>
      </c>
      <c r="Y62" s="22" t="s">
        <v>5</v>
      </c>
      <c r="Z62" s="22" t="s">
        <v>5</v>
      </c>
      <c r="AA62" s="22" t="s">
        <v>5</v>
      </c>
      <c r="AB62" s="22" t="s">
        <v>5</v>
      </c>
      <c r="AC62" s="23" t="s">
        <v>7</v>
      </c>
      <c r="AD62" s="24" t="s">
        <v>9</v>
      </c>
      <c r="AE62" s="22" t="s">
        <v>5</v>
      </c>
      <c r="AF62" s="22" t="s">
        <v>5</v>
      </c>
      <c r="AG62" s="22" t="s">
        <v>5</v>
      </c>
      <c r="AH62" s="8">
        <f t="shared" si="16"/>
        <v>7</v>
      </c>
      <c r="AI62" s="25">
        <f t="shared" si="17"/>
        <v>15</v>
      </c>
      <c r="AJ62" s="29">
        <f t="shared" si="18"/>
        <v>2</v>
      </c>
      <c r="AK62" s="62">
        <v>2</v>
      </c>
      <c r="AL62" s="33">
        <f t="shared" si="19"/>
        <v>10</v>
      </c>
      <c r="AM62" s="63">
        <f t="shared" si="20"/>
        <v>176</v>
      </c>
      <c r="AN62" s="63">
        <f t="shared" si="21"/>
        <v>0</v>
      </c>
      <c r="AO62" s="63">
        <f t="shared" si="22"/>
        <v>0</v>
      </c>
      <c r="AP62" s="53">
        <f t="shared" si="23"/>
        <v>10</v>
      </c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</row>
    <row r="63" spans="1:55" ht="22" customHeight="1" x14ac:dyDescent="0.35">
      <c r="A63" s="8" t="s">
        <v>153</v>
      </c>
      <c r="B63" s="8" t="s">
        <v>154</v>
      </c>
      <c r="C63" s="8" t="s">
        <v>104</v>
      </c>
      <c r="D63" s="22" t="s">
        <v>5</v>
      </c>
      <c r="E63" s="22" t="s">
        <v>5</v>
      </c>
      <c r="F63" s="22" t="s">
        <v>5</v>
      </c>
      <c r="G63" s="22" t="s">
        <v>5</v>
      </c>
      <c r="H63" s="23" t="s">
        <v>7</v>
      </c>
      <c r="I63" s="24" t="s">
        <v>9</v>
      </c>
      <c r="J63" s="22" t="s">
        <v>5</v>
      </c>
      <c r="K63" s="22" t="s">
        <v>5</v>
      </c>
      <c r="L63" s="22" t="s">
        <v>5</v>
      </c>
      <c r="M63" s="22" t="s">
        <v>5</v>
      </c>
      <c r="N63" s="22" t="s">
        <v>5</v>
      </c>
      <c r="O63" s="23" t="s">
        <v>7</v>
      </c>
      <c r="P63" s="24" t="s">
        <v>9</v>
      </c>
      <c r="Q63" s="22" t="s">
        <v>5</v>
      </c>
      <c r="R63" s="26" t="s">
        <v>3</v>
      </c>
      <c r="S63" s="26" t="s">
        <v>3</v>
      </c>
      <c r="T63" s="26" t="s">
        <v>3</v>
      </c>
      <c r="U63" s="26" t="s">
        <v>3</v>
      </c>
      <c r="V63" s="27" t="s">
        <v>7</v>
      </c>
      <c r="W63" s="28" t="s">
        <v>11</v>
      </c>
      <c r="X63" s="26" t="s">
        <v>3</v>
      </c>
      <c r="Y63" s="26" t="s">
        <v>3</v>
      </c>
      <c r="Z63" s="26" t="s">
        <v>3</v>
      </c>
      <c r="AA63" s="22" t="s">
        <v>5</v>
      </c>
      <c r="AB63" s="26" t="s">
        <v>3</v>
      </c>
      <c r="AC63" s="27" t="s">
        <v>7</v>
      </c>
      <c r="AD63" s="24" t="s">
        <v>9</v>
      </c>
      <c r="AE63" s="26" t="s">
        <v>3</v>
      </c>
      <c r="AF63" s="26" t="s">
        <v>3</v>
      </c>
      <c r="AG63" s="26" t="s">
        <v>3</v>
      </c>
      <c r="AH63" s="8">
        <f t="shared" si="16"/>
        <v>11</v>
      </c>
      <c r="AI63" s="25">
        <f t="shared" si="17"/>
        <v>11</v>
      </c>
      <c r="AJ63" s="29">
        <f t="shared" si="18"/>
        <v>1</v>
      </c>
      <c r="AK63" s="62">
        <v>2</v>
      </c>
      <c r="AL63" s="33">
        <f t="shared" si="19"/>
        <v>13</v>
      </c>
      <c r="AM63" s="63">
        <f t="shared" si="20"/>
        <v>176</v>
      </c>
      <c r="AN63" s="63">
        <f t="shared" si="21"/>
        <v>0</v>
      </c>
      <c r="AO63" s="63">
        <f t="shared" si="22"/>
        <v>0</v>
      </c>
      <c r="AP63" s="53">
        <f t="shared" si="23"/>
        <v>13</v>
      </c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</row>
    <row r="64" spans="1:55" ht="22" customHeight="1" x14ac:dyDescent="0.35">
      <c r="A64" s="8" t="s">
        <v>155</v>
      </c>
      <c r="B64" s="8" t="s">
        <v>156</v>
      </c>
      <c r="C64" s="8" t="s">
        <v>104</v>
      </c>
      <c r="D64" s="22" t="s">
        <v>5</v>
      </c>
      <c r="E64" s="22" t="s">
        <v>5</v>
      </c>
      <c r="F64" s="22" t="s">
        <v>5</v>
      </c>
      <c r="G64" s="22" t="s">
        <v>5</v>
      </c>
      <c r="H64" s="23" t="s">
        <v>7</v>
      </c>
      <c r="I64" s="24" t="s">
        <v>9</v>
      </c>
      <c r="J64" s="22" t="s">
        <v>5</v>
      </c>
      <c r="K64" s="22" t="s">
        <v>5</v>
      </c>
      <c r="L64" s="22" t="s">
        <v>5</v>
      </c>
      <c r="M64" s="26" t="s">
        <v>3</v>
      </c>
      <c r="N64" s="26" t="s">
        <v>3</v>
      </c>
      <c r="O64" s="27" t="s">
        <v>7</v>
      </c>
      <c r="P64" s="28" t="s">
        <v>11</v>
      </c>
      <c r="Q64" s="26" t="s">
        <v>3</v>
      </c>
      <c r="R64" s="26" t="s">
        <v>3</v>
      </c>
      <c r="S64" s="26" t="s">
        <v>3</v>
      </c>
      <c r="T64" s="26" t="s">
        <v>3</v>
      </c>
      <c r="U64" s="26" t="s">
        <v>3</v>
      </c>
      <c r="V64" s="27" t="s">
        <v>7</v>
      </c>
      <c r="W64" s="28" t="s">
        <v>11</v>
      </c>
      <c r="X64" s="22" t="s">
        <v>5</v>
      </c>
      <c r="Y64" s="26" t="s">
        <v>3</v>
      </c>
      <c r="Z64" s="26" t="s">
        <v>3</v>
      </c>
      <c r="AA64" s="26" t="s">
        <v>3</v>
      </c>
      <c r="AB64" s="26" t="s">
        <v>3</v>
      </c>
      <c r="AC64" s="27" t="s">
        <v>7</v>
      </c>
      <c r="AD64" s="24" t="s">
        <v>9</v>
      </c>
      <c r="AE64" s="22" t="s">
        <v>5</v>
      </c>
      <c r="AF64" s="26" t="s">
        <v>3</v>
      </c>
      <c r="AG64" s="22" t="s">
        <v>5</v>
      </c>
      <c r="AH64" s="8">
        <f t="shared" si="16"/>
        <v>12</v>
      </c>
      <c r="AI64" s="8">
        <f t="shared" si="17"/>
        <v>10</v>
      </c>
      <c r="AJ64" s="29">
        <f t="shared" si="18"/>
        <v>2</v>
      </c>
      <c r="AK64" s="62">
        <v>3</v>
      </c>
      <c r="AL64" s="33">
        <f t="shared" si="19"/>
        <v>15.5</v>
      </c>
      <c r="AM64" s="63">
        <f t="shared" si="20"/>
        <v>176</v>
      </c>
      <c r="AN64" s="63">
        <f t="shared" si="21"/>
        <v>0</v>
      </c>
      <c r="AO64" s="63">
        <f t="shared" si="22"/>
        <v>0</v>
      </c>
      <c r="AP64" s="53">
        <f t="shared" si="23"/>
        <v>15.5</v>
      </c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</row>
    <row r="65" spans="1:55" ht="22" customHeight="1" x14ac:dyDescent="0.35">
      <c r="A65" s="8" t="s">
        <v>157</v>
      </c>
      <c r="B65" s="8" t="s">
        <v>158</v>
      </c>
      <c r="C65" s="8" t="s">
        <v>104</v>
      </c>
      <c r="D65" s="22" t="s">
        <v>5</v>
      </c>
      <c r="E65" s="22" t="s">
        <v>5</v>
      </c>
      <c r="F65" s="22" t="s">
        <v>5</v>
      </c>
      <c r="G65" s="22" t="s">
        <v>5</v>
      </c>
      <c r="H65" s="23" t="s">
        <v>7</v>
      </c>
      <c r="I65" s="24" t="s">
        <v>9</v>
      </c>
      <c r="J65" s="22" t="s">
        <v>5</v>
      </c>
      <c r="K65" s="22" t="s">
        <v>5</v>
      </c>
      <c r="L65" s="22" t="s">
        <v>5</v>
      </c>
      <c r="M65" s="22" t="s">
        <v>5</v>
      </c>
      <c r="N65" s="22" t="s">
        <v>5</v>
      </c>
      <c r="O65" s="23" t="s">
        <v>7</v>
      </c>
      <c r="P65" s="24" t="s">
        <v>9</v>
      </c>
      <c r="Q65" s="22" t="s">
        <v>5</v>
      </c>
      <c r="R65" s="22" t="s">
        <v>5</v>
      </c>
      <c r="S65" s="22" t="s">
        <v>5</v>
      </c>
      <c r="T65" s="22" t="s">
        <v>5</v>
      </c>
      <c r="U65" s="22" t="s">
        <v>5</v>
      </c>
      <c r="V65" s="23" t="s">
        <v>7</v>
      </c>
      <c r="W65" s="24" t="s">
        <v>9</v>
      </c>
      <c r="X65" s="22" t="s">
        <v>5</v>
      </c>
      <c r="Y65" s="22" t="s">
        <v>5</v>
      </c>
      <c r="Z65" s="22" t="s">
        <v>5</v>
      </c>
      <c r="AA65" s="22" t="s">
        <v>5</v>
      </c>
      <c r="AB65" s="22" t="s">
        <v>5</v>
      </c>
      <c r="AC65" s="23" t="s">
        <v>7</v>
      </c>
      <c r="AD65" s="24" t="s">
        <v>9</v>
      </c>
      <c r="AE65" s="22" t="s">
        <v>5</v>
      </c>
      <c r="AF65" s="22" t="s">
        <v>5</v>
      </c>
      <c r="AG65" s="22" t="s">
        <v>5</v>
      </c>
      <c r="AH65" s="8">
        <f t="shared" si="16"/>
        <v>0</v>
      </c>
      <c r="AI65" s="25">
        <f t="shared" si="17"/>
        <v>22</v>
      </c>
      <c r="AJ65" s="8">
        <f t="shared" si="18"/>
        <v>0</v>
      </c>
      <c r="AK65" s="62">
        <v>0</v>
      </c>
      <c r="AL65" s="33">
        <f t="shared" si="19"/>
        <v>0</v>
      </c>
      <c r="AM65" s="63">
        <f t="shared" si="20"/>
        <v>176</v>
      </c>
      <c r="AN65" s="63">
        <f t="shared" si="21"/>
        <v>0</v>
      </c>
      <c r="AO65" s="63">
        <f t="shared" si="22"/>
        <v>0</v>
      </c>
      <c r="AP65" s="53">
        <f t="shared" si="23"/>
        <v>0</v>
      </c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</row>
    <row r="66" spans="1:55" ht="22" customHeight="1" x14ac:dyDescent="0.35">
      <c r="A66" s="8" t="s">
        <v>159</v>
      </c>
      <c r="B66" s="8" t="s">
        <v>160</v>
      </c>
      <c r="C66" s="8" t="s">
        <v>104</v>
      </c>
      <c r="D66" s="22" t="s">
        <v>5</v>
      </c>
      <c r="E66" s="22" t="s">
        <v>5</v>
      </c>
      <c r="F66" s="22" t="s">
        <v>5</v>
      </c>
      <c r="G66" s="22" t="s">
        <v>5</v>
      </c>
      <c r="H66" s="23" t="s">
        <v>7</v>
      </c>
      <c r="I66" s="24" t="s">
        <v>9</v>
      </c>
      <c r="J66" s="22" t="s">
        <v>5</v>
      </c>
      <c r="K66" s="22" t="s">
        <v>5</v>
      </c>
      <c r="L66" s="22" t="s">
        <v>5</v>
      </c>
      <c r="M66" s="22" t="s">
        <v>5</v>
      </c>
      <c r="N66" s="22" t="s">
        <v>5</v>
      </c>
      <c r="O66" s="23" t="s">
        <v>7</v>
      </c>
      <c r="P66" s="24" t="s">
        <v>9</v>
      </c>
      <c r="Q66" s="22" t="s">
        <v>5</v>
      </c>
      <c r="R66" s="22" t="s">
        <v>5</v>
      </c>
      <c r="S66" s="22" t="s">
        <v>5</v>
      </c>
      <c r="T66" s="22" t="s">
        <v>5</v>
      </c>
      <c r="U66" s="22" t="s">
        <v>5</v>
      </c>
      <c r="V66" s="23" t="s">
        <v>7</v>
      </c>
      <c r="W66" s="24" t="s">
        <v>9</v>
      </c>
      <c r="X66" s="22" t="s">
        <v>5</v>
      </c>
      <c r="Y66" s="22" t="s">
        <v>5</v>
      </c>
      <c r="Z66" s="22" t="s">
        <v>5</v>
      </c>
      <c r="AA66" s="22" t="s">
        <v>5</v>
      </c>
      <c r="AB66" s="22" t="s">
        <v>5</v>
      </c>
      <c r="AC66" s="23" t="s">
        <v>7</v>
      </c>
      <c r="AD66" s="24" t="s">
        <v>9</v>
      </c>
      <c r="AE66" s="22" t="s">
        <v>5</v>
      </c>
      <c r="AF66" s="22" t="s">
        <v>5</v>
      </c>
      <c r="AG66" s="22" t="s">
        <v>5</v>
      </c>
      <c r="AH66" s="8">
        <f t="shared" si="16"/>
        <v>0</v>
      </c>
      <c r="AI66" s="25">
        <f t="shared" si="17"/>
        <v>22</v>
      </c>
      <c r="AJ66" s="8">
        <f t="shared" si="18"/>
        <v>0</v>
      </c>
      <c r="AK66" s="62">
        <v>0</v>
      </c>
      <c r="AL66" s="33">
        <f t="shared" si="19"/>
        <v>0</v>
      </c>
      <c r="AM66" s="63">
        <f t="shared" si="20"/>
        <v>176</v>
      </c>
      <c r="AN66" s="63">
        <f t="shared" si="21"/>
        <v>0</v>
      </c>
      <c r="AO66" s="63">
        <f t="shared" si="22"/>
        <v>0</v>
      </c>
      <c r="AP66" s="53">
        <f t="shared" si="23"/>
        <v>0</v>
      </c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</row>
    <row r="67" spans="1:55" ht="22" customHeight="1" x14ac:dyDescent="0.35">
      <c r="A67" s="8" t="s">
        <v>161</v>
      </c>
      <c r="B67" s="8" t="s">
        <v>162</v>
      </c>
      <c r="C67" s="8" t="s">
        <v>104</v>
      </c>
      <c r="D67" s="22" t="s">
        <v>5</v>
      </c>
      <c r="E67" s="22" t="s">
        <v>5</v>
      </c>
      <c r="F67" s="22" t="s">
        <v>5</v>
      </c>
      <c r="G67" s="22" t="s">
        <v>5</v>
      </c>
      <c r="H67" s="23" t="s">
        <v>7</v>
      </c>
      <c r="I67" s="24" t="s">
        <v>9</v>
      </c>
      <c r="J67" s="22" t="s">
        <v>5</v>
      </c>
      <c r="K67" s="22" t="s">
        <v>5</v>
      </c>
      <c r="L67" s="22" t="s">
        <v>5</v>
      </c>
      <c r="M67" s="22" t="s">
        <v>5</v>
      </c>
      <c r="N67" s="22" t="s">
        <v>5</v>
      </c>
      <c r="O67" s="23" t="s">
        <v>7</v>
      </c>
      <c r="P67" s="24" t="s">
        <v>9</v>
      </c>
      <c r="Q67" s="22" t="s">
        <v>5</v>
      </c>
      <c r="R67" s="22" t="s">
        <v>5</v>
      </c>
      <c r="S67" s="22" t="s">
        <v>5</v>
      </c>
      <c r="T67" s="22" t="s">
        <v>5</v>
      </c>
      <c r="U67" s="22" t="s">
        <v>5</v>
      </c>
      <c r="V67" s="23" t="s">
        <v>7</v>
      </c>
      <c r="W67" s="24" t="s">
        <v>9</v>
      </c>
      <c r="X67" s="22" t="s">
        <v>5</v>
      </c>
      <c r="Y67" s="22" t="s">
        <v>5</v>
      </c>
      <c r="Z67" s="22" t="s">
        <v>5</v>
      </c>
      <c r="AA67" s="22" t="s">
        <v>5</v>
      </c>
      <c r="AB67" s="22" t="s">
        <v>5</v>
      </c>
      <c r="AC67" s="23" t="s">
        <v>7</v>
      </c>
      <c r="AD67" s="24" t="s">
        <v>9</v>
      </c>
      <c r="AE67" s="22" t="s">
        <v>5</v>
      </c>
      <c r="AF67" s="22" t="s">
        <v>5</v>
      </c>
      <c r="AG67" s="22" t="s">
        <v>5</v>
      </c>
      <c r="AH67" s="8">
        <f t="shared" si="16"/>
        <v>0</v>
      </c>
      <c r="AI67" s="25">
        <f t="shared" si="17"/>
        <v>22</v>
      </c>
      <c r="AJ67" s="8">
        <f t="shared" si="18"/>
        <v>0</v>
      </c>
      <c r="AK67" s="62">
        <v>0</v>
      </c>
      <c r="AL67" s="33">
        <f t="shared" si="19"/>
        <v>0</v>
      </c>
      <c r="AM67" s="63">
        <f t="shared" si="20"/>
        <v>176</v>
      </c>
      <c r="AN67" s="63">
        <f t="shared" si="21"/>
        <v>0</v>
      </c>
      <c r="AO67" s="63">
        <f t="shared" si="22"/>
        <v>0</v>
      </c>
      <c r="AP67" s="53">
        <f t="shared" si="23"/>
        <v>0</v>
      </c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</row>
    <row r="68" spans="1:55" ht="22" customHeight="1" x14ac:dyDescent="0.35">
      <c r="A68" s="8" t="s">
        <v>163</v>
      </c>
      <c r="B68" s="8" t="s">
        <v>164</v>
      </c>
      <c r="C68" s="8" t="s">
        <v>104</v>
      </c>
      <c r="D68" s="22" t="s">
        <v>5</v>
      </c>
      <c r="E68" s="22" t="s">
        <v>5</v>
      </c>
      <c r="F68" s="22" t="s">
        <v>5</v>
      </c>
      <c r="G68" s="22" t="s">
        <v>5</v>
      </c>
      <c r="H68" s="23" t="s">
        <v>7</v>
      </c>
      <c r="I68" s="24" t="s">
        <v>9</v>
      </c>
      <c r="J68" s="22" t="s">
        <v>5</v>
      </c>
      <c r="K68" s="22" t="s">
        <v>5</v>
      </c>
      <c r="L68" s="22" t="s">
        <v>5</v>
      </c>
      <c r="M68" s="22" t="s">
        <v>5</v>
      </c>
      <c r="N68" s="22" t="s">
        <v>5</v>
      </c>
      <c r="O68" s="23" t="s">
        <v>7</v>
      </c>
      <c r="P68" s="24" t="s">
        <v>9</v>
      </c>
      <c r="Q68" s="22" t="s">
        <v>5</v>
      </c>
      <c r="R68" s="22" t="s">
        <v>5</v>
      </c>
      <c r="S68" s="22" t="s">
        <v>5</v>
      </c>
      <c r="T68" s="22" t="s">
        <v>5</v>
      </c>
      <c r="U68" s="22" t="s">
        <v>5</v>
      </c>
      <c r="V68" s="23" t="s">
        <v>7</v>
      </c>
      <c r="W68" s="24" t="s">
        <v>9</v>
      </c>
      <c r="X68" s="22" t="s">
        <v>5</v>
      </c>
      <c r="Y68" s="22" t="s">
        <v>5</v>
      </c>
      <c r="Z68" s="22" t="s">
        <v>5</v>
      </c>
      <c r="AA68" s="22" t="s">
        <v>5</v>
      </c>
      <c r="AB68" s="22" t="s">
        <v>5</v>
      </c>
      <c r="AC68" s="23" t="s">
        <v>7</v>
      </c>
      <c r="AD68" s="24" t="s">
        <v>9</v>
      </c>
      <c r="AE68" s="22" t="s">
        <v>5</v>
      </c>
      <c r="AF68" s="22" t="s">
        <v>5</v>
      </c>
      <c r="AG68" s="22" t="s">
        <v>5</v>
      </c>
      <c r="AH68" s="8">
        <f t="shared" si="16"/>
        <v>0</v>
      </c>
      <c r="AI68" s="25">
        <f t="shared" si="17"/>
        <v>22</v>
      </c>
      <c r="AJ68" s="8">
        <f t="shared" si="18"/>
        <v>0</v>
      </c>
      <c r="AK68" s="62">
        <v>0</v>
      </c>
      <c r="AL68" s="33">
        <f t="shared" si="19"/>
        <v>0</v>
      </c>
      <c r="AM68" s="63">
        <f t="shared" si="20"/>
        <v>176</v>
      </c>
      <c r="AN68" s="63">
        <f t="shared" si="21"/>
        <v>0</v>
      </c>
      <c r="AO68" s="63">
        <f t="shared" si="22"/>
        <v>0</v>
      </c>
      <c r="AP68" s="53">
        <f t="shared" si="23"/>
        <v>0</v>
      </c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</row>
    <row r="69" spans="1:55" ht="22" customHeight="1" x14ac:dyDescent="0.35">
      <c r="A69" s="8" t="s">
        <v>165</v>
      </c>
      <c r="B69" s="8" t="s">
        <v>166</v>
      </c>
      <c r="C69" s="8" t="s">
        <v>104</v>
      </c>
      <c r="D69" s="26" t="s">
        <v>3</v>
      </c>
      <c r="E69" s="26" t="s">
        <v>3</v>
      </c>
      <c r="F69" s="26" t="s">
        <v>3</v>
      </c>
      <c r="G69" s="22" t="s">
        <v>5</v>
      </c>
      <c r="H69" s="23" t="s">
        <v>7</v>
      </c>
      <c r="I69" s="24" t="s">
        <v>9</v>
      </c>
      <c r="J69" s="22" t="s">
        <v>5</v>
      </c>
      <c r="K69" s="22" t="s">
        <v>5</v>
      </c>
      <c r="L69" s="22" t="s">
        <v>5</v>
      </c>
      <c r="M69" s="22" t="s">
        <v>5</v>
      </c>
      <c r="N69" s="22" t="s">
        <v>5</v>
      </c>
      <c r="O69" s="23" t="s">
        <v>7</v>
      </c>
      <c r="P69" s="24" t="s">
        <v>9</v>
      </c>
      <c r="Q69" s="22" t="s">
        <v>5</v>
      </c>
      <c r="R69" s="22" t="s">
        <v>5</v>
      </c>
      <c r="S69" s="22" t="s">
        <v>5</v>
      </c>
      <c r="T69" s="22" t="s">
        <v>5</v>
      </c>
      <c r="U69" s="22" t="s">
        <v>5</v>
      </c>
      <c r="V69" s="23" t="s">
        <v>7</v>
      </c>
      <c r="W69" s="24" t="s">
        <v>9</v>
      </c>
      <c r="X69" s="22" t="s">
        <v>5</v>
      </c>
      <c r="Y69" s="22" t="s">
        <v>5</v>
      </c>
      <c r="Z69" s="22" t="s">
        <v>5</v>
      </c>
      <c r="AA69" s="22" t="s">
        <v>5</v>
      </c>
      <c r="AB69" s="22" t="s">
        <v>5</v>
      </c>
      <c r="AC69" s="23" t="s">
        <v>7</v>
      </c>
      <c r="AD69" s="24" t="s">
        <v>9</v>
      </c>
      <c r="AE69" s="22" t="s">
        <v>5</v>
      </c>
      <c r="AF69" s="22" t="s">
        <v>5</v>
      </c>
      <c r="AG69" s="22" t="s">
        <v>5</v>
      </c>
      <c r="AH69" s="8">
        <f t="shared" si="16"/>
        <v>3</v>
      </c>
      <c r="AI69" s="25">
        <f t="shared" si="17"/>
        <v>19</v>
      </c>
      <c r="AJ69" s="8">
        <f t="shared" si="18"/>
        <v>0</v>
      </c>
      <c r="AK69" s="62">
        <v>0</v>
      </c>
      <c r="AL69" s="33">
        <f t="shared" si="19"/>
        <v>3</v>
      </c>
      <c r="AM69" s="63">
        <f t="shared" si="20"/>
        <v>176</v>
      </c>
      <c r="AN69" s="63">
        <f t="shared" si="21"/>
        <v>0</v>
      </c>
      <c r="AO69" s="63">
        <f t="shared" si="22"/>
        <v>0</v>
      </c>
      <c r="AP69" s="53">
        <f t="shared" si="23"/>
        <v>3</v>
      </c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</row>
    <row r="70" spans="1:55" ht="22" customHeight="1" x14ac:dyDescent="0.35">
      <c r="A70" s="8" t="s">
        <v>167</v>
      </c>
      <c r="B70" s="8" t="s">
        <v>168</v>
      </c>
      <c r="C70" s="8" t="s">
        <v>104</v>
      </c>
      <c r="D70" s="26" t="s">
        <v>3</v>
      </c>
      <c r="E70" s="26" t="s">
        <v>3</v>
      </c>
      <c r="F70" s="26" t="s">
        <v>3</v>
      </c>
      <c r="G70" s="26" t="s">
        <v>3</v>
      </c>
      <c r="H70" s="23" t="s">
        <v>7</v>
      </c>
      <c r="I70" s="24" t="s">
        <v>9</v>
      </c>
      <c r="J70" s="22" t="s">
        <v>5</v>
      </c>
      <c r="K70" s="22" t="s">
        <v>5</v>
      </c>
      <c r="L70" s="22" t="s">
        <v>5</v>
      </c>
      <c r="M70" s="22" t="s">
        <v>5</v>
      </c>
      <c r="N70" s="22" t="s">
        <v>5</v>
      </c>
      <c r="O70" s="23" t="s">
        <v>7</v>
      </c>
      <c r="P70" s="28" t="s">
        <v>11</v>
      </c>
      <c r="Q70" s="26" t="s">
        <v>3</v>
      </c>
      <c r="R70" s="26" t="s">
        <v>3</v>
      </c>
      <c r="S70" s="22" t="s">
        <v>5</v>
      </c>
      <c r="T70" s="22" t="s">
        <v>5</v>
      </c>
      <c r="U70" s="22" t="s">
        <v>5</v>
      </c>
      <c r="V70" s="23" t="s">
        <v>7</v>
      </c>
      <c r="W70" s="24" t="s">
        <v>9</v>
      </c>
      <c r="X70" s="22" t="s">
        <v>5</v>
      </c>
      <c r="Y70" s="22" t="s">
        <v>5</v>
      </c>
      <c r="Z70" s="22" t="s">
        <v>5</v>
      </c>
      <c r="AA70" s="22" t="s">
        <v>5</v>
      </c>
      <c r="AB70" s="22" t="s">
        <v>5</v>
      </c>
      <c r="AC70" s="23" t="s">
        <v>7</v>
      </c>
      <c r="AD70" s="24" t="s">
        <v>9</v>
      </c>
      <c r="AE70" s="22" t="s">
        <v>5</v>
      </c>
      <c r="AF70" s="22" t="s">
        <v>5</v>
      </c>
      <c r="AG70" s="22" t="s">
        <v>5</v>
      </c>
      <c r="AH70" s="8">
        <f t="shared" si="16"/>
        <v>6</v>
      </c>
      <c r="AI70" s="25">
        <f t="shared" si="17"/>
        <v>16</v>
      </c>
      <c r="AJ70" s="29">
        <f t="shared" si="18"/>
        <v>1</v>
      </c>
      <c r="AK70" s="62">
        <v>0</v>
      </c>
      <c r="AL70" s="33">
        <f t="shared" si="19"/>
        <v>7</v>
      </c>
      <c r="AM70" s="63">
        <f t="shared" si="20"/>
        <v>176</v>
      </c>
      <c r="AN70" s="63">
        <f t="shared" si="21"/>
        <v>1</v>
      </c>
      <c r="AO70" s="63">
        <f t="shared" si="22"/>
        <v>4</v>
      </c>
      <c r="AP70" s="53">
        <f t="shared" si="23"/>
        <v>6.5</v>
      </c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</row>
    <row r="71" spans="1:55" ht="22" customHeight="1" x14ac:dyDescent="0.35">
      <c r="A71" s="8" t="s">
        <v>169</v>
      </c>
      <c r="B71" s="8" t="s">
        <v>170</v>
      </c>
      <c r="C71" s="8" t="s">
        <v>104</v>
      </c>
      <c r="D71" s="26" t="s">
        <v>3</v>
      </c>
      <c r="E71" s="26" t="s">
        <v>3</v>
      </c>
      <c r="F71" s="26" t="s">
        <v>3</v>
      </c>
      <c r="G71" s="22" t="s">
        <v>5</v>
      </c>
      <c r="H71" s="23" t="s">
        <v>7</v>
      </c>
      <c r="I71" s="24" t="s">
        <v>9</v>
      </c>
      <c r="J71" s="22" t="s">
        <v>5</v>
      </c>
      <c r="K71" s="22" t="s">
        <v>5</v>
      </c>
      <c r="L71" s="22" t="s">
        <v>5</v>
      </c>
      <c r="M71" s="22" t="s">
        <v>5</v>
      </c>
      <c r="N71" s="22" t="s">
        <v>5</v>
      </c>
      <c r="O71" s="23" t="s">
        <v>7</v>
      </c>
      <c r="P71" s="24" t="s">
        <v>9</v>
      </c>
      <c r="Q71" s="22" t="s">
        <v>5</v>
      </c>
      <c r="R71" s="22" t="s">
        <v>5</v>
      </c>
      <c r="S71" s="22" t="s">
        <v>5</v>
      </c>
      <c r="T71" s="22" t="s">
        <v>5</v>
      </c>
      <c r="U71" s="22" t="s">
        <v>5</v>
      </c>
      <c r="V71" s="23" t="s">
        <v>7</v>
      </c>
      <c r="W71" s="24" t="s">
        <v>9</v>
      </c>
      <c r="X71" s="22" t="s">
        <v>5</v>
      </c>
      <c r="Y71" s="22" t="s">
        <v>5</v>
      </c>
      <c r="Z71" s="22" t="s">
        <v>5</v>
      </c>
      <c r="AA71" s="22" t="s">
        <v>5</v>
      </c>
      <c r="AB71" s="22" t="s">
        <v>5</v>
      </c>
      <c r="AC71" s="23" t="s">
        <v>7</v>
      </c>
      <c r="AD71" s="24" t="s">
        <v>9</v>
      </c>
      <c r="AE71" s="22" t="s">
        <v>5</v>
      </c>
      <c r="AF71" s="22" t="s">
        <v>5</v>
      </c>
      <c r="AG71" s="22" t="s">
        <v>5</v>
      </c>
      <c r="AH71" s="8">
        <f t="shared" si="16"/>
        <v>3</v>
      </c>
      <c r="AI71" s="25">
        <f t="shared" si="17"/>
        <v>19</v>
      </c>
      <c r="AJ71" s="8">
        <f t="shared" si="18"/>
        <v>0</v>
      </c>
      <c r="AK71" s="62">
        <v>0</v>
      </c>
      <c r="AL71" s="33">
        <f t="shared" si="19"/>
        <v>3</v>
      </c>
      <c r="AM71" s="63">
        <f t="shared" si="20"/>
        <v>176</v>
      </c>
      <c r="AN71" s="63">
        <f t="shared" si="21"/>
        <v>0</v>
      </c>
      <c r="AO71" s="63">
        <f t="shared" si="22"/>
        <v>0</v>
      </c>
      <c r="AP71" s="53">
        <f t="shared" si="23"/>
        <v>3</v>
      </c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</row>
    <row r="72" spans="1:55" ht="22" customHeight="1" x14ac:dyDescent="0.35">
      <c r="A72" s="8" t="s">
        <v>171</v>
      </c>
      <c r="B72" s="8" t="s">
        <v>172</v>
      </c>
      <c r="C72" s="8" t="s">
        <v>104</v>
      </c>
      <c r="D72" s="22" t="s">
        <v>5</v>
      </c>
      <c r="E72" s="22" t="s">
        <v>5</v>
      </c>
      <c r="F72" s="22" t="s">
        <v>5</v>
      </c>
      <c r="G72" s="26" t="s">
        <v>3</v>
      </c>
      <c r="H72" s="27" t="s">
        <v>7</v>
      </c>
      <c r="I72" s="28" t="s">
        <v>11</v>
      </c>
      <c r="J72" s="26" t="s">
        <v>3</v>
      </c>
      <c r="K72" s="26" t="s">
        <v>3</v>
      </c>
      <c r="L72" s="26" t="s">
        <v>3</v>
      </c>
      <c r="M72" s="26" t="s">
        <v>3</v>
      </c>
      <c r="N72" s="26" t="s">
        <v>3</v>
      </c>
      <c r="O72" s="27" t="s">
        <v>7</v>
      </c>
      <c r="P72" s="24" t="s">
        <v>9</v>
      </c>
      <c r="Q72" s="22" t="s">
        <v>5</v>
      </c>
      <c r="R72" s="22" t="s">
        <v>5</v>
      </c>
      <c r="S72" s="22" t="s">
        <v>5</v>
      </c>
      <c r="T72" s="22" t="s">
        <v>5</v>
      </c>
      <c r="U72" s="22" t="s">
        <v>5</v>
      </c>
      <c r="V72" s="23" t="s">
        <v>7</v>
      </c>
      <c r="W72" s="24" t="s">
        <v>9</v>
      </c>
      <c r="X72" s="22" t="s">
        <v>5</v>
      </c>
      <c r="Y72" s="22" t="s">
        <v>5</v>
      </c>
      <c r="Z72" s="22" t="s">
        <v>5</v>
      </c>
      <c r="AA72" s="22" t="s">
        <v>5</v>
      </c>
      <c r="AB72" s="22" t="s">
        <v>5</v>
      </c>
      <c r="AC72" s="23" t="s">
        <v>7</v>
      </c>
      <c r="AD72" s="24" t="s">
        <v>9</v>
      </c>
      <c r="AE72" s="22" t="s">
        <v>5</v>
      </c>
      <c r="AF72" s="22" t="s">
        <v>5</v>
      </c>
      <c r="AG72" s="22" t="s">
        <v>5</v>
      </c>
      <c r="AH72" s="8">
        <f t="shared" si="16"/>
        <v>6</v>
      </c>
      <c r="AI72" s="25">
        <f t="shared" si="17"/>
        <v>16</v>
      </c>
      <c r="AJ72" s="29">
        <f t="shared" si="18"/>
        <v>1</v>
      </c>
      <c r="AK72" s="62">
        <v>2</v>
      </c>
      <c r="AL72" s="33">
        <f t="shared" si="19"/>
        <v>8</v>
      </c>
      <c r="AM72" s="63">
        <f t="shared" si="20"/>
        <v>176</v>
      </c>
      <c r="AN72" s="63">
        <f t="shared" si="21"/>
        <v>0</v>
      </c>
      <c r="AO72" s="63">
        <f t="shared" si="22"/>
        <v>0</v>
      </c>
      <c r="AP72" s="53">
        <f t="shared" si="23"/>
        <v>8</v>
      </c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</row>
    <row r="73" spans="1:55" ht="22" customHeight="1" x14ac:dyDescent="0.35">
      <c r="A73" s="8" t="s">
        <v>173</v>
      </c>
      <c r="B73" s="8" t="s">
        <v>174</v>
      </c>
      <c r="C73" s="8" t="s">
        <v>104</v>
      </c>
      <c r="D73" s="22" t="s">
        <v>5</v>
      </c>
      <c r="E73" s="22" t="s">
        <v>5</v>
      </c>
      <c r="F73" s="22" t="s">
        <v>5</v>
      </c>
      <c r="G73" s="22" t="s">
        <v>5</v>
      </c>
      <c r="H73" s="23" t="s">
        <v>7</v>
      </c>
      <c r="I73" s="24" t="s">
        <v>9</v>
      </c>
      <c r="J73" s="22" t="s">
        <v>5</v>
      </c>
      <c r="K73" s="22" t="s">
        <v>5</v>
      </c>
      <c r="L73" s="22" t="s">
        <v>5</v>
      </c>
      <c r="M73" s="22" t="s">
        <v>5</v>
      </c>
      <c r="N73" s="22" t="s">
        <v>5</v>
      </c>
      <c r="O73" s="23" t="s">
        <v>7</v>
      </c>
      <c r="P73" s="24" t="s">
        <v>9</v>
      </c>
      <c r="Q73" s="22" t="s">
        <v>5</v>
      </c>
      <c r="R73" s="26" t="s">
        <v>3</v>
      </c>
      <c r="S73" s="26" t="s">
        <v>3</v>
      </c>
      <c r="T73" s="26" t="s">
        <v>3</v>
      </c>
      <c r="U73" s="22" t="s">
        <v>5</v>
      </c>
      <c r="V73" s="23" t="s">
        <v>7</v>
      </c>
      <c r="W73" s="24" t="s">
        <v>9</v>
      </c>
      <c r="X73" s="22" t="s">
        <v>5</v>
      </c>
      <c r="Y73" s="26" t="s">
        <v>3</v>
      </c>
      <c r="Z73" s="26" t="s">
        <v>3</v>
      </c>
      <c r="AA73" s="26" t="s">
        <v>3</v>
      </c>
      <c r="AB73" s="26" t="s">
        <v>3</v>
      </c>
      <c r="AC73" s="23" t="s">
        <v>7</v>
      </c>
      <c r="AD73" s="24" t="s">
        <v>9</v>
      </c>
      <c r="AE73" s="26" t="s">
        <v>3</v>
      </c>
      <c r="AF73" s="26" t="s">
        <v>3</v>
      </c>
      <c r="AG73" s="26" t="s">
        <v>3</v>
      </c>
      <c r="AH73" s="8">
        <f t="shared" si="16"/>
        <v>10</v>
      </c>
      <c r="AI73" s="25">
        <f t="shared" si="17"/>
        <v>12</v>
      </c>
      <c r="AJ73" s="8">
        <f t="shared" si="18"/>
        <v>0</v>
      </c>
      <c r="AK73" s="62">
        <v>0</v>
      </c>
      <c r="AL73" s="33">
        <f t="shared" si="19"/>
        <v>10</v>
      </c>
      <c r="AM73" s="63">
        <f t="shared" si="20"/>
        <v>176</v>
      </c>
      <c r="AN73" s="63">
        <f t="shared" si="21"/>
        <v>1</v>
      </c>
      <c r="AO73" s="63">
        <f t="shared" si="22"/>
        <v>4</v>
      </c>
      <c r="AP73" s="53">
        <f t="shared" si="23"/>
        <v>9.5</v>
      </c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</row>
    <row r="74" spans="1:55" ht="22" customHeight="1" x14ac:dyDescent="0.35">
      <c r="A74" s="8" t="s">
        <v>175</v>
      </c>
      <c r="B74" s="8" t="s">
        <v>176</v>
      </c>
      <c r="C74" s="8" t="s">
        <v>104</v>
      </c>
      <c r="D74" s="22" t="s">
        <v>5</v>
      </c>
      <c r="E74" s="26" t="s">
        <v>3</v>
      </c>
      <c r="F74" s="26" t="s">
        <v>3</v>
      </c>
      <c r="G74" s="26" t="s">
        <v>3</v>
      </c>
      <c r="H74" s="27" t="s">
        <v>7</v>
      </c>
      <c r="I74" s="28" t="s">
        <v>11</v>
      </c>
      <c r="J74" s="26" t="s">
        <v>3</v>
      </c>
      <c r="K74" s="26" t="s">
        <v>3</v>
      </c>
      <c r="L74" s="26" t="s">
        <v>3</v>
      </c>
      <c r="M74" s="26" t="s">
        <v>3</v>
      </c>
      <c r="N74" s="26" t="s">
        <v>3</v>
      </c>
      <c r="O74" s="27" t="s">
        <v>7</v>
      </c>
      <c r="P74" s="28" t="s">
        <v>11</v>
      </c>
      <c r="Q74" s="26" t="s">
        <v>3</v>
      </c>
      <c r="R74" s="22" t="s">
        <v>5</v>
      </c>
      <c r="S74" s="22" t="s">
        <v>5</v>
      </c>
      <c r="T74" s="22" t="s">
        <v>5</v>
      </c>
      <c r="U74" s="22" t="s">
        <v>5</v>
      </c>
      <c r="V74" s="23" t="s">
        <v>7</v>
      </c>
      <c r="W74" s="24" t="s">
        <v>9</v>
      </c>
      <c r="X74" s="22" t="s">
        <v>5</v>
      </c>
      <c r="Y74" s="22" t="s">
        <v>5</v>
      </c>
      <c r="Z74" s="22" t="s">
        <v>5</v>
      </c>
      <c r="AA74" s="22" t="s">
        <v>5</v>
      </c>
      <c r="AB74" s="22" t="s">
        <v>5</v>
      </c>
      <c r="AC74" s="23" t="s">
        <v>7</v>
      </c>
      <c r="AD74" s="24" t="s">
        <v>9</v>
      </c>
      <c r="AE74" s="22" t="s">
        <v>5</v>
      </c>
      <c r="AF74" s="22" t="s">
        <v>5</v>
      </c>
      <c r="AG74" s="22" t="s">
        <v>5</v>
      </c>
      <c r="AH74" s="8">
        <f t="shared" si="16"/>
        <v>9</v>
      </c>
      <c r="AI74" s="25">
        <f t="shared" si="17"/>
        <v>13</v>
      </c>
      <c r="AJ74" s="29">
        <f t="shared" si="18"/>
        <v>2</v>
      </c>
      <c r="AK74" s="62">
        <v>2</v>
      </c>
      <c r="AL74" s="33">
        <f t="shared" si="19"/>
        <v>12</v>
      </c>
      <c r="AM74" s="63">
        <f t="shared" si="20"/>
        <v>176</v>
      </c>
      <c r="AN74" s="63">
        <f t="shared" si="21"/>
        <v>0</v>
      </c>
      <c r="AO74" s="63">
        <f t="shared" si="22"/>
        <v>0</v>
      </c>
      <c r="AP74" s="53">
        <f t="shared" si="23"/>
        <v>12</v>
      </c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</row>
    <row r="75" spans="1:55" x14ac:dyDescent="0.35"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</row>
    <row r="76" spans="1:55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</row>
    <row r="77" spans="1:55" ht="22" customHeight="1" x14ac:dyDescent="0.35">
      <c r="A77" s="8" t="s">
        <v>178</v>
      </c>
      <c r="B77" s="8" t="s">
        <v>179</v>
      </c>
      <c r="C77" s="8" t="s">
        <v>180</v>
      </c>
      <c r="D77" s="26" t="s">
        <v>3</v>
      </c>
      <c r="E77" s="26" t="s">
        <v>3</v>
      </c>
      <c r="F77" s="26" t="s">
        <v>3</v>
      </c>
      <c r="G77" s="26" t="s">
        <v>3</v>
      </c>
      <c r="H77" s="23" t="s">
        <v>7</v>
      </c>
      <c r="I77" s="24" t="s">
        <v>9</v>
      </c>
      <c r="J77" s="22" t="s">
        <v>5</v>
      </c>
      <c r="K77" s="22" t="s">
        <v>5</v>
      </c>
      <c r="L77" s="22" t="s">
        <v>5</v>
      </c>
      <c r="M77" s="22" t="s">
        <v>5</v>
      </c>
      <c r="N77" s="22" t="s">
        <v>5</v>
      </c>
      <c r="O77" s="23" t="s">
        <v>7</v>
      </c>
      <c r="P77" s="24" t="s">
        <v>9</v>
      </c>
      <c r="Q77" s="22" t="s">
        <v>5</v>
      </c>
      <c r="R77" s="22" t="s">
        <v>5</v>
      </c>
      <c r="S77" s="22" t="s">
        <v>5</v>
      </c>
      <c r="T77" s="22" t="s">
        <v>5</v>
      </c>
      <c r="U77" s="22" t="s">
        <v>5</v>
      </c>
      <c r="V77" s="23" t="s">
        <v>7</v>
      </c>
      <c r="W77" s="24" t="s">
        <v>9</v>
      </c>
      <c r="X77" s="22" t="s">
        <v>5</v>
      </c>
      <c r="Y77" s="22" t="s">
        <v>5</v>
      </c>
      <c r="Z77" s="22" t="s">
        <v>5</v>
      </c>
      <c r="AA77" s="22" t="s">
        <v>5</v>
      </c>
      <c r="AB77" s="22" t="s">
        <v>5</v>
      </c>
      <c r="AC77" s="23" t="s">
        <v>7</v>
      </c>
      <c r="AD77" s="24" t="s">
        <v>9</v>
      </c>
      <c r="AE77" s="22" t="s">
        <v>5</v>
      </c>
      <c r="AF77" s="22" t="s">
        <v>5</v>
      </c>
      <c r="AG77" s="22" t="s">
        <v>5</v>
      </c>
      <c r="AH77" s="8">
        <f t="shared" ref="AH77:AH82" si="24">COUNTIF(D77:AG77,"ON")</f>
        <v>4</v>
      </c>
      <c r="AI77" s="25">
        <f t="shared" ref="AI77:AI82" si="25">COUNTIF(D77:AG77,"OFF")</f>
        <v>18</v>
      </c>
      <c r="AJ77" s="8">
        <f t="shared" ref="AJ77:AJ82" si="26">COUNTIF(D77:AG77,"OT")</f>
        <v>0</v>
      </c>
      <c r="AK77" s="62">
        <v>0</v>
      </c>
      <c r="AL77" s="33">
        <f t="shared" ref="AL77:AL82" si="27">AH77+AJ77+AK77*0.5</f>
        <v>4</v>
      </c>
      <c r="AM77" s="63">
        <f t="shared" ref="AM77:AM82" si="28">NETWORKDAYS(DATE(2025,4,1),EOMONTH(DATE(2025,4,1),0))*8</f>
        <v>176</v>
      </c>
      <c r="AN77" s="63">
        <f t="shared" ref="AN77:AN82" si="29">MAX(0,COUNTIF(G77,"ON")+COUNTIF(N77,"ON")+COUNTIF(U77,"ON")+COUNTIF(AB77,"ON")-AK77)</f>
        <v>1</v>
      </c>
      <c r="AO77" s="63">
        <f t="shared" ref="AO77:AO82" si="30">AN77*$AO$2</f>
        <v>4</v>
      </c>
      <c r="AP77" s="53">
        <f t="shared" ref="AP77:AP82" si="31">AL77-AO77/8</f>
        <v>3.5</v>
      </c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</row>
    <row r="78" spans="1:55" ht="22" customHeight="1" x14ac:dyDescent="0.35">
      <c r="A78" s="8" t="s">
        <v>181</v>
      </c>
      <c r="B78" s="8" t="s">
        <v>182</v>
      </c>
      <c r="C78" s="8" t="s">
        <v>180</v>
      </c>
      <c r="D78" s="26" t="s">
        <v>3</v>
      </c>
      <c r="E78" s="26" t="s">
        <v>3</v>
      </c>
      <c r="F78" s="26" t="s">
        <v>3</v>
      </c>
      <c r="G78" s="26" t="s">
        <v>3</v>
      </c>
      <c r="H78" s="27" t="s">
        <v>7</v>
      </c>
      <c r="I78" s="28" t="s">
        <v>11</v>
      </c>
      <c r="J78" s="22" t="s">
        <v>5</v>
      </c>
      <c r="K78" s="26" t="s">
        <v>3</v>
      </c>
      <c r="L78" s="26" t="s">
        <v>3</v>
      </c>
      <c r="M78" s="26" t="s">
        <v>3</v>
      </c>
      <c r="N78" s="26" t="s">
        <v>3</v>
      </c>
      <c r="O78" s="27" t="s">
        <v>7</v>
      </c>
      <c r="P78" s="28" t="s">
        <v>11</v>
      </c>
      <c r="Q78" s="26" t="s">
        <v>3</v>
      </c>
      <c r="R78" s="26" t="s">
        <v>3</v>
      </c>
      <c r="S78" s="26" t="s">
        <v>3</v>
      </c>
      <c r="T78" s="26" t="s">
        <v>3</v>
      </c>
      <c r="U78" s="22" t="s">
        <v>5</v>
      </c>
      <c r="V78" s="23" t="s">
        <v>7</v>
      </c>
      <c r="W78" s="24" t="s">
        <v>9</v>
      </c>
      <c r="X78" s="22" t="s">
        <v>5</v>
      </c>
      <c r="Y78" s="26" t="s">
        <v>3</v>
      </c>
      <c r="Z78" s="26" t="s">
        <v>3</v>
      </c>
      <c r="AA78" s="26" t="s">
        <v>3</v>
      </c>
      <c r="AB78" s="26" t="s">
        <v>3</v>
      </c>
      <c r="AC78" s="27" t="s">
        <v>7</v>
      </c>
      <c r="AD78" s="28" t="s">
        <v>11</v>
      </c>
      <c r="AE78" s="26" t="s">
        <v>3</v>
      </c>
      <c r="AF78" s="26" t="s">
        <v>3</v>
      </c>
      <c r="AG78" s="26" t="s">
        <v>3</v>
      </c>
      <c r="AH78" s="8">
        <f t="shared" si="24"/>
        <v>19</v>
      </c>
      <c r="AI78" s="8">
        <f t="shared" si="25"/>
        <v>3</v>
      </c>
      <c r="AJ78" s="29">
        <f t="shared" si="26"/>
        <v>3</v>
      </c>
      <c r="AK78" s="62">
        <v>3</v>
      </c>
      <c r="AL78" s="33">
        <f t="shared" si="27"/>
        <v>23.5</v>
      </c>
      <c r="AM78" s="63">
        <f t="shared" si="28"/>
        <v>176</v>
      </c>
      <c r="AN78" s="63">
        <f t="shared" si="29"/>
        <v>0</v>
      </c>
      <c r="AO78" s="63">
        <f t="shared" si="30"/>
        <v>0</v>
      </c>
      <c r="AP78" s="53">
        <f t="shared" si="31"/>
        <v>23.5</v>
      </c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</row>
    <row r="79" spans="1:55" ht="22" customHeight="1" x14ac:dyDescent="0.35">
      <c r="A79" s="8" t="s">
        <v>183</v>
      </c>
      <c r="B79" s="8" t="s">
        <v>184</v>
      </c>
      <c r="C79" s="8" t="s">
        <v>180</v>
      </c>
      <c r="D79" s="22" t="s">
        <v>5</v>
      </c>
      <c r="E79" s="22" t="s">
        <v>5</v>
      </c>
      <c r="F79" s="22" t="s">
        <v>5</v>
      </c>
      <c r="G79" s="22" t="s">
        <v>5</v>
      </c>
      <c r="H79" s="23" t="s">
        <v>7</v>
      </c>
      <c r="I79" s="24" t="s">
        <v>9</v>
      </c>
      <c r="J79" s="22" t="s">
        <v>5</v>
      </c>
      <c r="K79" s="22" t="s">
        <v>5</v>
      </c>
      <c r="L79" s="22" t="s">
        <v>5</v>
      </c>
      <c r="M79" s="22" t="s">
        <v>5</v>
      </c>
      <c r="N79" s="22" t="s">
        <v>5</v>
      </c>
      <c r="O79" s="23" t="s">
        <v>7</v>
      </c>
      <c r="P79" s="24" t="s">
        <v>9</v>
      </c>
      <c r="Q79" s="22" t="s">
        <v>5</v>
      </c>
      <c r="R79" s="22" t="s">
        <v>5</v>
      </c>
      <c r="S79" s="22" t="s">
        <v>5</v>
      </c>
      <c r="T79" s="22" t="s">
        <v>5</v>
      </c>
      <c r="U79" s="22" t="s">
        <v>5</v>
      </c>
      <c r="V79" s="23" t="s">
        <v>7</v>
      </c>
      <c r="W79" s="24" t="s">
        <v>9</v>
      </c>
      <c r="X79" s="22" t="s">
        <v>5</v>
      </c>
      <c r="Y79" s="22" t="s">
        <v>5</v>
      </c>
      <c r="Z79" s="22" t="s">
        <v>5</v>
      </c>
      <c r="AA79" s="22" t="s">
        <v>5</v>
      </c>
      <c r="AB79" s="22" t="s">
        <v>5</v>
      </c>
      <c r="AC79" s="23" t="s">
        <v>7</v>
      </c>
      <c r="AD79" s="24" t="s">
        <v>9</v>
      </c>
      <c r="AE79" s="22" t="s">
        <v>5</v>
      </c>
      <c r="AF79" s="22" t="s">
        <v>5</v>
      </c>
      <c r="AG79" s="22" t="s">
        <v>5</v>
      </c>
      <c r="AH79" s="8">
        <f t="shared" si="24"/>
        <v>0</v>
      </c>
      <c r="AI79" s="25">
        <f t="shared" si="25"/>
        <v>22</v>
      </c>
      <c r="AJ79" s="8">
        <f t="shared" si="26"/>
        <v>0</v>
      </c>
      <c r="AK79" s="62">
        <v>0</v>
      </c>
      <c r="AL79" s="33">
        <f t="shared" si="27"/>
        <v>0</v>
      </c>
      <c r="AM79" s="63">
        <f t="shared" si="28"/>
        <v>176</v>
      </c>
      <c r="AN79" s="63">
        <f t="shared" si="29"/>
        <v>0</v>
      </c>
      <c r="AO79" s="63">
        <f t="shared" si="30"/>
        <v>0</v>
      </c>
      <c r="AP79" s="53">
        <f t="shared" si="31"/>
        <v>0</v>
      </c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</row>
    <row r="80" spans="1:55" ht="22" customHeight="1" x14ac:dyDescent="0.35">
      <c r="A80" s="8" t="s">
        <v>185</v>
      </c>
      <c r="B80" s="8" t="s">
        <v>186</v>
      </c>
      <c r="C80" s="8" t="s">
        <v>180</v>
      </c>
      <c r="D80" s="22" t="s">
        <v>5</v>
      </c>
      <c r="E80" s="22" t="s">
        <v>5</v>
      </c>
      <c r="F80" s="22" t="s">
        <v>5</v>
      </c>
      <c r="G80" s="22" t="s">
        <v>5</v>
      </c>
      <c r="H80" s="23" t="s">
        <v>7</v>
      </c>
      <c r="I80" s="24" t="s">
        <v>9</v>
      </c>
      <c r="J80" s="22" t="s">
        <v>5</v>
      </c>
      <c r="K80" s="22" t="s">
        <v>5</v>
      </c>
      <c r="L80" s="22" t="s">
        <v>5</v>
      </c>
      <c r="M80" s="22" t="s">
        <v>5</v>
      </c>
      <c r="N80" s="22" t="s">
        <v>5</v>
      </c>
      <c r="O80" s="23" t="s">
        <v>7</v>
      </c>
      <c r="P80" s="24" t="s">
        <v>9</v>
      </c>
      <c r="Q80" s="22" t="s">
        <v>5</v>
      </c>
      <c r="R80" s="22" t="s">
        <v>5</v>
      </c>
      <c r="S80" s="22" t="s">
        <v>5</v>
      </c>
      <c r="T80" s="22" t="s">
        <v>5</v>
      </c>
      <c r="U80" s="22" t="s">
        <v>5</v>
      </c>
      <c r="V80" s="23" t="s">
        <v>7</v>
      </c>
      <c r="W80" s="24" t="s">
        <v>9</v>
      </c>
      <c r="X80" s="22" t="s">
        <v>5</v>
      </c>
      <c r="Y80" s="22" t="s">
        <v>5</v>
      </c>
      <c r="Z80" s="22" t="s">
        <v>5</v>
      </c>
      <c r="AA80" s="22" t="s">
        <v>5</v>
      </c>
      <c r="AB80" s="22" t="s">
        <v>5</v>
      </c>
      <c r="AC80" s="23" t="s">
        <v>7</v>
      </c>
      <c r="AD80" s="24" t="s">
        <v>9</v>
      </c>
      <c r="AE80" s="22" t="s">
        <v>5</v>
      </c>
      <c r="AF80" s="22" t="s">
        <v>5</v>
      </c>
      <c r="AG80" s="22" t="s">
        <v>5</v>
      </c>
      <c r="AH80" s="8">
        <f t="shared" si="24"/>
        <v>0</v>
      </c>
      <c r="AI80" s="25">
        <f t="shared" si="25"/>
        <v>22</v>
      </c>
      <c r="AJ80" s="8">
        <f t="shared" si="26"/>
        <v>0</v>
      </c>
      <c r="AK80" s="62">
        <v>0</v>
      </c>
      <c r="AL80" s="33">
        <f t="shared" si="27"/>
        <v>0</v>
      </c>
      <c r="AM80" s="63">
        <f t="shared" si="28"/>
        <v>176</v>
      </c>
      <c r="AN80" s="63">
        <f t="shared" si="29"/>
        <v>0</v>
      </c>
      <c r="AO80" s="63">
        <f t="shared" si="30"/>
        <v>0</v>
      </c>
      <c r="AP80" s="53">
        <f t="shared" si="31"/>
        <v>0</v>
      </c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</row>
    <row r="81" spans="1:55" ht="22" customHeight="1" x14ac:dyDescent="0.35">
      <c r="A81" s="8" t="s">
        <v>187</v>
      </c>
      <c r="B81" s="8" t="s">
        <v>188</v>
      </c>
      <c r="C81" s="8" t="s">
        <v>180</v>
      </c>
      <c r="D81" s="26" t="s">
        <v>3</v>
      </c>
      <c r="E81" s="26" t="s">
        <v>3</v>
      </c>
      <c r="F81" s="26" t="s">
        <v>3</v>
      </c>
      <c r="G81" s="26" t="s">
        <v>3</v>
      </c>
      <c r="H81" s="23" t="s">
        <v>7</v>
      </c>
      <c r="I81" s="24" t="s">
        <v>9</v>
      </c>
      <c r="J81" s="26" t="s">
        <v>3</v>
      </c>
      <c r="K81" s="26" t="s">
        <v>3</v>
      </c>
      <c r="L81" s="26" t="s">
        <v>3</v>
      </c>
      <c r="M81" s="26" t="s">
        <v>3</v>
      </c>
      <c r="N81" s="26" t="s">
        <v>3</v>
      </c>
      <c r="O81" s="27" t="s">
        <v>7</v>
      </c>
      <c r="P81" s="28" t="s">
        <v>11</v>
      </c>
      <c r="Q81" s="26" t="s">
        <v>3</v>
      </c>
      <c r="R81" s="26" t="s">
        <v>3</v>
      </c>
      <c r="S81" s="26" t="s">
        <v>3</v>
      </c>
      <c r="T81" s="26" t="s">
        <v>3</v>
      </c>
      <c r="U81" s="26" t="s">
        <v>3</v>
      </c>
      <c r="V81" s="27" t="s">
        <v>7</v>
      </c>
      <c r="W81" s="28" t="s">
        <v>11</v>
      </c>
      <c r="X81" s="26" t="s">
        <v>3</v>
      </c>
      <c r="Y81" s="22" t="s">
        <v>5</v>
      </c>
      <c r="Z81" s="22" t="s">
        <v>5</v>
      </c>
      <c r="AA81" s="26" t="s">
        <v>3</v>
      </c>
      <c r="AB81" s="26" t="s">
        <v>3</v>
      </c>
      <c r="AC81" s="27" t="s">
        <v>7</v>
      </c>
      <c r="AD81" s="28" t="s">
        <v>11</v>
      </c>
      <c r="AE81" s="26" t="s">
        <v>3</v>
      </c>
      <c r="AF81" s="26" t="s">
        <v>3</v>
      </c>
      <c r="AG81" s="26" t="s">
        <v>3</v>
      </c>
      <c r="AH81" s="8">
        <f t="shared" si="24"/>
        <v>20</v>
      </c>
      <c r="AI81" s="8">
        <f t="shared" si="25"/>
        <v>2</v>
      </c>
      <c r="AJ81" s="29">
        <f t="shared" si="26"/>
        <v>3</v>
      </c>
      <c r="AK81" s="62">
        <v>3</v>
      </c>
      <c r="AL81" s="33">
        <f t="shared" si="27"/>
        <v>24.5</v>
      </c>
      <c r="AM81" s="63">
        <f t="shared" si="28"/>
        <v>176</v>
      </c>
      <c r="AN81" s="63">
        <f t="shared" si="29"/>
        <v>1</v>
      </c>
      <c r="AO81" s="63">
        <f t="shared" si="30"/>
        <v>4</v>
      </c>
      <c r="AP81" s="53">
        <f t="shared" si="31"/>
        <v>24</v>
      </c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</row>
    <row r="82" spans="1:55" ht="22" customHeight="1" x14ac:dyDescent="0.35">
      <c r="A82" s="8" t="s">
        <v>189</v>
      </c>
      <c r="B82" s="8" t="s">
        <v>190</v>
      </c>
      <c r="C82" s="8" t="s">
        <v>180</v>
      </c>
      <c r="D82" s="26" t="s">
        <v>3</v>
      </c>
      <c r="E82" s="26" t="s">
        <v>3</v>
      </c>
      <c r="F82" s="26" t="s">
        <v>3</v>
      </c>
      <c r="G82" s="26" t="s">
        <v>3</v>
      </c>
      <c r="H82" s="27" t="s">
        <v>7</v>
      </c>
      <c r="I82" s="28" t="s">
        <v>11</v>
      </c>
      <c r="J82" s="26" t="s">
        <v>3</v>
      </c>
      <c r="K82" s="26" t="s">
        <v>3</v>
      </c>
      <c r="L82" s="26" t="s">
        <v>3</v>
      </c>
      <c r="M82" s="26" t="s">
        <v>3</v>
      </c>
      <c r="N82" s="26" t="s">
        <v>3</v>
      </c>
      <c r="O82" s="27" t="s">
        <v>7</v>
      </c>
      <c r="P82" s="28" t="s">
        <v>11</v>
      </c>
      <c r="Q82" s="26" t="s">
        <v>3</v>
      </c>
      <c r="R82" s="22" t="s">
        <v>5</v>
      </c>
      <c r="S82" s="22" t="s">
        <v>5</v>
      </c>
      <c r="T82" s="26" t="s">
        <v>3</v>
      </c>
      <c r="U82" s="26" t="s">
        <v>3</v>
      </c>
      <c r="V82" s="27" t="s">
        <v>7</v>
      </c>
      <c r="W82" s="28" t="s">
        <v>11</v>
      </c>
      <c r="X82" s="26" t="s">
        <v>3</v>
      </c>
      <c r="Y82" s="26" t="s">
        <v>3</v>
      </c>
      <c r="Z82" s="26" t="s">
        <v>3</v>
      </c>
      <c r="AA82" s="26" t="s">
        <v>3</v>
      </c>
      <c r="AB82" s="26" t="s">
        <v>3</v>
      </c>
      <c r="AC82" s="27" t="s">
        <v>7</v>
      </c>
      <c r="AD82" s="28" t="s">
        <v>11</v>
      </c>
      <c r="AE82" s="26" t="s">
        <v>3</v>
      </c>
      <c r="AF82" s="26" t="s">
        <v>3</v>
      </c>
      <c r="AG82" s="26" t="s">
        <v>3</v>
      </c>
      <c r="AH82" s="8">
        <f t="shared" si="24"/>
        <v>20</v>
      </c>
      <c r="AI82" s="8">
        <f t="shared" si="25"/>
        <v>2</v>
      </c>
      <c r="AJ82" s="29">
        <f t="shared" si="26"/>
        <v>4</v>
      </c>
      <c r="AK82" s="62">
        <v>4</v>
      </c>
      <c r="AL82" s="33">
        <f t="shared" si="27"/>
        <v>26</v>
      </c>
      <c r="AM82" s="63">
        <f t="shared" si="28"/>
        <v>176</v>
      </c>
      <c r="AN82" s="63">
        <f t="shared" si="29"/>
        <v>0</v>
      </c>
      <c r="AO82" s="63">
        <f t="shared" si="30"/>
        <v>0</v>
      </c>
      <c r="AP82" s="53">
        <f t="shared" si="31"/>
        <v>26</v>
      </c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</row>
    <row r="83" spans="1:55" x14ac:dyDescent="0.35"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</row>
    <row r="84" spans="1:55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</row>
    <row r="85" spans="1:55" ht="22" customHeight="1" x14ac:dyDescent="0.35">
      <c r="A85" s="8" t="s">
        <v>192</v>
      </c>
      <c r="B85" s="8" t="s">
        <v>193</v>
      </c>
      <c r="C85" s="8" t="s">
        <v>194</v>
      </c>
      <c r="D85" s="26" t="s">
        <v>3</v>
      </c>
      <c r="E85" s="26" t="s">
        <v>3</v>
      </c>
      <c r="F85" s="26" t="s">
        <v>3</v>
      </c>
      <c r="G85" s="26" t="s">
        <v>3</v>
      </c>
      <c r="H85" s="23" t="s">
        <v>7</v>
      </c>
      <c r="I85" s="24" t="s">
        <v>9</v>
      </c>
      <c r="J85" s="22" t="s">
        <v>5</v>
      </c>
      <c r="K85" s="22" t="s">
        <v>5</v>
      </c>
      <c r="L85" s="22" t="s">
        <v>5</v>
      </c>
      <c r="M85" s="22" t="s">
        <v>5</v>
      </c>
      <c r="N85" s="22" t="s">
        <v>5</v>
      </c>
      <c r="O85" s="23" t="s">
        <v>7</v>
      </c>
      <c r="P85" s="24" t="s">
        <v>9</v>
      </c>
      <c r="Q85" s="22" t="s">
        <v>5</v>
      </c>
      <c r="R85" s="22" t="s">
        <v>5</v>
      </c>
      <c r="S85" s="22" t="s">
        <v>5</v>
      </c>
      <c r="T85" s="22" t="s">
        <v>5</v>
      </c>
      <c r="U85" s="22" t="s">
        <v>5</v>
      </c>
      <c r="V85" s="23" t="s">
        <v>7</v>
      </c>
      <c r="W85" s="24" t="s">
        <v>9</v>
      </c>
      <c r="X85" s="22" t="s">
        <v>5</v>
      </c>
      <c r="Y85" s="22" t="s">
        <v>5</v>
      </c>
      <c r="Z85" s="26" t="s">
        <v>3</v>
      </c>
      <c r="AA85" s="26" t="s">
        <v>3</v>
      </c>
      <c r="AB85" s="22" t="s">
        <v>5</v>
      </c>
      <c r="AC85" s="23" t="s">
        <v>7</v>
      </c>
      <c r="AD85" s="24" t="s">
        <v>9</v>
      </c>
      <c r="AE85" s="26" t="s">
        <v>3</v>
      </c>
      <c r="AF85" s="26" t="s">
        <v>3</v>
      </c>
      <c r="AG85" s="26" t="s">
        <v>3</v>
      </c>
      <c r="AH85" s="8">
        <f>COUNTIF(D85:AG85,"ON")</f>
        <v>9</v>
      </c>
      <c r="AI85" s="25">
        <f>COUNTIF(D85:AG85,"OFF")</f>
        <v>13</v>
      </c>
      <c r="AJ85" s="8">
        <f>COUNTIF(D85:AG85,"OT")</f>
        <v>0</v>
      </c>
      <c r="AK85" s="62">
        <v>0</v>
      </c>
      <c r="AL85" s="33">
        <f>AH85+AJ85+AK85*0.5</f>
        <v>9</v>
      </c>
      <c r="AM85" s="63">
        <f>NETWORKDAYS(DATE(2025,4,1),EOMONTH(DATE(2025,4,1),0))*8</f>
        <v>176</v>
      </c>
      <c r="AN85" s="63">
        <f>MAX(0,COUNTIF(G85,"ON")+COUNTIF(N85,"ON")+COUNTIF(U85,"ON")+COUNTIF(AB85,"ON")-AK85)</f>
        <v>1</v>
      </c>
      <c r="AO85" s="63">
        <f>AN85*$AO$2</f>
        <v>4</v>
      </c>
      <c r="AP85" s="53">
        <f>AL85-AO85/8</f>
        <v>8.5</v>
      </c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</row>
    <row r="86" spans="1:55" ht="22" customHeight="1" x14ac:dyDescent="0.35">
      <c r="A86" s="8" t="s">
        <v>195</v>
      </c>
      <c r="B86" s="8" t="s">
        <v>196</v>
      </c>
      <c r="C86" s="8" t="s">
        <v>194</v>
      </c>
      <c r="D86" s="26" t="s">
        <v>3</v>
      </c>
      <c r="E86" s="26" t="s">
        <v>3</v>
      </c>
      <c r="F86" s="26" t="s">
        <v>3</v>
      </c>
      <c r="G86" s="26" t="s">
        <v>3</v>
      </c>
      <c r="H86" s="23" t="s">
        <v>7</v>
      </c>
      <c r="I86" s="24" t="s">
        <v>9</v>
      </c>
      <c r="J86" s="22" t="s">
        <v>5</v>
      </c>
      <c r="K86" s="26" t="s">
        <v>3</v>
      </c>
      <c r="L86" s="26" t="s">
        <v>3</v>
      </c>
      <c r="M86" s="26" t="s">
        <v>3</v>
      </c>
      <c r="N86" s="22" t="s">
        <v>5</v>
      </c>
      <c r="O86" s="23" t="s">
        <v>7</v>
      </c>
      <c r="P86" s="24" t="s">
        <v>9</v>
      </c>
      <c r="Q86" s="22" t="s">
        <v>5</v>
      </c>
      <c r="R86" s="26" t="s">
        <v>3</v>
      </c>
      <c r="S86" s="26" t="s">
        <v>3</v>
      </c>
      <c r="T86" s="26" t="s">
        <v>3</v>
      </c>
      <c r="U86" s="22" t="s">
        <v>5</v>
      </c>
      <c r="V86" s="23" t="s">
        <v>7</v>
      </c>
      <c r="W86" s="24" t="s">
        <v>9</v>
      </c>
      <c r="X86" s="26" t="s">
        <v>3</v>
      </c>
      <c r="Y86" s="26" t="s">
        <v>3</v>
      </c>
      <c r="Z86" s="26" t="s">
        <v>3</v>
      </c>
      <c r="AA86" s="26" t="s">
        <v>3</v>
      </c>
      <c r="AB86" s="26" t="s">
        <v>3</v>
      </c>
      <c r="AC86" s="23" t="s">
        <v>7</v>
      </c>
      <c r="AD86" s="24" t="s">
        <v>9</v>
      </c>
      <c r="AE86" s="22" t="s">
        <v>5</v>
      </c>
      <c r="AF86" s="22" t="s">
        <v>5</v>
      </c>
      <c r="AG86" s="22" t="s">
        <v>5</v>
      </c>
      <c r="AH86" s="8">
        <f>COUNTIF(D86:AG86,"ON")</f>
        <v>15</v>
      </c>
      <c r="AI86" s="8">
        <f>COUNTIF(D86:AG86,"OFF")</f>
        <v>7</v>
      </c>
      <c r="AJ86" s="8">
        <f>COUNTIF(D86:AG86,"OT")</f>
        <v>0</v>
      </c>
      <c r="AK86" s="62">
        <v>0</v>
      </c>
      <c r="AL86" s="33">
        <f>AH86+AJ86+AK86*0.5</f>
        <v>15</v>
      </c>
      <c r="AM86" s="63">
        <f>NETWORKDAYS(DATE(2025,4,1),EOMONTH(DATE(2025,4,1),0))*8</f>
        <v>176</v>
      </c>
      <c r="AN86" s="63">
        <f>MAX(0,COUNTIF(G86,"ON")+COUNTIF(N86,"ON")+COUNTIF(U86,"ON")+COUNTIF(AB86,"ON")-AK86)</f>
        <v>2</v>
      </c>
      <c r="AO86" s="63">
        <f>AN86*$AO$2</f>
        <v>8</v>
      </c>
      <c r="AP86" s="53">
        <f>AL86-AO86/8</f>
        <v>14</v>
      </c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</row>
    <row r="87" spans="1:55" ht="22" customHeight="1" x14ac:dyDescent="0.35">
      <c r="A87" s="8" t="s">
        <v>197</v>
      </c>
      <c r="B87" s="8" t="s">
        <v>198</v>
      </c>
      <c r="C87" s="8" t="s">
        <v>194</v>
      </c>
      <c r="D87" s="26" t="s">
        <v>3</v>
      </c>
      <c r="E87" s="26" t="s">
        <v>3</v>
      </c>
      <c r="F87" s="26" t="s">
        <v>3</v>
      </c>
      <c r="G87" s="26" t="s">
        <v>3</v>
      </c>
      <c r="H87" s="23" t="s">
        <v>7</v>
      </c>
      <c r="I87" s="24" t="s">
        <v>9</v>
      </c>
      <c r="J87" s="22" t="s">
        <v>5</v>
      </c>
      <c r="K87" s="22" t="s">
        <v>5</v>
      </c>
      <c r="L87" s="26" t="s">
        <v>3</v>
      </c>
      <c r="M87" s="26" t="s">
        <v>3</v>
      </c>
      <c r="N87" s="26" t="s">
        <v>3</v>
      </c>
      <c r="O87" s="23" t="s">
        <v>7</v>
      </c>
      <c r="P87" s="24" t="s">
        <v>9</v>
      </c>
      <c r="Q87" s="22" t="s">
        <v>5</v>
      </c>
      <c r="R87" s="22" t="s">
        <v>5</v>
      </c>
      <c r="S87" s="22" t="s">
        <v>5</v>
      </c>
      <c r="T87" s="22" t="s">
        <v>5</v>
      </c>
      <c r="U87" s="22" t="s">
        <v>5</v>
      </c>
      <c r="V87" s="23" t="s">
        <v>7</v>
      </c>
      <c r="W87" s="24" t="s">
        <v>9</v>
      </c>
      <c r="X87" s="22" t="s">
        <v>5</v>
      </c>
      <c r="Y87" s="22" t="s">
        <v>5</v>
      </c>
      <c r="Z87" s="22" t="s">
        <v>5</v>
      </c>
      <c r="AA87" s="22" t="s">
        <v>5</v>
      </c>
      <c r="AB87" s="22" t="s">
        <v>5</v>
      </c>
      <c r="AC87" s="23" t="s">
        <v>7</v>
      </c>
      <c r="AD87" s="24" t="s">
        <v>9</v>
      </c>
      <c r="AE87" s="22" t="s">
        <v>5</v>
      </c>
      <c r="AF87" s="22" t="s">
        <v>5</v>
      </c>
      <c r="AG87" s="22" t="s">
        <v>5</v>
      </c>
      <c r="AH87" s="8">
        <f>COUNTIF(D87:AG87,"ON")</f>
        <v>7</v>
      </c>
      <c r="AI87" s="25">
        <f>COUNTIF(D87:AG87,"OFF")</f>
        <v>15</v>
      </c>
      <c r="AJ87" s="8">
        <f>COUNTIF(D87:AG87,"OT")</f>
        <v>0</v>
      </c>
      <c r="AK87" s="62">
        <v>0</v>
      </c>
      <c r="AL87" s="33">
        <f>AH87+AJ87+AK87*0.5</f>
        <v>7</v>
      </c>
      <c r="AM87" s="63">
        <f>NETWORKDAYS(DATE(2025,4,1),EOMONTH(DATE(2025,4,1),0))*8</f>
        <v>176</v>
      </c>
      <c r="AN87" s="63">
        <f>MAX(0,COUNTIF(G87,"ON")+COUNTIF(N87,"ON")+COUNTIF(U87,"ON")+COUNTIF(AB87,"ON")-AK87)</f>
        <v>2</v>
      </c>
      <c r="AO87" s="63">
        <f>AN87*$AO$2</f>
        <v>8</v>
      </c>
      <c r="AP87" s="53">
        <f>AL87-AO87/8</f>
        <v>6</v>
      </c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</row>
    <row r="88" spans="1:55" ht="22" customHeight="1" x14ac:dyDescent="0.35">
      <c r="A88" s="8" t="s">
        <v>199</v>
      </c>
      <c r="B88" s="8" t="s">
        <v>200</v>
      </c>
      <c r="C88" s="8" t="s">
        <v>194</v>
      </c>
      <c r="D88" s="26" t="s">
        <v>3</v>
      </c>
      <c r="E88" s="26" t="s">
        <v>3</v>
      </c>
      <c r="F88" s="26" t="s">
        <v>3</v>
      </c>
      <c r="G88" s="26" t="s">
        <v>3</v>
      </c>
      <c r="H88" s="23" t="s">
        <v>7</v>
      </c>
      <c r="I88" s="24" t="s">
        <v>9</v>
      </c>
      <c r="J88" s="22" t="s">
        <v>5</v>
      </c>
      <c r="K88" s="22" t="s">
        <v>5</v>
      </c>
      <c r="L88" s="26" t="s">
        <v>3</v>
      </c>
      <c r="M88" s="26" t="s">
        <v>3</v>
      </c>
      <c r="N88" s="26" t="s">
        <v>3</v>
      </c>
      <c r="O88" s="23" t="s">
        <v>7</v>
      </c>
      <c r="P88" s="24" t="s">
        <v>9</v>
      </c>
      <c r="Q88" s="26" t="s">
        <v>3</v>
      </c>
      <c r="R88" s="26" t="s">
        <v>3</v>
      </c>
      <c r="S88" s="26" t="s">
        <v>3</v>
      </c>
      <c r="T88" s="26" t="s">
        <v>3</v>
      </c>
      <c r="U88" s="22" t="s">
        <v>5</v>
      </c>
      <c r="V88" s="23" t="s">
        <v>7</v>
      </c>
      <c r="W88" s="24" t="s">
        <v>9</v>
      </c>
      <c r="X88" s="22" t="s">
        <v>5</v>
      </c>
      <c r="Y88" s="26" t="s">
        <v>3</v>
      </c>
      <c r="Z88" s="26" t="s">
        <v>3</v>
      </c>
      <c r="AA88" s="26" t="s">
        <v>3</v>
      </c>
      <c r="AB88" s="26" t="s">
        <v>3</v>
      </c>
      <c r="AC88" s="23" t="s">
        <v>7</v>
      </c>
      <c r="AD88" s="24" t="s">
        <v>9</v>
      </c>
      <c r="AE88" s="26" t="s">
        <v>3</v>
      </c>
      <c r="AF88" s="26" t="s">
        <v>3</v>
      </c>
      <c r="AG88" s="26" t="s">
        <v>3</v>
      </c>
      <c r="AH88" s="8">
        <f>COUNTIF(D88:AG88,"ON")</f>
        <v>18</v>
      </c>
      <c r="AI88" s="8">
        <f>COUNTIF(D88:AG88,"OFF")</f>
        <v>4</v>
      </c>
      <c r="AJ88" s="8">
        <f>COUNTIF(D88:AG88,"OT")</f>
        <v>0</v>
      </c>
      <c r="AK88" s="62">
        <v>0</v>
      </c>
      <c r="AL88" s="33">
        <f>AH88+AJ88+AK88*0.5</f>
        <v>18</v>
      </c>
      <c r="AM88" s="63">
        <f>NETWORKDAYS(DATE(2025,4,1),EOMONTH(DATE(2025,4,1),0))*8</f>
        <v>176</v>
      </c>
      <c r="AN88" s="63">
        <f>MAX(0,COUNTIF(G88,"ON")+COUNTIF(N88,"ON")+COUNTIF(U88,"ON")+COUNTIF(AB88,"ON")-AK88)</f>
        <v>3</v>
      </c>
      <c r="AO88" s="63">
        <f>AN88*$AO$2</f>
        <v>12</v>
      </c>
      <c r="AP88" s="53">
        <f>AL88-AO88/8</f>
        <v>16.5</v>
      </c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</row>
    <row r="89" spans="1:55" ht="22" customHeight="1" x14ac:dyDescent="0.35">
      <c r="A89" s="8" t="s">
        <v>201</v>
      </c>
      <c r="B89" s="8" t="s">
        <v>202</v>
      </c>
      <c r="C89" s="8" t="s">
        <v>194</v>
      </c>
      <c r="D89" s="26" t="s">
        <v>3</v>
      </c>
      <c r="E89" s="26" t="s">
        <v>3</v>
      </c>
      <c r="F89" s="26" t="s">
        <v>3</v>
      </c>
      <c r="G89" s="26" t="s">
        <v>3</v>
      </c>
      <c r="H89" s="23" t="s">
        <v>7</v>
      </c>
      <c r="I89" s="24" t="s">
        <v>9</v>
      </c>
      <c r="J89" s="22" t="s">
        <v>5</v>
      </c>
      <c r="K89" s="22" t="s">
        <v>5</v>
      </c>
      <c r="L89" s="26" t="s">
        <v>3</v>
      </c>
      <c r="M89" s="26" t="s">
        <v>3</v>
      </c>
      <c r="N89" s="26" t="s">
        <v>3</v>
      </c>
      <c r="O89" s="23" t="s">
        <v>7</v>
      </c>
      <c r="P89" s="24" t="s">
        <v>9</v>
      </c>
      <c r="Q89" s="22" t="s">
        <v>5</v>
      </c>
      <c r="R89" s="26" t="s">
        <v>3</v>
      </c>
      <c r="S89" s="26" t="s">
        <v>3</v>
      </c>
      <c r="T89" s="26" t="s">
        <v>3</v>
      </c>
      <c r="U89" s="22" t="s">
        <v>5</v>
      </c>
      <c r="V89" s="23" t="s">
        <v>7</v>
      </c>
      <c r="W89" s="24" t="s">
        <v>9</v>
      </c>
      <c r="X89" s="22" t="s">
        <v>5</v>
      </c>
      <c r="Y89" s="22" t="s">
        <v>5</v>
      </c>
      <c r="Z89" s="22" t="s">
        <v>5</v>
      </c>
      <c r="AA89" s="22" t="s">
        <v>5</v>
      </c>
      <c r="AB89" s="22" t="s">
        <v>5</v>
      </c>
      <c r="AC89" s="23" t="s">
        <v>7</v>
      </c>
      <c r="AD89" s="24" t="s">
        <v>9</v>
      </c>
      <c r="AE89" s="22" t="s">
        <v>5</v>
      </c>
      <c r="AF89" s="22" t="s">
        <v>5</v>
      </c>
      <c r="AG89" s="26" t="s">
        <v>3</v>
      </c>
      <c r="AH89" s="8">
        <f>COUNTIF(D89:AG89,"ON")</f>
        <v>11</v>
      </c>
      <c r="AI89" s="25">
        <f>COUNTIF(D89:AG89,"OFF")</f>
        <v>11</v>
      </c>
      <c r="AJ89" s="8">
        <f>COUNTIF(D89:AG89,"OT")</f>
        <v>0</v>
      </c>
      <c r="AK89" s="62">
        <v>0</v>
      </c>
      <c r="AL89" s="33">
        <f>AH89+AJ89+AK89*0.5</f>
        <v>11</v>
      </c>
      <c r="AM89" s="63">
        <f>NETWORKDAYS(DATE(2025,4,1),EOMONTH(DATE(2025,4,1),0))*8</f>
        <v>176</v>
      </c>
      <c r="AN89" s="63">
        <f>MAX(0,COUNTIF(G89,"ON")+COUNTIF(N89,"ON")+COUNTIF(U89,"ON")+COUNTIF(AB89,"ON")-AK89)</f>
        <v>2</v>
      </c>
      <c r="AO89" s="63">
        <f>AN89*$AO$2</f>
        <v>8</v>
      </c>
      <c r="AP89" s="53">
        <f>AL89-AO89/8</f>
        <v>10</v>
      </c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</row>
    <row r="90" spans="1:55" x14ac:dyDescent="0.35"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</row>
    <row r="91" spans="1:55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</row>
    <row r="92" spans="1:55" ht="22" customHeight="1" x14ac:dyDescent="0.35">
      <c r="A92" s="8" t="s">
        <v>204</v>
      </c>
      <c r="B92" s="8" t="s">
        <v>205</v>
      </c>
      <c r="C92" s="8" t="s">
        <v>206</v>
      </c>
      <c r="D92" s="26" t="s">
        <v>3</v>
      </c>
      <c r="E92" s="22" t="s">
        <v>5</v>
      </c>
      <c r="F92" s="22" t="s">
        <v>5</v>
      </c>
      <c r="G92" s="22" t="s">
        <v>5</v>
      </c>
      <c r="H92" s="23" t="s">
        <v>7</v>
      </c>
      <c r="I92" s="24" t="s">
        <v>9</v>
      </c>
      <c r="J92" s="22" t="s">
        <v>5</v>
      </c>
      <c r="K92" s="26" t="s">
        <v>3</v>
      </c>
      <c r="L92" s="22" t="s">
        <v>5</v>
      </c>
      <c r="M92" s="22" t="s">
        <v>5</v>
      </c>
      <c r="N92" s="22" t="s">
        <v>5</v>
      </c>
      <c r="O92" s="23" t="s">
        <v>7</v>
      </c>
      <c r="P92" s="24" t="s">
        <v>9</v>
      </c>
      <c r="Q92" s="22" t="s">
        <v>5</v>
      </c>
      <c r="R92" s="22" t="s">
        <v>5</v>
      </c>
      <c r="S92" s="22" t="s">
        <v>5</v>
      </c>
      <c r="T92" s="22" t="s">
        <v>5</v>
      </c>
      <c r="U92" s="22" t="s">
        <v>5</v>
      </c>
      <c r="V92" s="23" t="s">
        <v>7</v>
      </c>
      <c r="W92" s="24" t="s">
        <v>9</v>
      </c>
      <c r="X92" s="26" t="s">
        <v>3</v>
      </c>
      <c r="Y92" s="26" t="s">
        <v>3</v>
      </c>
      <c r="Z92" s="22" t="s">
        <v>5</v>
      </c>
      <c r="AA92" s="26" t="s">
        <v>3</v>
      </c>
      <c r="AB92" s="26" t="s">
        <v>3</v>
      </c>
      <c r="AC92" s="23" t="s">
        <v>7</v>
      </c>
      <c r="AD92" s="24" t="s">
        <v>9</v>
      </c>
      <c r="AE92" s="26" t="s">
        <v>3</v>
      </c>
      <c r="AF92" s="26" t="s">
        <v>3</v>
      </c>
      <c r="AG92" s="22" t="s">
        <v>5</v>
      </c>
      <c r="AH92" s="8">
        <f>COUNTIF(D92:AG92,"ON")</f>
        <v>8</v>
      </c>
      <c r="AI92" s="25">
        <f>COUNTIF(D92:AG92,"OFF")</f>
        <v>14</v>
      </c>
      <c r="AJ92" s="8">
        <f>COUNTIF(D92:AG92,"OT")</f>
        <v>0</v>
      </c>
      <c r="AK92" s="62">
        <v>0</v>
      </c>
      <c r="AL92" s="33">
        <f>AH92+AJ92+AK92*0.5</f>
        <v>8</v>
      </c>
      <c r="AM92" s="63">
        <f>NETWORKDAYS(DATE(2025,4,1),EOMONTH(DATE(2025,4,1),0))*8</f>
        <v>176</v>
      </c>
      <c r="AN92" s="63">
        <f>MAX(0,COUNTIF(G92,"ON")+COUNTIF(N92,"ON")+COUNTIF(U92,"ON")+COUNTIF(AB92,"ON")-AK92)</f>
        <v>1</v>
      </c>
      <c r="AO92" s="63">
        <f>AN92*$AO$2</f>
        <v>4</v>
      </c>
      <c r="AP92" s="53">
        <f>AL92-AO92/8</f>
        <v>7.5</v>
      </c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</row>
    <row r="93" spans="1:55" ht="22" customHeight="1" x14ac:dyDescent="0.35">
      <c r="A93" s="8" t="s">
        <v>207</v>
      </c>
      <c r="B93" s="8" t="s">
        <v>208</v>
      </c>
      <c r="C93" s="8" t="s">
        <v>206</v>
      </c>
      <c r="D93" s="26" t="s">
        <v>3</v>
      </c>
      <c r="E93" s="26" t="s">
        <v>3</v>
      </c>
      <c r="F93" s="26" t="s">
        <v>3</v>
      </c>
      <c r="G93" s="26" t="s">
        <v>3</v>
      </c>
      <c r="H93" s="27" t="s">
        <v>7</v>
      </c>
      <c r="I93" s="24" t="s">
        <v>9</v>
      </c>
      <c r="J93" s="22" t="s">
        <v>5</v>
      </c>
      <c r="K93" s="26" t="s">
        <v>3</v>
      </c>
      <c r="L93" s="26" t="s">
        <v>3</v>
      </c>
      <c r="M93" s="26" t="s">
        <v>3</v>
      </c>
      <c r="N93" s="26" t="s">
        <v>3</v>
      </c>
      <c r="O93" s="23" t="s">
        <v>7</v>
      </c>
      <c r="P93" s="24" t="s">
        <v>9</v>
      </c>
      <c r="Q93" s="22" t="s">
        <v>5</v>
      </c>
      <c r="R93" s="26" t="s">
        <v>3</v>
      </c>
      <c r="S93" s="26" t="s">
        <v>3</v>
      </c>
      <c r="T93" s="22" t="s">
        <v>5</v>
      </c>
      <c r="U93" s="22" t="s">
        <v>5</v>
      </c>
      <c r="V93" s="23" t="s">
        <v>7</v>
      </c>
      <c r="W93" s="24" t="s">
        <v>9</v>
      </c>
      <c r="X93" s="22" t="s">
        <v>5</v>
      </c>
      <c r="Y93" s="26" t="s">
        <v>3</v>
      </c>
      <c r="Z93" s="26" t="s">
        <v>3</v>
      </c>
      <c r="AA93" s="26" t="s">
        <v>3</v>
      </c>
      <c r="AB93" s="26" t="s">
        <v>3</v>
      </c>
      <c r="AC93" s="23" t="s">
        <v>7</v>
      </c>
      <c r="AD93" s="24" t="s">
        <v>9</v>
      </c>
      <c r="AE93" s="26" t="s">
        <v>3</v>
      </c>
      <c r="AF93" s="26" t="s">
        <v>3</v>
      </c>
      <c r="AG93" s="26" t="s">
        <v>3</v>
      </c>
      <c r="AH93" s="8">
        <f>COUNTIF(D93:AG93,"ON")</f>
        <v>17</v>
      </c>
      <c r="AI93" s="8">
        <f>COUNTIF(D93:AG93,"OFF")</f>
        <v>5</v>
      </c>
      <c r="AJ93" s="8">
        <f>COUNTIF(D93:AG93,"OT")</f>
        <v>0</v>
      </c>
      <c r="AK93" s="62">
        <v>1</v>
      </c>
      <c r="AL93" s="33">
        <f>AH93+AJ93+AK93*0.5</f>
        <v>17.5</v>
      </c>
      <c r="AM93" s="63">
        <f>NETWORKDAYS(DATE(2025,4,1),EOMONTH(DATE(2025,4,1),0))*8</f>
        <v>176</v>
      </c>
      <c r="AN93" s="63">
        <f>MAX(0,COUNTIF(G93,"ON")+COUNTIF(N93,"ON")+COUNTIF(U93,"ON")+COUNTIF(AB93,"ON")-AK93)</f>
        <v>2</v>
      </c>
      <c r="AO93" s="63">
        <f>AN93*$AO$2</f>
        <v>8</v>
      </c>
      <c r="AP93" s="53">
        <f>AL93-AO93/8</f>
        <v>16.5</v>
      </c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</row>
    <row r="94" spans="1:55" ht="22" customHeight="1" x14ac:dyDescent="0.35">
      <c r="A94" s="8" t="s">
        <v>209</v>
      </c>
      <c r="B94" s="8" t="s">
        <v>210</v>
      </c>
      <c r="C94" s="8" t="s">
        <v>206</v>
      </c>
      <c r="D94" s="26" t="s">
        <v>3</v>
      </c>
      <c r="E94" s="26" t="s">
        <v>3</v>
      </c>
      <c r="F94" s="26" t="s">
        <v>3</v>
      </c>
      <c r="G94" s="26" t="s">
        <v>3</v>
      </c>
      <c r="H94" s="23" t="s">
        <v>7</v>
      </c>
      <c r="I94" s="24" t="s">
        <v>9</v>
      </c>
      <c r="J94" s="22" t="s">
        <v>5</v>
      </c>
      <c r="K94" s="22" t="s">
        <v>5</v>
      </c>
      <c r="L94" s="22" t="s">
        <v>5</v>
      </c>
      <c r="M94" s="22" t="s">
        <v>5</v>
      </c>
      <c r="N94" s="22" t="s">
        <v>5</v>
      </c>
      <c r="O94" s="23" t="s">
        <v>7</v>
      </c>
      <c r="P94" s="24" t="s">
        <v>9</v>
      </c>
      <c r="Q94" s="22" t="s">
        <v>5</v>
      </c>
      <c r="R94" s="22" t="s">
        <v>5</v>
      </c>
      <c r="S94" s="22" t="s">
        <v>5</v>
      </c>
      <c r="T94" s="22" t="s">
        <v>5</v>
      </c>
      <c r="U94" s="22" t="s">
        <v>5</v>
      </c>
      <c r="V94" s="23" t="s">
        <v>7</v>
      </c>
      <c r="W94" s="24" t="s">
        <v>9</v>
      </c>
      <c r="X94" s="22" t="s">
        <v>5</v>
      </c>
      <c r="Y94" s="22" t="s">
        <v>5</v>
      </c>
      <c r="Z94" s="22" t="s">
        <v>5</v>
      </c>
      <c r="AA94" s="22" t="s">
        <v>5</v>
      </c>
      <c r="AB94" s="22" t="s">
        <v>5</v>
      </c>
      <c r="AC94" s="23" t="s">
        <v>7</v>
      </c>
      <c r="AD94" s="24" t="s">
        <v>9</v>
      </c>
      <c r="AE94" s="26" t="s">
        <v>3</v>
      </c>
      <c r="AF94" s="26" t="s">
        <v>3</v>
      </c>
      <c r="AG94" s="26" t="s">
        <v>3</v>
      </c>
      <c r="AH94" s="8">
        <f>COUNTIF(D94:AG94,"ON")</f>
        <v>7</v>
      </c>
      <c r="AI94" s="25">
        <f>COUNTIF(D94:AG94,"OFF")</f>
        <v>15</v>
      </c>
      <c r="AJ94" s="8">
        <f>COUNTIF(D94:AG94,"OT")</f>
        <v>0</v>
      </c>
      <c r="AK94" s="62">
        <v>0</v>
      </c>
      <c r="AL94" s="33">
        <f>AH94+AJ94+AK94*0.5</f>
        <v>7</v>
      </c>
      <c r="AM94" s="63">
        <f>NETWORKDAYS(DATE(2025,4,1),EOMONTH(DATE(2025,4,1),0))*8</f>
        <v>176</v>
      </c>
      <c r="AN94" s="63">
        <f>MAX(0,COUNTIF(G94,"ON")+COUNTIF(N94,"ON")+COUNTIF(U94,"ON")+COUNTIF(AB94,"ON")-AK94)</f>
        <v>1</v>
      </c>
      <c r="AO94" s="63">
        <f>AN94*$AO$2</f>
        <v>4</v>
      </c>
      <c r="AP94" s="53">
        <f>AL94-AO94/8</f>
        <v>6.5</v>
      </c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</row>
    <row r="95" spans="1:55" ht="22" customHeight="1" x14ac:dyDescent="0.35">
      <c r="A95" s="8" t="s">
        <v>211</v>
      </c>
      <c r="B95" s="8" t="s">
        <v>212</v>
      </c>
      <c r="C95" s="8" t="s">
        <v>206</v>
      </c>
      <c r="D95" s="26" t="s">
        <v>3</v>
      </c>
      <c r="E95" s="26" t="s">
        <v>3</v>
      </c>
      <c r="F95" s="26" t="s">
        <v>3</v>
      </c>
      <c r="G95" s="26" t="s">
        <v>3</v>
      </c>
      <c r="H95" s="23" t="s">
        <v>7</v>
      </c>
      <c r="I95" s="24" t="s">
        <v>9</v>
      </c>
      <c r="J95" s="22" t="s">
        <v>5</v>
      </c>
      <c r="K95" s="22" t="s">
        <v>5</v>
      </c>
      <c r="L95" s="26" t="s">
        <v>3</v>
      </c>
      <c r="M95" s="26" t="s">
        <v>3</v>
      </c>
      <c r="N95" s="26" t="s">
        <v>3</v>
      </c>
      <c r="O95" s="27" t="s">
        <v>7</v>
      </c>
      <c r="P95" s="24" t="s">
        <v>9</v>
      </c>
      <c r="Q95" s="26" t="s">
        <v>3</v>
      </c>
      <c r="R95" s="26" t="s">
        <v>3</v>
      </c>
      <c r="S95" s="26" t="s">
        <v>3</v>
      </c>
      <c r="T95" s="26" t="s">
        <v>3</v>
      </c>
      <c r="U95" s="22" t="s">
        <v>5</v>
      </c>
      <c r="V95" s="23" t="s">
        <v>7</v>
      </c>
      <c r="W95" s="24" t="s">
        <v>9</v>
      </c>
      <c r="X95" s="22" t="s">
        <v>5</v>
      </c>
      <c r="Y95" s="26" t="s">
        <v>3</v>
      </c>
      <c r="Z95" s="26" t="s">
        <v>3</v>
      </c>
      <c r="AA95" s="26" t="s">
        <v>3</v>
      </c>
      <c r="AB95" s="26" t="s">
        <v>3</v>
      </c>
      <c r="AC95" s="27" t="s">
        <v>7</v>
      </c>
      <c r="AD95" s="24" t="s">
        <v>9</v>
      </c>
      <c r="AE95" s="26" t="s">
        <v>3</v>
      </c>
      <c r="AF95" s="26" t="s">
        <v>3</v>
      </c>
      <c r="AG95" s="26" t="s">
        <v>3</v>
      </c>
      <c r="AH95" s="8">
        <f>COUNTIF(D95:AG95,"ON")</f>
        <v>18</v>
      </c>
      <c r="AI95" s="8">
        <f>COUNTIF(D95:AG95,"OFF")</f>
        <v>4</v>
      </c>
      <c r="AJ95" s="8">
        <f>COUNTIF(D95:AG95,"OT")</f>
        <v>0</v>
      </c>
      <c r="AK95" s="62">
        <v>2</v>
      </c>
      <c r="AL95" s="33">
        <f>AH95+AJ95+AK95*0.5</f>
        <v>19</v>
      </c>
      <c r="AM95" s="63">
        <f>NETWORKDAYS(DATE(2025,4,1),EOMONTH(DATE(2025,4,1),0))*8</f>
        <v>176</v>
      </c>
      <c r="AN95" s="63">
        <f>MAX(0,COUNTIF(G95,"ON")+COUNTIF(N95,"ON")+COUNTIF(U95,"ON")+COUNTIF(AB95,"ON")-AK95)</f>
        <v>1</v>
      </c>
      <c r="AO95" s="63">
        <f>AN95*$AO$2</f>
        <v>4</v>
      </c>
      <c r="AP95" s="53">
        <f>AL95-AO95/8</f>
        <v>18.5</v>
      </c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</row>
    <row r="96" spans="1:55" x14ac:dyDescent="0.35"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</row>
    <row r="97" spans="1:55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</row>
    <row r="98" spans="1:55" ht="22" customHeight="1" x14ac:dyDescent="0.35">
      <c r="A98" s="8" t="s">
        <v>214</v>
      </c>
      <c r="B98" s="8" t="s">
        <v>215</v>
      </c>
      <c r="C98" s="8" t="s">
        <v>216</v>
      </c>
      <c r="D98" s="26" t="s">
        <v>3</v>
      </c>
      <c r="E98" s="26" t="s">
        <v>3</v>
      </c>
      <c r="F98" s="26" t="s">
        <v>3</v>
      </c>
      <c r="G98" s="26" t="s">
        <v>3</v>
      </c>
      <c r="H98" s="23" t="s">
        <v>7</v>
      </c>
      <c r="I98" s="24" t="s">
        <v>9</v>
      </c>
      <c r="J98" s="22" t="s">
        <v>5</v>
      </c>
      <c r="K98" s="26" t="s">
        <v>3</v>
      </c>
      <c r="L98" s="26" t="s">
        <v>3</v>
      </c>
      <c r="M98" s="26" t="s">
        <v>3</v>
      </c>
      <c r="N98" s="26" t="s">
        <v>3</v>
      </c>
      <c r="O98" s="23" t="s">
        <v>7</v>
      </c>
      <c r="P98" s="24" t="s">
        <v>9</v>
      </c>
      <c r="Q98" s="26" t="s">
        <v>3</v>
      </c>
      <c r="R98" s="26" t="s">
        <v>3</v>
      </c>
      <c r="S98" s="26" t="s">
        <v>3</v>
      </c>
      <c r="T98" s="26" t="s">
        <v>3</v>
      </c>
      <c r="U98" s="26" t="s">
        <v>3</v>
      </c>
      <c r="V98" s="23" t="s">
        <v>7</v>
      </c>
      <c r="W98" s="24" t="s">
        <v>9</v>
      </c>
      <c r="X98" s="22" t="s">
        <v>5</v>
      </c>
      <c r="Y98" s="26" t="s">
        <v>3</v>
      </c>
      <c r="Z98" s="26" t="s">
        <v>3</v>
      </c>
      <c r="AA98" s="26" t="s">
        <v>3</v>
      </c>
      <c r="AB98" s="26" t="s">
        <v>3</v>
      </c>
      <c r="AC98" s="23" t="s">
        <v>7</v>
      </c>
      <c r="AD98" s="24" t="s">
        <v>9</v>
      </c>
      <c r="AE98" s="26" t="s">
        <v>3</v>
      </c>
      <c r="AF98" s="26" t="s">
        <v>3</v>
      </c>
      <c r="AG98" s="26" t="s">
        <v>3</v>
      </c>
      <c r="AH98" s="8">
        <f t="shared" ref="AH98:AH111" si="32">COUNTIF(D98:AG98,"ON")</f>
        <v>20</v>
      </c>
      <c r="AI98" s="8">
        <f t="shared" ref="AI98:AI111" si="33">COUNTIF(D98:AG98,"OFF")</f>
        <v>2</v>
      </c>
      <c r="AJ98" s="8">
        <f t="shared" ref="AJ98:AJ111" si="34">COUNTIF(D98:AG98,"OT")</f>
        <v>0</v>
      </c>
      <c r="AK98" s="62">
        <v>0</v>
      </c>
      <c r="AL98" s="33">
        <f t="shared" ref="AL98:AL111" si="35">AH98+AJ98+AK98*0.5</f>
        <v>20</v>
      </c>
      <c r="AM98" s="63">
        <f t="shared" ref="AM98:AM111" si="36">NETWORKDAYS(DATE(2025,4,1),EOMONTH(DATE(2025,4,1),0))*8</f>
        <v>176</v>
      </c>
      <c r="AN98" s="63">
        <f t="shared" ref="AN98:AN111" si="37">MAX(0,COUNTIF(G98,"ON")+COUNTIF(N98,"ON")+COUNTIF(U98,"ON")+COUNTIF(AB98,"ON")-AK98)</f>
        <v>4</v>
      </c>
      <c r="AO98" s="63">
        <f t="shared" ref="AO98:AO111" si="38">AN98*$AO$2</f>
        <v>16</v>
      </c>
      <c r="AP98" s="53">
        <f t="shared" ref="AP98:AP111" si="39">AL98-AO98/8</f>
        <v>18</v>
      </c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</row>
    <row r="99" spans="1:55" ht="22" customHeight="1" x14ac:dyDescent="0.35">
      <c r="A99" s="8" t="s">
        <v>217</v>
      </c>
      <c r="B99" s="8" t="s">
        <v>218</v>
      </c>
      <c r="C99" s="8" t="s">
        <v>216</v>
      </c>
      <c r="D99" s="22" t="s">
        <v>5</v>
      </c>
      <c r="E99" s="22" t="s">
        <v>5</v>
      </c>
      <c r="F99" s="26" t="s">
        <v>3</v>
      </c>
      <c r="G99" s="26" t="s">
        <v>3</v>
      </c>
      <c r="H99" s="23" t="s">
        <v>7</v>
      </c>
      <c r="I99" s="24" t="s">
        <v>9</v>
      </c>
      <c r="J99" s="22" t="s">
        <v>5</v>
      </c>
      <c r="K99" s="26" t="s">
        <v>3</v>
      </c>
      <c r="L99" s="26" t="s">
        <v>3</v>
      </c>
      <c r="M99" s="26" t="s">
        <v>3</v>
      </c>
      <c r="N99" s="26" t="s">
        <v>3</v>
      </c>
      <c r="O99" s="23" t="s">
        <v>7</v>
      </c>
      <c r="P99" s="24" t="s">
        <v>9</v>
      </c>
      <c r="Q99" s="26" t="s">
        <v>3</v>
      </c>
      <c r="R99" s="26" t="s">
        <v>3</v>
      </c>
      <c r="S99" s="26" t="s">
        <v>3</v>
      </c>
      <c r="T99" s="26" t="s">
        <v>3</v>
      </c>
      <c r="U99" s="26" t="s">
        <v>3</v>
      </c>
      <c r="V99" s="23" t="s">
        <v>7</v>
      </c>
      <c r="W99" s="24" t="s">
        <v>9</v>
      </c>
      <c r="X99" s="22" t="s">
        <v>5</v>
      </c>
      <c r="Y99" s="26" t="s">
        <v>3</v>
      </c>
      <c r="Z99" s="26" t="s">
        <v>3</v>
      </c>
      <c r="AA99" s="22" t="s">
        <v>5</v>
      </c>
      <c r="AB99" s="26" t="s">
        <v>3</v>
      </c>
      <c r="AC99" s="23" t="s">
        <v>7</v>
      </c>
      <c r="AD99" s="24" t="s">
        <v>9</v>
      </c>
      <c r="AE99" s="22" t="s">
        <v>5</v>
      </c>
      <c r="AF99" s="26" t="s">
        <v>3</v>
      </c>
      <c r="AG99" s="26" t="s">
        <v>3</v>
      </c>
      <c r="AH99" s="8">
        <f t="shared" si="32"/>
        <v>16</v>
      </c>
      <c r="AI99" s="8">
        <f t="shared" si="33"/>
        <v>6</v>
      </c>
      <c r="AJ99" s="8">
        <f t="shared" si="34"/>
        <v>0</v>
      </c>
      <c r="AK99" s="62">
        <v>0</v>
      </c>
      <c r="AL99" s="33">
        <f t="shared" si="35"/>
        <v>16</v>
      </c>
      <c r="AM99" s="63">
        <f t="shared" si="36"/>
        <v>176</v>
      </c>
      <c r="AN99" s="63">
        <f t="shared" si="37"/>
        <v>4</v>
      </c>
      <c r="AO99" s="63">
        <f t="shared" si="38"/>
        <v>16</v>
      </c>
      <c r="AP99" s="53">
        <f t="shared" si="39"/>
        <v>14</v>
      </c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</row>
    <row r="100" spans="1:55" ht="22" customHeight="1" x14ac:dyDescent="0.35">
      <c r="A100" s="8" t="s">
        <v>219</v>
      </c>
      <c r="B100" s="8" t="s">
        <v>220</v>
      </c>
      <c r="C100" s="8" t="s">
        <v>216</v>
      </c>
      <c r="D100" s="26" t="s">
        <v>3</v>
      </c>
      <c r="E100" s="26" t="s">
        <v>3</v>
      </c>
      <c r="F100" s="26" t="s">
        <v>3</v>
      </c>
      <c r="G100" s="26" t="s">
        <v>3</v>
      </c>
      <c r="H100" s="23" t="s">
        <v>7</v>
      </c>
      <c r="I100" s="24" t="s">
        <v>9</v>
      </c>
      <c r="J100" s="22" t="s">
        <v>5</v>
      </c>
      <c r="K100" s="22" t="s">
        <v>5</v>
      </c>
      <c r="L100" s="26" t="s">
        <v>3</v>
      </c>
      <c r="M100" s="26" t="s">
        <v>3</v>
      </c>
      <c r="N100" s="26" t="s">
        <v>3</v>
      </c>
      <c r="O100" s="23" t="s">
        <v>7</v>
      </c>
      <c r="P100" s="24" t="s">
        <v>9</v>
      </c>
      <c r="Q100" s="26" t="s">
        <v>3</v>
      </c>
      <c r="R100" s="26" t="s">
        <v>3</v>
      </c>
      <c r="S100" s="26" t="s">
        <v>3</v>
      </c>
      <c r="T100" s="26" t="s">
        <v>3</v>
      </c>
      <c r="U100" s="26" t="s">
        <v>3</v>
      </c>
      <c r="V100" s="23" t="s">
        <v>7</v>
      </c>
      <c r="W100" s="24" t="s">
        <v>9</v>
      </c>
      <c r="X100" s="22" t="s">
        <v>5</v>
      </c>
      <c r="Y100" s="26" t="s">
        <v>3</v>
      </c>
      <c r="Z100" s="26" t="s">
        <v>3</v>
      </c>
      <c r="AA100" s="26" t="s">
        <v>3</v>
      </c>
      <c r="AB100" s="26" t="s">
        <v>3</v>
      </c>
      <c r="AC100" s="23" t="s">
        <v>7</v>
      </c>
      <c r="AD100" s="24" t="s">
        <v>9</v>
      </c>
      <c r="AE100" s="26" t="s">
        <v>3</v>
      </c>
      <c r="AF100" s="26" t="s">
        <v>3</v>
      </c>
      <c r="AG100" s="26" t="s">
        <v>3</v>
      </c>
      <c r="AH100" s="8">
        <f t="shared" si="32"/>
        <v>19</v>
      </c>
      <c r="AI100" s="8">
        <f t="shared" si="33"/>
        <v>3</v>
      </c>
      <c r="AJ100" s="8">
        <f t="shared" si="34"/>
        <v>0</v>
      </c>
      <c r="AK100" s="62">
        <v>0</v>
      </c>
      <c r="AL100" s="33">
        <f t="shared" si="35"/>
        <v>19</v>
      </c>
      <c r="AM100" s="63">
        <f t="shared" si="36"/>
        <v>176</v>
      </c>
      <c r="AN100" s="63">
        <f t="shared" si="37"/>
        <v>4</v>
      </c>
      <c r="AO100" s="63">
        <f t="shared" si="38"/>
        <v>16</v>
      </c>
      <c r="AP100" s="53">
        <f t="shared" si="39"/>
        <v>17</v>
      </c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</row>
    <row r="101" spans="1:55" ht="22" customHeight="1" x14ac:dyDescent="0.35">
      <c r="A101" s="8" t="s">
        <v>221</v>
      </c>
      <c r="B101" s="8" t="s">
        <v>222</v>
      </c>
      <c r="C101" s="8" t="s">
        <v>216</v>
      </c>
      <c r="D101" s="26" t="s">
        <v>3</v>
      </c>
      <c r="E101" s="26" t="s">
        <v>3</v>
      </c>
      <c r="F101" s="26" t="s">
        <v>3</v>
      </c>
      <c r="G101" s="26" t="s">
        <v>3</v>
      </c>
      <c r="H101" s="23" t="s">
        <v>7</v>
      </c>
      <c r="I101" s="24" t="s">
        <v>9</v>
      </c>
      <c r="J101" s="22" t="s">
        <v>5</v>
      </c>
      <c r="K101" s="26" t="s">
        <v>3</v>
      </c>
      <c r="L101" s="26" t="s">
        <v>3</v>
      </c>
      <c r="M101" s="26" t="s">
        <v>3</v>
      </c>
      <c r="N101" s="26" t="s">
        <v>3</v>
      </c>
      <c r="O101" s="23" t="s">
        <v>7</v>
      </c>
      <c r="P101" s="24" t="s">
        <v>9</v>
      </c>
      <c r="Q101" s="26" t="s">
        <v>3</v>
      </c>
      <c r="R101" s="26" t="s">
        <v>3</v>
      </c>
      <c r="S101" s="26" t="s">
        <v>3</v>
      </c>
      <c r="T101" s="26" t="s">
        <v>3</v>
      </c>
      <c r="U101" s="26" t="s">
        <v>3</v>
      </c>
      <c r="V101" s="23" t="s">
        <v>7</v>
      </c>
      <c r="W101" s="24" t="s">
        <v>9</v>
      </c>
      <c r="X101" s="22" t="s">
        <v>5</v>
      </c>
      <c r="Y101" s="26" t="s">
        <v>3</v>
      </c>
      <c r="Z101" s="26" t="s">
        <v>3</v>
      </c>
      <c r="AA101" s="26" t="s">
        <v>3</v>
      </c>
      <c r="AB101" s="26" t="s">
        <v>3</v>
      </c>
      <c r="AC101" s="23" t="s">
        <v>7</v>
      </c>
      <c r="AD101" s="24" t="s">
        <v>9</v>
      </c>
      <c r="AE101" s="26" t="s">
        <v>3</v>
      </c>
      <c r="AF101" s="26" t="s">
        <v>3</v>
      </c>
      <c r="AG101" s="26" t="s">
        <v>3</v>
      </c>
      <c r="AH101" s="8">
        <f t="shared" si="32"/>
        <v>20</v>
      </c>
      <c r="AI101" s="8">
        <f t="shared" si="33"/>
        <v>2</v>
      </c>
      <c r="AJ101" s="8">
        <f t="shared" si="34"/>
        <v>0</v>
      </c>
      <c r="AK101" s="62">
        <v>0</v>
      </c>
      <c r="AL101" s="33">
        <f t="shared" si="35"/>
        <v>20</v>
      </c>
      <c r="AM101" s="63">
        <f t="shared" si="36"/>
        <v>176</v>
      </c>
      <c r="AN101" s="63">
        <f t="shared" si="37"/>
        <v>4</v>
      </c>
      <c r="AO101" s="63">
        <f t="shared" si="38"/>
        <v>16</v>
      </c>
      <c r="AP101" s="53">
        <f t="shared" si="39"/>
        <v>18</v>
      </c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</row>
    <row r="102" spans="1:55" ht="22" customHeight="1" x14ac:dyDescent="0.35">
      <c r="A102" s="8" t="s">
        <v>223</v>
      </c>
      <c r="B102" s="8" t="s">
        <v>224</v>
      </c>
      <c r="C102" s="8" t="s">
        <v>216</v>
      </c>
      <c r="D102" s="22" t="s">
        <v>5</v>
      </c>
      <c r="E102" s="22" t="s">
        <v>5</v>
      </c>
      <c r="F102" s="22" t="s">
        <v>5</v>
      </c>
      <c r="G102" s="22" t="s">
        <v>5</v>
      </c>
      <c r="H102" s="23" t="s">
        <v>7</v>
      </c>
      <c r="I102" s="24" t="s">
        <v>9</v>
      </c>
      <c r="J102" s="22" t="s">
        <v>5</v>
      </c>
      <c r="K102" s="22" t="s">
        <v>5</v>
      </c>
      <c r="L102" s="22" t="s">
        <v>5</v>
      </c>
      <c r="M102" s="22" t="s">
        <v>5</v>
      </c>
      <c r="N102" s="22" t="s">
        <v>5</v>
      </c>
      <c r="O102" s="23" t="s">
        <v>7</v>
      </c>
      <c r="P102" s="24" t="s">
        <v>9</v>
      </c>
      <c r="Q102" s="22" t="s">
        <v>5</v>
      </c>
      <c r="R102" s="22" t="s">
        <v>5</v>
      </c>
      <c r="S102" s="22" t="s">
        <v>5</v>
      </c>
      <c r="T102" s="22" t="s">
        <v>5</v>
      </c>
      <c r="U102" s="22" t="s">
        <v>5</v>
      </c>
      <c r="V102" s="23" t="s">
        <v>7</v>
      </c>
      <c r="W102" s="24" t="s">
        <v>9</v>
      </c>
      <c r="X102" s="22" t="s">
        <v>5</v>
      </c>
      <c r="Y102" s="22" t="s">
        <v>5</v>
      </c>
      <c r="Z102" s="22" t="s">
        <v>5</v>
      </c>
      <c r="AA102" s="22" t="s">
        <v>5</v>
      </c>
      <c r="AB102" s="22" t="s">
        <v>5</v>
      </c>
      <c r="AC102" s="23" t="s">
        <v>7</v>
      </c>
      <c r="AD102" s="24" t="s">
        <v>9</v>
      </c>
      <c r="AE102" s="22" t="s">
        <v>5</v>
      </c>
      <c r="AF102" s="22" t="s">
        <v>5</v>
      </c>
      <c r="AG102" s="22" t="s">
        <v>5</v>
      </c>
      <c r="AH102" s="8">
        <f t="shared" si="32"/>
        <v>0</v>
      </c>
      <c r="AI102" s="25">
        <f t="shared" si="33"/>
        <v>22</v>
      </c>
      <c r="AJ102" s="8">
        <f t="shared" si="34"/>
        <v>0</v>
      </c>
      <c r="AK102" s="62">
        <v>0</v>
      </c>
      <c r="AL102" s="33">
        <f t="shared" si="35"/>
        <v>0</v>
      </c>
      <c r="AM102" s="63">
        <f t="shared" si="36"/>
        <v>176</v>
      </c>
      <c r="AN102" s="63">
        <f t="shared" si="37"/>
        <v>0</v>
      </c>
      <c r="AO102" s="63">
        <f t="shared" si="38"/>
        <v>0</v>
      </c>
      <c r="AP102" s="53">
        <f t="shared" si="39"/>
        <v>0</v>
      </c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</row>
    <row r="103" spans="1:55" ht="22" customHeight="1" x14ac:dyDescent="0.35">
      <c r="A103" s="8" t="s">
        <v>225</v>
      </c>
      <c r="B103" s="8" t="s">
        <v>226</v>
      </c>
      <c r="C103" s="8" t="s">
        <v>216</v>
      </c>
      <c r="D103" s="22" t="s">
        <v>5</v>
      </c>
      <c r="E103" s="22" t="s">
        <v>5</v>
      </c>
      <c r="F103" s="22" t="s">
        <v>5</v>
      </c>
      <c r="G103" s="22" t="s">
        <v>5</v>
      </c>
      <c r="H103" s="23" t="s">
        <v>7</v>
      </c>
      <c r="I103" s="24" t="s">
        <v>9</v>
      </c>
      <c r="J103" s="22" t="s">
        <v>5</v>
      </c>
      <c r="K103" s="22" t="s">
        <v>5</v>
      </c>
      <c r="L103" s="22" t="s">
        <v>5</v>
      </c>
      <c r="M103" s="22" t="s">
        <v>5</v>
      </c>
      <c r="N103" s="22" t="s">
        <v>5</v>
      </c>
      <c r="O103" s="23" t="s">
        <v>7</v>
      </c>
      <c r="P103" s="24" t="s">
        <v>9</v>
      </c>
      <c r="Q103" s="22" t="s">
        <v>5</v>
      </c>
      <c r="R103" s="22" t="s">
        <v>5</v>
      </c>
      <c r="S103" s="22" t="s">
        <v>5</v>
      </c>
      <c r="T103" s="22" t="s">
        <v>5</v>
      </c>
      <c r="U103" s="22" t="s">
        <v>5</v>
      </c>
      <c r="V103" s="23" t="s">
        <v>7</v>
      </c>
      <c r="W103" s="24" t="s">
        <v>9</v>
      </c>
      <c r="X103" s="22" t="s">
        <v>5</v>
      </c>
      <c r="Y103" s="22" t="s">
        <v>5</v>
      </c>
      <c r="Z103" s="22" t="s">
        <v>5</v>
      </c>
      <c r="AA103" s="22" t="s">
        <v>5</v>
      </c>
      <c r="AB103" s="22" t="s">
        <v>5</v>
      </c>
      <c r="AC103" s="23" t="s">
        <v>7</v>
      </c>
      <c r="AD103" s="24" t="s">
        <v>9</v>
      </c>
      <c r="AE103" s="22" t="s">
        <v>5</v>
      </c>
      <c r="AF103" s="22" t="s">
        <v>5</v>
      </c>
      <c r="AG103" s="22" t="s">
        <v>5</v>
      </c>
      <c r="AH103" s="8">
        <f t="shared" si="32"/>
        <v>0</v>
      </c>
      <c r="AI103" s="25">
        <f t="shared" si="33"/>
        <v>22</v>
      </c>
      <c r="AJ103" s="8">
        <f t="shared" si="34"/>
        <v>0</v>
      </c>
      <c r="AK103" s="62">
        <v>0</v>
      </c>
      <c r="AL103" s="33">
        <f t="shared" si="35"/>
        <v>0</v>
      </c>
      <c r="AM103" s="63">
        <f t="shared" si="36"/>
        <v>176</v>
      </c>
      <c r="AN103" s="63">
        <f t="shared" si="37"/>
        <v>0</v>
      </c>
      <c r="AO103" s="63">
        <f t="shared" si="38"/>
        <v>0</v>
      </c>
      <c r="AP103" s="53">
        <f t="shared" si="39"/>
        <v>0</v>
      </c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</row>
    <row r="104" spans="1:55" ht="22" customHeight="1" x14ac:dyDescent="0.35">
      <c r="A104" s="8" t="s">
        <v>227</v>
      </c>
      <c r="B104" s="8" t="s">
        <v>228</v>
      </c>
      <c r="C104" s="8" t="s">
        <v>216</v>
      </c>
      <c r="D104" s="26" t="s">
        <v>3</v>
      </c>
      <c r="E104" s="26" t="s">
        <v>3</v>
      </c>
      <c r="F104" s="26" t="s">
        <v>3</v>
      </c>
      <c r="G104" s="26" t="s">
        <v>3</v>
      </c>
      <c r="H104" s="23" t="s">
        <v>7</v>
      </c>
      <c r="I104" s="24" t="s">
        <v>9</v>
      </c>
      <c r="J104" s="22" t="s">
        <v>5</v>
      </c>
      <c r="K104" s="26" t="s">
        <v>3</v>
      </c>
      <c r="L104" s="26" t="s">
        <v>3</v>
      </c>
      <c r="M104" s="26" t="s">
        <v>3</v>
      </c>
      <c r="N104" s="26" t="s">
        <v>3</v>
      </c>
      <c r="O104" s="23" t="s">
        <v>7</v>
      </c>
      <c r="P104" s="24" t="s">
        <v>9</v>
      </c>
      <c r="Q104" s="26" t="s">
        <v>3</v>
      </c>
      <c r="R104" s="26" t="s">
        <v>3</v>
      </c>
      <c r="S104" s="26" t="s">
        <v>3</v>
      </c>
      <c r="T104" s="26" t="s">
        <v>3</v>
      </c>
      <c r="U104" s="26" t="s">
        <v>3</v>
      </c>
      <c r="V104" s="23" t="s">
        <v>7</v>
      </c>
      <c r="W104" s="24" t="s">
        <v>9</v>
      </c>
      <c r="X104" s="22" t="s">
        <v>5</v>
      </c>
      <c r="Y104" s="26" t="s">
        <v>3</v>
      </c>
      <c r="Z104" s="26" t="s">
        <v>3</v>
      </c>
      <c r="AA104" s="26" t="s">
        <v>3</v>
      </c>
      <c r="AB104" s="26" t="s">
        <v>3</v>
      </c>
      <c r="AC104" s="23" t="s">
        <v>7</v>
      </c>
      <c r="AD104" s="24" t="s">
        <v>9</v>
      </c>
      <c r="AE104" s="26" t="s">
        <v>3</v>
      </c>
      <c r="AF104" s="26" t="s">
        <v>3</v>
      </c>
      <c r="AG104" s="26" t="s">
        <v>3</v>
      </c>
      <c r="AH104" s="8">
        <f t="shared" si="32"/>
        <v>20</v>
      </c>
      <c r="AI104" s="8">
        <f t="shared" si="33"/>
        <v>2</v>
      </c>
      <c r="AJ104" s="8">
        <f t="shared" si="34"/>
        <v>0</v>
      </c>
      <c r="AK104" s="62">
        <v>0</v>
      </c>
      <c r="AL104" s="33">
        <f t="shared" si="35"/>
        <v>20</v>
      </c>
      <c r="AM104" s="63">
        <f t="shared" si="36"/>
        <v>176</v>
      </c>
      <c r="AN104" s="63">
        <f t="shared" si="37"/>
        <v>4</v>
      </c>
      <c r="AO104" s="63">
        <f t="shared" si="38"/>
        <v>16</v>
      </c>
      <c r="AP104" s="53">
        <f t="shared" si="39"/>
        <v>18</v>
      </c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</row>
    <row r="105" spans="1:55" ht="22" customHeight="1" x14ac:dyDescent="0.35">
      <c r="A105" s="8" t="s">
        <v>229</v>
      </c>
      <c r="B105" s="8" t="s">
        <v>230</v>
      </c>
      <c r="C105" s="8" t="s">
        <v>216</v>
      </c>
      <c r="D105" s="26" t="s">
        <v>3</v>
      </c>
      <c r="E105" s="26" t="s">
        <v>3</v>
      </c>
      <c r="F105" s="26" t="s">
        <v>3</v>
      </c>
      <c r="G105" s="26" t="s">
        <v>3</v>
      </c>
      <c r="H105" s="23" t="s">
        <v>7</v>
      </c>
      <c r="I105" s="24" t="s">
        <v>9</v>
      </c>
      <c r="J105" s="22" t="s">
        <v>5</v>
      </c>
      <c r="K105" s="26" t="s">
        <v>3</v>
      </c>
      <c r="L105" s="26" t="s">
        <v>3</v>
      </c>
      <c r="M105" s="26" t="s">
        <v>3</v>
      </c>
      <c r="N105" s="26" t="s">
        <v>3</v>
      </c>
      <c r="O105" s="23" t="s">
        <v>7</v>
      </c>
      <c r="P105" s="24" t="s">
        <v>9</v>
      </c>
      <c r="Q105" s="26" t="s">
        <v>3</v>
      </c>
      <c r="R105" s="26" t="s">
        <v>3</v>
      </c>
      <c r="S105" s="26" t="s">
        <v>3</v>
      </c>
      <c r="T105" s="26" t="s">
        <v>3</v>
      </c>
      <c r="U105" s="26" t="s">
        <v>3</v>
      </c>
      <c r="V105" s="23" t="s">
        <v>7</v>
      </c>
      <c r="W105" s="24" t="s">
        <v>9</v>
      </c>
      <c r="X105" s="22" t="s">
        <v>5</v>
      </c>
      <c r="Y105" s="26" t="s">
        <v>3</v>
      </c>
      <c r="Z105" s="26" t="s">
        <v>3</v>
      </c>
      <c r="AA105" s="26" t="s">
        <v>3</v>
      </c>
      <c r="AB105" s="26" t="s">
        <v>3</v>
      </c>
      <c r="AC105" s="23" t="s">
        <v>7</v>
      </c>
      <c r="AD105" s="24" t="s">
        <v>9</v>
      </c>
      <c r="AE105" s="26" t="s">
        <v>3</v>
      </c>
      <c r="AF105" s="26" t="s">
        <v>3</v>
      </c>
      <c r="AG105" s="26" t="s">
        <v>3</v>
      </c>
      <c r="AH105" s="8">
        <f t="shared" si="32"/>
        <v>20</v>
      </c>
      <c r="AI105" s="8">
        <f t="shared" si="33"/>
        <v>2</v>
      </c>
      <c r="AJ105" s="8">
        <f t="shared" si="34"/>
        <v>0</v>
      </c>
      <c r="AK105" s="62">
        <v>0</v>
      </c>
      <c r="AL105" s="33">
        <f t="shared" si="35"/>
        <v>20</v>
      </c>
      <c r="AM105" s="63">
        <f t="shared" si="36"/>
        <v>176</v>
      </c>
      <c r="AN105" s="63">
        <f t="shared" si="37"/>
        <v>4</v>
      </c>
      <c r="AO105" s="63">
        <f t="shared" si="38"/>
        <v>16</v>
      </c>
      <c r="AP105" s="53">
        <f t="shared" si="39"/>
        <v>18</v>
      </c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</row>
    <row r="106" spans="1:55" ht="22" customHeight="1" x14ac:dyDescent="0.35">
      <c r="A106" s="8" t="s">
        <v>231</v>
      </c>
      <c r="B106" s="8" t="s">
        <v>232</v>
      </c>
      <c r="C106" s="8" t="s">
        <v>216</v>
      </c>
      <c r="D106" s="26" t="s">
        <v>3</v>
      </c>
      <c r="E106" s="26" t="s">
        <v>3</v>
      </c>
      <c r="F106" s="26" t="s">
        <v>3</v>
      </c>
      <c r="G106" s="26" t="s">
        <v>3</v>
      </c>
      <c r="H106" s="23" t="s">
        <v>7</v>
      </c>
      <c r="I106" s="24" t="s">
        <v>9</v>
      </c>
      <c r="J106" s="22" t="s">
        <v>5</v>
      </c>
      <c r="K106" s="26" t="s">
        <v>3</v>
      </c>
      <c r="L106" s="26" t="s">
        <v>3</v>
      </c>
      <c r="M106" s="26" t="s">
        <v>3</v>
      </c>
      <c r="N106" s="26" t="s">
        <v>3</v>
      </c>
      <c r="O106" s="23" t="s">
        <v>7</v>
      </c>
      <c r="P106" s="24" t="s">
        <v>9</v>
      </c>
      <c r="Q106" s="22" t="s">
        <v>5</v>
      </c>
      <c r="R106" s="26" t="s">
        <v>3</v>
      </c>
      <c r="S106" s="22" t="s">
        <v>5</v>
      </c>
      <c r="T106" s="22" t="s">
        <v>5</v>
      </c>
      <c r="U106" s="22" t="s">
        <v>5</v>
      </c>
      <c r="V106" s="23" t="s">
        <v>7</v>
      </c>
      <c r="W106" s="24" t="s">
        <v>9</v>
      </c>
      <c r="X106" s="22" t="s">
        <v>5</v>
      </c>
      <c r="Y106" s="26" t="s">
        <v>3</v>
      </c>
      <c r="Z106" s="22" t="s">
        <v>5</v>
      </c>
      <c r="AA106" s="26" t="s">
        <v>3</v>
      </c>
      <c r="AB106" s="26" t="s">
        <v>3</v>
      </c>
      <c r="AC106" s="23" t="s">
        <v>7</v>
      </c>
      <c r="AD106" s="24" t="s">
        <v>9</v>
      </c>
      <c r="AE106" s="26" t="s">
        <v>3</v>
      </c>
      <c r="AF106" s="26" t="s">
        <v>3</v>
      </c>
      <c r="AG106" s="26" t="s">
        <v>3</v>
      </c>
      <c r="AH106" s="8">
        <f t="shared" si="32"/>
        <v>15</v>
      </c>
      <c r="AI106" s="8">
        <f t="shared" si="33"/>
        <v>7</v>
      </c>
      <c r="AJ106" s="8">
        <f t="shared" si="34"/>
        <v>0</v>
      </c>
      <c r="AK106" s="62">
        <v>0</v>
      </c>
      <c r="AL106" s="33">
        <f t="shared" si="35"/>
        <v>15</v>
      </c>
      <c r="AM106" s="63">
        <f t="shared" si="36"/>
        <v>176</v>
      </c>
      <c r="AN106" s="63">
        <f t="shared" si="37"/>
        <v>3</v>
      </c>
      <c r="AO106" s="63">
        <f t="shared" si="38"/>
        <v>12</v>
      </c>
      <c r="AP106" s="53">
        <f t="shared" si="39"/>
        <v>13.5</v>
      </c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</row>
    <row r="107" spans="1:55" ht="22" customHeight="1" x14ac:dyDescent="0.35">
      <c r="A107" s="8" t="s">
        <v>233</v>
      </c>
      <c r="B107" s="8" t="s">
        <v>234</v>
      </c>
      <c r="C107" s="8" t="s">
        <v>216</v>
      </c>
      <c r="D107" s="26" t="s">
        <v>3</v>
      </c>
      <c r="E107" s="26" t="s">
        <v>3</v>
      </c>
      <c r="F107" s="26" t="s">
        <v>3</v>
      </c>
      <c r="G107" s="26" t="s">
        <v>3</v>
      </c>
      <c r="H107" s="23" t="s">
        <v>7</v>
      </c>
      <c r="I107" s="24" t="s">
        <v>9</v>
      </c>
      <c r="J107" s="22" t="s">
        <v>5</v>
      </c>
      <c r="K107" s="26" t="s">
        <v>3</v>
      </c>
      <c r="L107" s="26" t="s">
        <v>3</v>
      </c>
      <c r="M107" s="26" t="s">
        <v>3</v>
      </c>
      <c r="N107" s="26" t="s">
        <v>3</v>
      </c>
      <c r="O107" s="23" t="s">
        <v>7</v>
      </c>
      <c r="P107" s="24" t="s">
        <v>9</v>
      </c>
      <c r="Q107" s="26" t="s">
        <v>3</v>
      </c>
      <c r="R107" s="26" t="s">
        <v>3</v>
      </c>
      <c r="S107" s="26" t="s">
        <v>3</v>
      </c>
      <c r="T107" s="26" t="s">
        <v>3</v>
      </c>
      <c r="U107" s="26" t="s">
        <v>3</v>
      </c>
      <c r="V107" s="23" t="s">
        <v>7</v>
      </c>
      <c r="W107" s="24" t="s">
        <v>9</v>
      </c>
      <c r="X107" s="22" t="s">
        <v>5</v>
      </c>
      <c r="Y107" s="26" t="s">
        <v>3</v>
      </c>
      <c r="Z107" s="26" t="s">
        <v>3</v>
      </c>
      <c r="AA107" s="26" t="s">
        <v>3</v>
      </c>
      <c r="AB107" s="26" t="s">
        <v>3</v>
      </c>
      <c r="AC107" s="23" t="s">
        <v>7</v>
      </c>
      <c r="AD107" s="24" t="s">
        <v>9</v>
      </c>
      <c r="AE107" s="26" t="s">
        <v>3</v>
      </c>
      <c r="AF107" s="26" t="s">
        <v>3</v>
      </c>
      <c r="AG107" s="26" t="s">
        <v>3</v>
      </c>
      <c r="AH107" s="8">
        <f t="shared" si="32"/>
        <v>20</v>
      </c>
      <c r="AI107" s="8">
        <f t="shared" si="33"/>
        <v>2</v>
      </c>
      <c r="AJ107" s="8">
        <f t="shared" si="34"/>
        <v>0</v>
      </c>
      <c r="AK107" s="62">
        <v>0</v>
      </c>
      <c r="AL107" s="33">
        <f t="shared" si="35"/>
        <v>20</v>
      </c>
      <c r="AM107" s="63">
        <f t="shared" si="36"/>
        <v>176</v>
      </c>
      <c r="AN107" s="63">
        <f t="shared" si="37"/>
        <v>4</v>
      </c>
      <c r="AO107" s="63">
        <f t="shared" si="38"/>
        <v>16</v>
      </c>
      <c r="AP107" s="53">
        <f t="shared" si="39"/>
        <v>18</v>
      </c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</row>
    <row r="108" spans="1:55" ht="22" customHeight="1" x14ac:dyDescent="0.35">
      <c r="A108" s="8" t="s">
        <v>235</v>
      </c>
      <c r="B108" s="8" t="s">
        <v>236</v>
      </c>
      <c r="C108" s="8" t="s">
        <v>216</v>
      </c>
      <c r="D108" s="26" t="s">
        <v>3</v>
      </c>
      <c r="E108" s="26" t="s">
        <v>3</v>
      </c>
      <c r="F108" s="26" t="s">
        <v>3</v>
      </c>
      <c r="G108" s="26" t="s">
        <v>3</v>
      </c>
      <c r="H108" s="23" t="s">
        <v>7</v>
      </c>
      <c r="I108" s="24" t="s">
        <v>9</v>
      </c>
      <c r="J108" s="22" t="s">
        <v>5</v>
      </c>
      <c r="K108" s="26" t="s">
        <v>3</v>
      </c>
      <c r="L108" s="26" t="s">
        <v>3</v>
      </c>
      <c r="M108" s="26" t="s">
        <v>3</v>
      </c>
      <c r="N108" s="26" t="s">
        <v>3</v>
      </c>
      <c r="O108" s="23" t="s">
        <v>7</v>
      </c>
      <c r="P108" s="24" t="s">
        <v>9</v>
      </c>
      <c r="Q108" s="26" t="s">
        <v>3</v>
      </c>
      <c r="R108" s="26" t="s">
        <v>3</v>
      </c>
      <c r="S108" s="26" t="s">
        <v>3</v>
      </c>
      <c r="T108" s="26" t="s">
        <v>3</v>
      </c>
      <c r="U108" s="26" t="s">
        <v>3</v>
      </c>
      <c r="V108" s="23" t="s">
        <v>7</v>
      </c>
      <c r="W108" s="24" t="s">
        <v>9</v>
      </c>
      <c r="X108" s="22" t="s">
        <v>5</v>
      </c>
      <c r="Y108" s="26" t="s">
        <v>3</v>
      </c>
      <c r="Z108" s="22" t="s">
        <v>5</v>
      </c>
      <c r="AA108" s="26" t="s">
        <v>3</v>
      </c>
      <c r="AB108" s="26" t="s">
        <v>3</v>
      </c>
      <c r="AC108" s="23" t="s">
        <v>7</v>
      </c>
      <c r="AD108" s="24" t="s">
        <v>9</v>
      </c>
      <c r="AE108" s="26" t="s">
        <v>3</v>
      </c>
      <c r="AF108" s="26" t="s">
        <v>3</v>
      </c>
      <c r="AG108" s="26" t="s">
        <v>3</v>
      </c>
      <c r="AH108" s="8">
        <f t="shared" si="32"/>
        <v>19</v>
      </c>
      <c r="AI108" s="8">
        <f t="shared" si="33"/>
        <v>3</v>
      </c>
      <c r="AJ108" s="8">
        <f t="shared" si="34"/>
        <v>0</v>
      </c>
      <c r="AK108" s="62">
        <v>0</v>
      </c>
      <c r="AL108" s="33">
        <f t="shared" si="35"/>
        <v>19</v>
      </c>
      <c r="AM108" s="63">
        <f t="shared" si="36"/>
        <v>176</v>
      </c>
      <c r="AN108" s="63">
        <f t="shared" si="37"/>
        <v>4</v>
      </c>
      <c r="AO108" s="63">
        <f t="shared" si="38"/>
        <v>16</v>
      </c>
      <c r="AP108" s="53">
        <f t="shared" si="39"/>
        <v>17</v>
      </c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</row>
    <row r="109" spans="1:55" ht="22" customHeight="1" x14ac:dyDescent="0.35">
      <c r="A109" s="8" t="s">
        <v>237</v>
      </c>
      <c r="B109" s="8" t="s">
        <v>238</v>
      </c>
      <c r="C109" s="8" t="s">
        <v>216</v>
      </c>
      <c r="D109" s="22" t="s">
        <v>5</v>
      </c>
      <c r="E109" s="22" t="s">
        <v>5</v>
      </c>
      <c r="F109" s="26" t="s">
        <v>3</v>
      </c>
      <c r="G109" s="26" t="s">
        <v>3</v>
      </c>
      <c r="H109" s="23" t="s">
        <v>7</v>
      </c>
      <c r="I109" s="24" t="s">
        <v>9</v>
      </c>
      <c r="J109" s="22" t="s">
        <v>5</v>
      </c>
      <c r="K109" s="26" t="s">
        <v>3</v>
      </c>
      <c r="L109" s="26" t="s">
        <v>3</v>
      </c>
      <c r="M109" s="26" t="s">
        <v>3</v>
      </c>
      <c r="N109" s="26" t="s">
        <v>3</v>
      </c>
      <c r="O109" s="23" t="s">
        <v>7</v>
      </c>
      <c r="P109" s="24" t="s">
        <v>9</v>
      </c>
      <c r="Q109" s="26" t="s">
        <v>3</v>
      </c>
      <c r="R109" s="26" t="s">
        <v>3</v>
      </c>
      <c r="S109" s="26" t="s">
        <v>3</v>
      </c>
      <c r="T109" s="26" t="s">
        <v>3</v>
      </c>
      <c r="U109" s="26" t="s">
        <v>3</v>
      </c>
      <c r="V109" s="23" t="s">
        <v>7</v>
      </c>
      <c r="W109" s="24" t="s">
        <v>9</v>
      </c>
      <c r="X109" s="22" t="s">
        <v>5</v>
      </c>
      <c r="Y109" s="26" t="s">
        <v>3</v>
      </c>
      <c r="Z109" s="26" t="s">
        <v>3</v>
      </c>
      <c r="AA109" s="26" t="s">
        <v>3</v>
      </c>
      <c r="AB109" s="26" t="s">
        <v>3</v>
      </c>
      <c r="AC109" s="23" t="s">
        <v>7</v>
      </c>
      <c r="AD109" s="24" t="s">
        <v>9</v>
      </c>
      <c r="AE109" s="26" t="s">
        <v>3</v>
      </c>
      <c r="AF109" s="26" t="s">
        <v>3</v>
      </c>
      <c r="AG109" s="26" t="s">
        <v>3</v>
      </c>
      <c r="AH109" s="8">
        <f t="shared" si="32"/>
        <v>18</v>
      </c>
      <c r="AI109" s="8">
        <f t="shared" si="33"/>
        <v>4</v>
      </c>
      <c r="AJ109" s="8">
        <f t="shared" si="34"/>
        <v>0</v>
      </c>
      <c r="AK109" s="62">
        <v>0</v>
      </c>
      <c r="AL109" s="33">
        <f t="shared" si="35"/>
        <v>18</v>
      </c>
      <c r="AM109" s="63">
        <f t="shared" si="36"/>
        <v>176</v>
      </c>
      <c r="AN109" s="63">
        <f t="shared" si="37"/>
        <v>4</v>
      </c>
      <c r="AO109" s="63">
        <f t="shared" si="38"/>
        <v>16</v>
      </c>
      <c r="AP109" s="53">
        <f t="shared" si="39"/>
        <v>16</v>
      </c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</row>
    <row r="110" spans="1:55" ht="22" customHeight="1" x14ac:dyDescent="0.35">
      <c r="A110" s="8" t="s">
        <v>239</v>
      </c>
      <c r="B110" s="8" t="s">
        <v>240</v>
      </c>
      <c r="C110" s="8" t="s">
        <v>216</v>
      </c>
      <c r="D110" s="26" t="s">
        <v>3</v>
      </c>
      <c r="E110" s="26" t="s">
        <v>3</v>
      </c>
      <c r="F110" s="22" t="s">
        <v>5</v>
      </c>
      <c r="G110" s="26" t="s">
        <v>3</v>
      </c>
      <c r="H110" s="23" t="s">
        <v>7</v>
      </c>
      <c r="I110" s="24" t="s">
        <v>9</v>
      </c>
      <c r="J110" s="22" t="s">
        <v>5</v>
      </c>
      <c r="K110" s="26" t="s">
        <v>3</v>
      </c>
      <c r="L110" s="22" t="s">
        <v>5</v>
      </c>
      <c r="M110" s="26" t="s">
        <v>3</v>
      </c>
      <c r="N110" s="26" t="s">
        <v>3</v>
      </c>
      <c r="O110" s="23" t="s">
        <v>7</v>
      </c>
      <c r="P110" s="24" t="s">
        <v>9</v>
      </c>
      <c r="Q110" s="26" t="s">
        <v>3</v>
      </c>
      <c r="R110" s="26" t="s">
        <v>3</v>
      </c>
      <c r="S110" s="26" t="s">
        <v>3</v>
      </c>
      <c r="T110" s="26" t="s">
        <v>3</v>
      </c>
      <c r="U110" s="26" t="s">
        <v>3</v>
      </c>
      <c r="V110" s="23" t="s">
        <v>7</v>
      </c>
      <c r="W110" s="24" t="s">
        <v>9</v>
      </c>
      <c r="X110" s="22" t="s">
        <v>5</v>
      </c>
      <c r="Y110" s="26" t="s">
        <v>3</v>
      </c>
      <c r="Z110" s="26" t="s">
        <v>3</v>
      </c>
      <c r="AA110" s="26" t="s">
        <v>3</v>
      </c>
      <c r="AB110" s="26" t="s">
        <v>3</v>
      </c>
      <c r="AC110" s="23" t="s">
        <v>7</v>
      </c>
      <c r="AD110" s="24" t="s">
        <v>9</v>
      </c>
      <c r="AE110" s="26" t="s">
        <v>3</v>
      </c>
      <c r="AF110" s="26" t="s">
        <v>3</v>
      </c>
      <c r="AG110" s="26" t="s">
        <v>3</v>
      </c>
      <c r="AH110" s="8">
        <f t="shared" si="32"/>
        <v>18</v>
      </c>
      <c r="AI110" s="8">
        <f t="shared" si="33"/>
        <v>4</v>
      </c>
      <c r="AJ110" s="8">
        <f t="shared" si="34"/>
        <v>0</v>
      </c>
      <c r="AK110" s="62">
        <v>0</v>
      </c>
      <c r="AL110" s="33">
        <f t="shared" si="35"/>
        <v>18</v>
      </c>
      <c r="AM110" s="63">
        <f t="shared" si="36"/>
        <v>176</v>
      </c>
      <c r="AN110" s="63">
        <f t="shared" si="37"/>
        <v>4</v>
      </c>
      <c r="AO110" s="63">
        <f t="shared" si="38"/>
        <v>16</v>
      </c>
      <c r="AP110" s="53">
        <f t="shared" si="39"/>
        <v>16</v>
      </c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</row>
    <row r="111" spans="1:55" ht="22" customHeight="1" x14ac:dyDescent="0.35">
      <c r="A111" s="8" t="s">
        <v>241</v>
      </c>
      <c r="B111" s="8" t="s">
        <v>242</v>
      </c>
      <c r="C111" s="8" t="s">
        <v>216</v>
      </c>
      <c r="D111" s="26" t="s">
        <v>3</v>
      </c>
      <c r="E111" s="26" t="s">
        <v>3</v>
      </c>
      <c r="F111" s="26" t="s">
        <v>3</v>
      </c>
      <c r="G111" s="26" t="s">
        <v>3</v>
      </c>
      <c r="H111" s="23" t="s">
        <v>7</v>
      </c>
      <c r="I111" s="24" t="s">
        <v>9</v>
      </c>
      <c r="J111" s="22" t="s">
        <v>5</v>
      </c>
      <c r="K111" s="26" t="s">
        <v>3</v>
      </c>
      <c r="L111" s="26" t="s">
        <v>3</v>
      </c>
      <c r="M111" s="26" t="s">
        <v>3</v>
      </c>
      <c r="N111" s="26" t="s">
        <v>3</v>
      </c>
      <c r="O111" s="23" t="s">
        <v>7</v>
      </c>
      <c r="P111" s="24" t="s">
        <v>9</v>
      </c>
      <c r="Q111" s="26" t="s">
        <v>3</v>
      </c>
      <c r="R111" s="26" t="s">
        <v>3</v>
      </c>
      <c r="S111" s="26" t="s">
        <v>3</v>
      </c>
      <c r="T111" s="26" t="s">
        <v>3</v>
      </c>
      <c r="U111" s="26" t="s">
        <v>3</v>
      </c>
      <c r="V111" s="23" t="s">
        <v>7</v>
      </c>
      <c r="W111" s="24" t="s">
        <v>9</v>
      </c>
      <c r="X111" s="22" t="s">
        <v>5</v>
      </c>
      <c r="Y111" s="26" t="s">
        <v>3</v>
      </c>
      <c r="Z111" s="26" t="s">
        <v>3</v>
      </c>
      <c r="AA111" s="26" t="s">
        <v>3</v>
      </c>
      <c r="AB111" s="26" t="s">
        <v>3</v>
      </c>
      <c r="AC111" s="23" t="s">
        <v>7</v>
      </c>
      <c r="AD111" s="24" t="s">
        <v>9</v>
      </c>
      <c r="AE111" s="26" t="s">
        <v>3</v>
      </c>
      <c r="AF111" s="26" t="s">
        <v>3</v>
      </c>
      <c r="AG111" s="26" t="s">
        <v>3</v>
      </c>
      <c r="AH111" s="8">
        <f t="shared" si="32"/>
        <v>20</v>
      </c>
      <c r="AI111" s="8">
        <f t="shared" si="33"/>
        <v>2</v>
      </c>
      <c r="AJ111" s="8">
        <f t="shared" si="34"/>
        <v>0</v>
      </c>
      <c r="AK111" s="62">
        <v>0</v>
      </c>
      <c r="AL111" s="33">
        <f t="shared" si="35"/>
        <v>20</v>
      </c>
      <c r="AM111" s="63">
        <f t="shared" si="36"/>
        <v>176</v>
      </c>
      <c r="AN111" s="63">
        <f t="shared" si="37"/>
        <v>4</v>
      </c>
      <c r="AO111" s="63">
        <f t="shared" si="38"/>
        <v>16</v>
      </c>
      <c r="AP111" s="53">
        <f t="shared" si="39"/>
        <v>18</v>
      </c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</row>
    <row r="112" spans="1:55" x14ac:dyDescent="0.35"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</row>
    <row r="113" spans="1:55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</row>
    <row r="114" spans="1:55" ht="22" customHeight="1" x14ac:dyDescent="0.35">
      <c r="A114" s="8" t="s">
        <v>244</v>
      </c>
      <c r="B114" s="8" t="s">
        <v>245</v>
      </c>
      <c r="C114" s="8" t="s">
        <v>354</v>
      </c>
      <c r="D114" s="26" t="s">
        <v>3</v>
      </c>
      <c r="E114" s="26" t="s">
        <v>3</v>
      </c>
      <c r="F114" s="26" t="s">
        <v>3</v>
      </c>
      <c r="G114" s="26" t="s">
        <v>3</v>
      </c>
      <c r="H114" s="27" t="s">
        <v>7</v>
      </c>
      <c r="I114" s="28" t="s">
        <v>11</v>
      </c>
      <c r="J114" s="26" t="s">
        <v>3</v>
      </c>
      <c r="K114" s="26" t="s">
        <v>3</v>
      </c>
      <c r="L114" s="26" t="s">
        <v>3</v>
      </c>
      <c r="M114" s="26" t="s">
        <v>3</v>
      </c>
      <c r="N114" s="26" t="s">
        <v>3</v>
      </c>
      <c r="O114" s="27" t="s">
        <v>7</v>
      </c>
      <c r="P114" s="28" t="s">
        <v>11</v>
      </c>
      <c r="Q114" s="26" t="s">
        <v>3</v>
      </c>
      <c r="R114" s="26" t="s">
        <v>3</v>
      </c>
      <c r="S114" s="26" t="s">
        <v>3</v>
      </c>
      <c r="T114" s="26" t="s">
        <v>3</v>
      </c>
      <c r="U114" s="26" t="s">
        <v>3</v>
      </c>
      <c r="V114" s="27" t="s">
        <v>7</v>
      </c>
      <c r="W114" s="28" t="s">
        <v>11</v>
      </c>
      <c r="X114" s="26" t="s">
        <v>3</v>
      </c>
      <c r="Y114" s="26" t="s">
        <v>3</v>
      </c>
      <c r="Z114" s="26" t="s">
        <v>3</v>
      </c>
      <c r="AA114" s="26" t="s">
        <v>3</v>
      </c>
      <c r="AB114" s="26" t="s">
        <v>3</v>
      </c>
      <c r="AC114" s="27" t="s">
        <v>7</v>
      </c>
      <c r="AD114" s="24" t="s">
        <v>9</v>
      </c>
      <c r="AE114" s="22" t="s">
        <v>5</v>
      </c>
      <c r="AF114" s="22" t="s">
        <v>5</v>
      </c>
      <c r="AG114" s="26" t="s">
        <v>3</v>
      </c>
      <c r="AH114" s="8">
        <f>COUNTIF(D114:AG114,"ON")</f>
        <v>20</v>
      </c>
      <c r="AI114" s="8">
        <f>COUNTIF(D114:AG114,"OFF")</f>
        <v>2</v>
      </c>
      <c r="AJ114" s="29">
        <f>COUNTIF(D114:AG114,"OT")</f>
        <v>3</v>
      </c>
      <c r="AK114" s="62">
        <v>4</v>
      </c>
      <c r="AL114" s="33">
        <f>AH114+AJ114+AK114*0.5</f>
        <v>25</v>
      </c>
      <c r="AM114" s="63">
        <f>NETWORKDAYS(DATE(2025,4,1),EOMONTH(DATE(2025,4,1),0))*8</f>
        <v>176</v>
      </c>
      <c r="AN114" s="63">
        <f>MAX(0,COUNTIF(G114,"ON")+COUNTIF(N114,"ON")+COUNTIF(U114,"ON")+COUNTIF(AB114,"ON")-AK114)</f>
        <v>0</v>
      </c>
      <c r="AO114" s="63">
        <f>AN114*$AO$2</f>
        <v>0</v>
      </c>
      <c r="AP114" s="53">
        <f>AL114-AO114/8</f>
        <v>25</v>
      </c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</row>
    <row r="115" spans="1:55" ht="22" customHeight="1" x14ac:dyDescent="0.35">
      <c r="A115" s="8" t="s">
        <v>247</v>
      </c>
      <c r="B115" s="8" t="s">
        <v>248</v>
      </c>
      <c r="C115" s="8" t="s">
        <v>354</v>
      </c>
      <c r="D115" s="26" t="s">
        <v>3</v>
      </c>
      <c r="E115" s="26" t="s">
        <v>3</v>
      </c>
      <c r="F115" s="26" t="s">
        <v>3</v>
      </c>
      <c r="G115" s="26" t="s">
        <v>3</v>
      </c>
      <c r="H115" s="27" t="s">
        <v>7</v>
      </c>
      <c r="I115" s="28" t="s">
        <v>11</v>
      </c>
      <c r="J115" s="26" t="s">
        <v>3</v>
      </c>
      <c r="K115" s="26" t="s">
        <v>3</v>
      </c>
      <c r="L115" s="26" t="s">
        <v>3</v>
      </c>
      <c r="M115" s="26" t="s">
        <v>3</v>
      </c>
      <c r="N115" s="26" t="s">
        <v>3</v>
      </c>
      <c r="O115" s="27" t="s">
        <v>7</v>
      </c>
      <c r="P115" s="28" t="s">
        <v>11</v>
      </c>
      <c r="Q115" s="26" t="s">
        <v>3</v>
      </c>
      <c r="R115" s="26" t="s">
        <v>3</v>
      </c>
      <c r="S115" s="22" t="s">
        <v>5</v>
      </c>
      <c r="T115" s="22" t="s">
        <v>5</v>
      </c>
      <c r="U115" s="22" t="s">
        <v>5</v>
      </c>
      <c r="V115" s="23" t="s">
        <v>7</v>
      </c>
      <c r="W115" s="24" t="s">
        <v>9</v>
      </c>
      <c r="X115" s="22" t="s">
        <v>5</v>
      </c>
      <c r="Y115" s="22" t="s">
        <v>5</v>
      </c>
      <c r="Z115" s="22" t="s">
        <v>5</v>
      </c>
      <c r="AA115" s="22" t="s">
        <v>5</v>
      </c>
      <c r="AB115" s="22" t="s">
        <v>5</v>
      </c>
      <c r="AC115" s="23" t="s">
        <v>7</v>
      </c>
      <c r="AD115" s="24" t="s">
        <v>9</v>
      </c>
      <c r="AE115" s="22" t="s">
        <v>5</v>
      </c>
      <c r="AF115" s="22" t="s">
        <v>5</v>
      </c>
      <c r="AG115" s="22" t="s">
        <v>5</v>
      </c>
      <c r="AH115" s="8">
        <f>COUNTIF(D115:AG115,"ON")</f>
        <v>11</v>
      </c>
      <c r="AI115" s="25">
        <f>COUNTIF(D115:AG115,"OFF")</f>
        <v>11</v>
      </c>
      <c r="AJ115" s="29">
        <f>COUNTIF(D115:AG115,"OT")</f>
        <v>2</v>
      </c>
      <c r="AK115" s="62">
        <v>2</v>
      </c>
      <c r="AL115" s="33">
        <f>AH115+AJ115+AK115*0.5</f>
        <v>14</v>
      </c>
      <c r="AM115" s="63">
        <f>NETWORKDAYS(DATE(2025,4,1),EOMONTH(DATE(2025,4,1),0))*8</f>
        <v>176</v>
      </c>
      <c r="AN115" s="63">
        <f>MAX(0,COUNTIF(G115,"ON")+COUNTIF(N115,"ON")+COUNTIF(U115,"ON")+COUNTIF(AB115,"ON")-AK115)</f>
        <v>0</v>
      </c>
      <c r="AO115" s="63">
        <f>AN115*$AO$2</f>
        <v>0</v>
      </c>
      <c r="AP115" s="53">
        <f>AL115-AO115/8</f>
        <v>14</v>
      </c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</row>
    <row r="116" spans="1:55" ht="22" customHeight="1" x14ac:dyDescent="0.35">
      <c r="A116" s="8" t="s">
        <v>249</v>
      </c>
      <c r="B116" s="8" t="s">
        <v>250</v>
      </c>
      <c r="C116" s="8" t="s">
        <v>354</v>
      </c>
      <c r="D116" s="22" t="s">
        <v>5</v>
      </c>
      <c r="E116" s="22" t="s">
        <v>5</v>
      </c>
      <c r="F116" s="22" t="s">
        <v>5</v>
      </c>
      <c r="G116" s="22" t="s">
        <v>5</v>
      </c>
      <c r="H116" s="23" t="s">
        <v>7</v>
      </c>
      <c r="I116" s="24" t="s">
        <v>9</v>
      </c>
      <c r="J116" s="22" t="s">
        <v>5</v>
      </c>
      <c r="K116" s="22" t="s">
        <v>5</v>
      </c>
      <c r="L116" s="22" t="s">
        <v>5</v>
      </c>
      <c r="M116" s="22" t="s">
        <v>5</v>
      </c>
      <c r="N116" s="22" t="s">
        <v>5</v>
      </c>
      <c r="O116" s="23" t="s">
        <v>7</v>
      </c>
      <c r="P116" s="24" t="s">
        <v>9</v>
      </c>
      <c r="Q116" s="22" t="s">
        <v>5</v>
      </c>
      <c r="R116" s="26" t="s">
        <v>3</v>
      </c>
      <c r="S116" s="26" t="s">
        <v>3</v>
      </c>
      <c r="T116" s="26" t="s">
        <v>3</v>
      </c>
      <c r="U116" s="26" t="s">
        <v>3</v>
      </c>
      <c r="V116" s="27" t="s">
        <v>7</v>
      </c>
      <c r="W116" s="28" t="s">
        <v>11</v>
      </c>
      <c r="X116" s="26" t="s">
        <v>3</v>
      </c>
      <c r="Y116" s="26" t="s">
        <v>3</v>
      </c>
      <c r="Z116" s="26" t="s">
        <v>3</v>
      </c>
      <c r="AA116" s="26" t="s">
        <v>3</v>
      </c>
      <c r="AB116" s="26" t="s">
        <v>3</v>
      </c>
      <c r="AC116" s="27" t="s">
        <v>7</v>
      </c>
      <c r="AD116" s="24" t="s">
        <v>9</v>
      </c>
      <c r="AE116" s="22" t="s">
        <v>5</v>
      </c>
      <c r="AF116" s="22" t="s">
        <v>5</v>
      </c>
      <c r="AG116" s="22" t="s">
        <v>5</v>
      </c>
      <c r="AH116" s="8">
        <f>COUNTIF(D116:AG116,"ON")</f>
        <v>9</v>
      </c>
      <c r="AI116" s="25">
        <f>COUNTIF(D116:AG116,"OFF")</f>
        <v>13</v>
      </c>
      <c r="AJ116" s="29">
        <f>COUNTIF(D116:AG116,"OT")</f>
        <v>1</v>
      </c>
      <c r="AK116" s="62">
        <v>2</v>
      </c>
      <c r="AL116" s="33">
        <f>AH116+AJ116+AK116*0.5</f>
        <v>11</v>
      </c>
      <c r="AM116" s="63">
        <f>NETWORKDAYS(DATE(2025,4,1),EOMONTH(DATE(2025,4,1),0))*8</f>
        <v>176</v>
      </c>
      <c r="AN116" s="63">
        <f>MAX(0,COUNTIF(G116,"ON")+COUNTIF(N116,"ON")+COUNTIF(U116,"ON")+COUNTIF(AB116,"ON")-AK116)</f>
        <v>0</v>
      </c>
      <c r="AO116" s="63">
        <f>AN116*$AO$2</f>
        <v>0</v>
      </c>
      <c r="AP116" s="53">
        <f>AL116-AO116/8</f>
        <v>11</v>
      </c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</row>
    <row r="117" spans="1:55" x14ac:dyDescent="0.35"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</row>
    <row r="118" spans="1:55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</row>
    <row r="119" spans="1:55" ht="22" customHeight="1" x14ac:dyDescent="0.35">
      <c r="A119" s="8" t="s">
        <v>252</v>
      </c>
      <c r="B119" s="8" t="s">
        <v>253</v>
      </c>
      <c r="C119" s="8" t="s">
        <v>254</v>
      </c>
      <c r="D119" s="22" t="s">
        <v>5</v>
      </c>
      <c r="E119" s="22" t="s">
        <v>5</v>
      </c>
      <c r="F119" s="22" t="s">
        <v>5</v>
      </c>
      <c r="G119" s="22" t="s">
        <v>5</v>
      </c>
      <c r="H119" s="23" t="s">
        <v>7</v>
      </c>
      <c r="I119" s="24" t="s">
        <v>9</v>
      </c>
      <c r="J119" s="22" t="s">
        <v>5</v>
      </c>
      <c r="K119" s="22" t="s">
        <v>5</v>
      </c>
      <c r="L119" s="22" t="s">
        <v>5</v>
      </c>
      <c r="M119" s="22" t="s">
        <v>5</v>
      </c>
      <c r="N119" s="22" t="s">
        <v>5</v>
      </c>
      <c r="O119" s="23" t="s">
        <v>7</v>
      </c>
      <c r="P119" s="24" t="s">
        <v>9</v>
      </c>
      <c r="Q119" s="22" t="s">
        <v>5</v>
      </c>
      <c r="R119" s="22" t="s">
        <v>5</v>
      </c>
      <c r="S119" s="22" t="s">
        <v>5</v>
      </c>
      <c r="T119" s="22" t="s">
        <v>5</v>
      </c>
      <c r="U119" s="22" t="s">
        <v>5</v>
      </c>
      <c r="V119" s="23" t="s">
        <v>7</v>
      </c>
      <c r="W119" s="24" t="s">
        <v>9</v>
      </c>
      <c r="X119" s="22" t="s">
        <v>5</v>
      </c>
      <c r="Y119" s="22" t="s">
        <v>5</v>
      </c>
      <c r="Z119" s="22" t="s">
        <v>5</v>
      </c>
      <c r="AA119" s="22" t="s">
        <v>5</v>
      </c>
      <c r="AB119" s="22" t="s">
        <v>5</v>
      </c>
      <c r="AC119" s="23" t="s">
        <v>7</v>
      </c>
      <c r="AD119" s="24" t="s">
        <v>9</v>
      </c>
      <c r="AE119" s="22" t="s">
        <v>5</v>
      </c>
      <c r="AF119" s="22" t="s">
        <v>5</v>
      </c>
      <c r="AG119" s="22" t="s">
        <v>5</v>
      </c>
      <c r="AH119" s="8">
        <f t="shared" ref="AH119:AH129" si="40">COUNTIF(D119:AG119,"ON")</f>
        <v>0</v>
      </c>
      <c r="AI119" s="25">
        <f t="shared" ref="AI119:AI129" si="41">COUNTIF(D119:AG119,"OFF")</f>
        <v>22</v>
      </c>
      <c r="AJ119" s="8">
        <f t="shared" ref="AJ119:AJ129" si="42">COUNTIF(D119:AG119,"OT")</f>
        <v>0</v>
      </c>
      <c r="AK119" s="62">
        <v>0</v>
      </c>
      <c r="AL119" s="33">
        <f t="shared" ref="AL119:AL129" si="43">AH119+AJ119+AK119*0.5</f>
        <v>0</v>
      </c>
      <c r="AM119" s="63">
        <f t="shared" ref="AM119:AM129" si="44">NETWORKDAYS(DATE(2025,4,1),EOMONTH(DATE(2025,4,1),0))*8</f>
        <v>176</v>
      </c>
      <c r="AN119" s="63">
        <f t="shared" ref="AN119:AN129" si="45">MAX(0,COUNTIF(G119,"ON")+COUNTIF(N119,"ON")+COUNTIF(U119,"ON")+COUNTIF(AB119,"ON")-AK119)</f>
        <v>0</v>
      </c>
      <c r="AO119" s="63">
        <f t="shared" ref="AO119:AO129" si="46">AN119*$AO$2</f>
        <v>0</v>
      </c>
      <c r="AP119" s="53">
        <f t="shared" ref="AP119:AP129" si="47">AL119-AO119/8</f>
        <v>0</v>
      </c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</row>
    <row r="120" spans="1:55" ht="22" customHeight="1" x14ac:dyDescent="0.35">
      <c r="A120" s="8" t="s">
        <v>255</v>
      </c>
      <c r="B120" s="8" t="s">
        <v>256</v>
      </c>
      <c r="C120" s="8" t="s">
        <v>254</v>
      </c>
      <c r="D120" s="22" t="s">
        <v>5</v>
      </c>
      <c r="E120" s="22" t="s">
        <v>5</v>
      </c>
      <c r="F120" s="22" t="s">
        <v>5</v>
      </c>
      <c r="G120" s="22" t="s">
        <v>5</v>
      </c>
      <c r="H120" s="23" t="s">
        <v>7</v>
      </c>
      <c r="I120" s="24" t="s">
        <v>9</v>
      </c>
      <c r="J120" s="22" t="s">
        <v>5</v>
      </c>
      <c r="K120" s="22" t="s">
        <v>5</v>
      </c>
      <c r="L120" s="22" t="s">
        <v>5</v>
      </c>
      <c r="M120" s="22" t="s">
        <v>5</v>
      </c>
      <c r="N120" s="22" t="s">
        <v>5</v>
      </c>
      <c r="O120" s="23" t="s">
        <v>7</v>
      </c>
      <c r="P120" s="24" t="s">
        <v>9</v>
      </c>
      <c r="Q120" s="22" t="s">
        <v>5</v>
      </c>
      <c r="R120" s="22" t="s">
        <v>5</v>
      </c>
      <c r="S120" s="22" t="s">
        <v>5</v>
      </c>
      <c r="T120" s="22" t="s">
        <v>5</v>
      </c>
      <c r="U120" s="22" t="s">
        <v>5</v>
      </c>
      <c r="V120" s="23" t="s">
        <v>7</v>
      </c>
      <c r="W120" s="24" t="s">
        <v>9</v>
      </c>
      <c r="X120" s="22" t="s">
        <v>5</v>
      </c>
      <c r="Y120" s="22" t="s">
        <v>5</v>
      </c>
      <c r="Z120" s="22" t="s">
        <v>5</v>
      </c>
      <c r="AA120" s="22" t="s">
        <v>5</v>
      </c>
      <c r="AB120" s="22" t="s">
        <v>5</v>
      </c>
      <c r="AC120" s="23" t="s">
        <v>7</v>
      </c>
      <c r="AD120" s="24" t="s">
        <v>9</v>
      </c>
      <c r="AE120" s="22" t="s">
        <v>5</v>
      </c>
      <c r="AF120" s="22" t="s">
        <v>5</v>
      </c>
      <c r="AG120" s="22" t="s">
        <v>5</v>
      </c>
      <c r="AH120" s="8">
        <f t="shared" si="40"/>
        <v>0</v>
      </c>
      <c r="AI120" s="25">
        <f t="shared" si="41"/>
        <v>22</v>
      </c>
      <c r="AJ120" s="8">
        <f t="shared" si="42"/>
        <v>0</v>
      </c>
      <c r="AK120" s="62">
        <v>0</v>
      </c>
      <c r="AL120" s="33">
        <f t="shared" si="43"/>
        <v>0</v>
      </c>
      <c r="AM120" s="63">
        <f t="shared" si="44"/>
        <v>176</v>
      </c>
      <c r="AN120" s="63">
        <f t="shared" si="45"/>
        <v>0</v>
      </c>
      <c r="AO120" s="63">
        <f t="shared" si="46"/>
        <v>0</v>
      </c>
      <c r="AP120" s="53">
        <f t="shared" si="47"/>
        <v>0</v>
      </c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</row>
    <row r="121" spans="1:55" ht="22" customHeight="1" x14ac:dyDescent="0.35">
      <c r="A121" s="8" t="s">
        <v>257</v>
      </c>
      <c r="B121" s="8" t="s">
        <v>258</v>
      </c>
      <c r="C121" s="8" t="s">
        <v>254</v>
      </c>
      <c r="D121" s="22" t="s">
        <v>5</v>
      </c>
      <c r="E121" s="22" t="s">
        <v>5</v>
      </c>
      <c r="F121" s="22" t="s">
        <v>5</v>
      </c>
      <c r="G121" s="22" t="s">
        <v>5</v>
      </c>
      <c r="H121" s="23" t="s">
        <v>7</v>
      </c>
      <c r="I121" s="24" t="s">
        <v>9</v>
      </c>
      <c r="J121" s="22" t="s">
        <v>5</v>
      </c>
      <c r="K121" s="22" t="s">
        <v>5</v>
      </c>
      <c r="L121" s="22" t="s">
        <v>5</v>
      </c>
      <c r="M121" s="22" t="s">
        <v>5</v>
      </c>
      <c r="N121" s="22" t="s">
        <v>5</v>
      </c>
      <c r="O121" s="23" t="s">
        <v>7</v>
      </c>
      <c r="P121" s="24" t="s">
        <v>9</v>
      </c>
      <c r="Q121" s="22" t="s">
        <v>5</v>
      </c>
      <c r="R121" s="22" t="s">
        <v>5</v>
      </c>
      <c r="S121" s="22" t="s">
        <v>5</v>
      </c>
      <c r="T121" s="22" t="s">
        <v>5</v>
      </c>
      <c r="U121" s="22" t="s">
        <v>5</v>
      </c>
      <c r="V121" s="23" t="s">
        <v>7</v>
      </c>
      <c r="W121" s="24" t="s">
        <v>9</v>
      </c>
      <c r="X121" s="22" t="s">
        <v>5</v>
      </c>
      <c r="Y121" s="22" t="s">
        <v>5</v>
      </c>
      <c r="Z121" s="22" t="s">
        <v>5</v>
      </c>
      <c r="AA121" s="22" t="s">
        <v>5</v>
      </c>
      <c r="AB121" s="22" t="s">
        <v>5</v>
      </c>
      <c r="AC121" s="23" t="s">
        <v>7</v>
      </c>
      <c r="AD121" s="24" t="s">
        <v>9</v>
      </c>
      <c r="AE121" s="22" t="s">
        <v>5</v>
      </c>
      <c r="AF121" s="22" t="s">
        <v>5</v>
      </c>
      <c r="AG121" s="22" t="s">
        <v>5</v>
      </c>
      <c r="AH121" s="8">
        <f t="shared" si="40"/>
        <v>0</v>
      </c>
      <c r="AI121" s="25">
        <f t="shared" si="41"/>
        <v>22</v>
      </c>
      <c r="AJ121" s="8">
        <f t="shared" si="42"/>
        <v>0</v>
      </c>
      <c r="AK121" s="62">
        <v>0</v>
      </c>
      <c r="AL121" s="33">
        <f t="shared" si="43"/>
        <v>0</v>
      </c>
      <c r="AM121" s="63">
        <f t="shared" si="44"/>
        <v>176</v>
      </c>
      <c r="AN121" s="63">
        <f t="shared" si="45"/>
        <v>0</v>
      </c>
      <c r="AO121" s="63">
        <f t="shared" si="46"/>
        <v>0</v>
      </c>
      <c r="AP121" s="53">
        <f t="shared" si="47"/>
        <v>0</v>
      </c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</row>
    <row r="122" spans="1:55" ht="22" customHeight="1" x14ac:dyDescent="0.35">
      <c r="A122" s="8" t="s">
        <v>259</v>
      </c>
      <c r="B122" s="8" t="s">
        <v>260</v>
      </c>
      <c r="C122" s="8" t="s">
        <v>254</v>
      </c>
      <c r="D122" s="22" t="s">
        <v>5</v>
      </c>
      <c r="E122" s="22" t="s">
        <v>5</v>
      </c>
      <c r="F122" s="22" t="s">
        <v>5</v>
      </c>
      <c r="G122" s="22" t="s">
        <v>5</v>
      </c>
      <c r="H122" s="23" t="s">
        <v>7</v>
      </c>
      <c r="I122" s="24" t="s">
        <v>9</v>
      </c>
      <c r="J122" s="22" t="s">
        <v>5</v>
      </c>
      <c r="K122" s="22" t="s">
        <v>5</v>
      </c>
      <c r="L122" s="22" t="s">
        <v>5</v>
      </c>
      <c r="M122" s="22" t="s">
        <v>5</v>
      </c>
      <c r="N122" s="22" t="s">
        <v>5</v>
      </c>
      <c r="O122" s="23" t="s">
        <v>7</v>
      </c>
      <c r="P122" s="24" t="s">
        <v>9</v>
      </c>
      <c r="Q122" s="22" t="s">
        <v>5</v>
      </c>
      <c r="R122" s="22" t="s">
        <v>5</v>
      </c>
      <c r="S122" s="22" t="s">
        <v>5</v>
      </c>
      <c r="T122" s="22" t="s">
        <v>5</v>
      </c>
      <c r="U122" s="22" t="s">
        <v>5</v>
      </c>
      <c r="V122" s="23" t="s">
        <v>7</v>
      </c>
      <c r="W122" s="24" t="s">
        <v>9</v>
      </c>
      <c r="X122" s="22" t="s">
        <v>5</v>
      </c>
      <c r="Y122" s="22" t="s">
        <v>5</v>
      </c>
      <c r="Z122" s="22" t="s">
        <v>5</v>
      </c>
      <c r="AA122" s="22" t="s">
        <v>5</v>
      </c>
      <c r="AB122" s="22" t="s">
        <v>5</v>
      </c>
      <c r="AC122" s="23" t="s">
        <v>7</v>
      </c>
      <c r="AD122" s="24" t="s">
        <v>9</v>
      </c>
      <c r="AE122" s="22" t="s">
        <v>5</v>
      </c>
      <c r="AF122" s="22" t="s">
        <v>5</v>
      </c>
      <c r="AG122" s="22" t="s">
        <v>5</v>
      </c>
      <c r="AH122" s="8">
        <f t="shared" si="40"/>
        <v>0</v>
      </c>
      <c r="AI122" s="25">
        <f t="shared" si="41"/>
        <v>22</v>
      </c>
      <c r="AJ122" s="8">
        <f t="shared" si="42"/>
        <v>0</v>
      </c>
      <c r="AK122" s="62">
        <v>0</v>
      </c>
      <c r="AL122" s="33">
        <f t="shared" si="43"/>
        <v>0</v>
      </c>
      <c r="AM122" s="63">
        <f t="shared" si="44"/>
        <v>176</v>
      </c>
      <c r="AN122" s="63">
        <f t="shared" si="45"/>
        <v>0</v>
      </c>
      <c r="AO122" s="63">
        <f t="shared" si="46"/>
        <v>0</v>
      </c>
      <c r="AP122" s="53">
        <f t="shared" si="47"/>
        <v>0</v>
      </c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</row>
    <row r="123" spans="1:55" ht="22" customHeight="1" x14ac:dyDescent="0.35">
      <c r="A123" s="8" t="s">
        <v>261</v>
      </c>
      <c r="B123" s="8" t="s">
        <v>262</v>
      </c>
      <c r="C123" s="8" t="s">
        <v>254</v>
      </c>
      <c r="D123" s="22" t="s">
        <v>5</v>
      </c>
      <c r="E123" s="22" t="s">
        <v>5</v>
      </c>
      <c r="F123" s="22" t="s">
        <v>5</v>
      </c>
      <c r="G123" s="22" t="s">
        <v>5</v>
      </c>
      <c r="H123" s="23" t="s">
        <v>7</v>
      </c>
      <c r="I123" s="24" t="s">
        <v>9</v>
      </c>
      <c r="J123" s="22" t="s">
        <v>5</v>
      </c>
      <c r="K123" s="22" t="s">
        <v>5</v>
      </c>
      <c r="L123" s="22" t="s">
        <v>5</v>
      </c>
      <c r="M123" s="22" t="s">
        <v>5</v>
      </c>
      <c r="N123" s="22" t="s">
        <v>5</v>
      </c>
      <c r="O123" s="23" t="s">
        <v>7</v>
      </c>
      <c r="P123" s="24" t="s">
        <v>9</v>
      </c>
      <c r="Q123" s="22" t="s">
        <v>5</v>
      </c>
      <c r="R123" s="22" t="s">
        <v>5</v>
      </c>
      <c r="S123" s="22" t="s">
        <v>5</v>
      </c>
      <c r="T123" s="22" t="s">
        <v>5</v>
      </c>
      <c r="U123" s="22" t="s">
        <v>5</v>
      </c>
      <c r="V123" s="23" t="s">
        <v>7</v>
      </c>
      <c r="W123" s="24" t="s">
        <v>9</v>
      </c>
      <c r="X123" s="22" t="s">
        <v>5</v>
      </c>
      <c r="Y123" s="22" t="s">
        <v>5</v>
      </c>
      <c r="Z123" s="22" t="s">
        <v>5</v>
      </c>
      <c r="AA123" s="22" t="s">
        <v>5</v>
      </c>
      <c r="AB123" s="22" t="s">
        <v>5</v>
      </c>
      <c r="AC123" s="23" t="s">
        <v>7</v>
      </c>
      <c r="AD123" s="24" t="s">
        <v>9</v>
      </c>
      <c r="AE123" s="22" t="s">
        <v>5</v>
      </c>
      <c r="AF123" s="22" t="s">
        <v>5</v>
      </c>
      <c r="AG123" s="22" t="s">
        <v>5</v>
      </c>
      <c r="AH123" s="8">
        <f t="shared" si="40"/>
        <v>0</v>
      </c>
      <c r="AI123" s="25">
        <f t="shared" si="41"/>
        <v>22</v>
      </c>
      <c r="AJ123" s="8">
        <f t="shared" si="42"/>
        <v>0</v>
      </c>
      <c r="AK123" s="62">
        <v>0</v>
      </c>
      <c r="AL123" s="33">
        <f t="shared" si="43"/>
        <v>0</v>
      </c>
      <c r="AM123" s="63">
        <f t="shared" si="44"/>
        <v>176</v>
      </c>
      <c r="AN123" s="63">
        <f t="shared" si="45"/>
        <v>0</v>
      </c>
      <c r="AO123" s="63">
        <f t="shared" si="46"/>
        <v>0</v>
      </c>
      <c r="AP123" s="53">
        <f t="shared" si="47"/>
        <v>0</v>
      </c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</row>
    <row r="124" spans="1:55" ht="22" customHeight="1" x14ac:dyDescent="0.35">
      <c r="A124" s="8" t="s">
        <v>263</v>
      </c>
      <c r="B124" s="8" t="s">
        <v>264</v>
      </c>
      <c r="C124" s="8" t="s">
        <v>254</v>
      </c>
      <c r="D124" s="22" t="s">
        <v>5</v>
      </c>
      <c r="E124" s="22" t="s">
        <v>5</v>
      </c>
      <c r="F124" s="22" t="s">
        <v>5</v>
      </c>
      <c r="G124" s="22" t="s">
        <v>5</v>
      </c>
      <c r="H124" s="23" t="s">
        <v>7</v>
      </c>
      <c r="I124" s="24" t="s">
        <v>9</v>
      </c>
      <c r="J124" s="22" t="s">
        <v>5</v>
      </c>
      <c r="K124" s="22" t="s">
        <v>5</v>
      </c>
      <c r="L124" s="22" t="s">
        <v>5</v>
      </c>
      <c r="M124" s="22" t="s">
        <v>5</v>
      </c>
      <c r="N124" s="22" t="s">
        <v>5</v>
      </c>
      <c r="O124" s="23" t="s">
        <v>7</v>
      </c>
      <c r="P124" s="24" t="s">
        <v>9</v>
      </c>
      <c r="Q124" s="22" t="s">
        <v>5</v>
      </c>
      <c r="R124" s="22" t="s">
        <v>5</v>
      </c>
      <c r="S124" s="22" t="s">
        <v>5</v>
      </c>
      <c r="T124" s="22" t="s">
        <v>5</v>
      </c>
      <c r="U124" s="22" t="s">
        <v>5</v>
      </c>
      <c r="V124" s="23" t="s">
        <v>7</v>
      </c>
      <c r="W124" s="24" t="s">
        <v>9</v>
      </c>
      <c r="X124" s="22" t="s">
        <v>5</v>
      </c>
      <c r="Y124" s="22" t="s">
        <v>5</v>
      </c>
      <c r="Z124" s="22" t="s">
        <v>5</v>
      </c>
      <c r="AA124" s="22" t="s">
        <v>5</v>
      </c>
      <c r="AB124" s="22" t="s">
        <v>5</v>
      </c>
      <c r="AC124" s="23" t="s">
        <v>7</v>
      </c>
      <c r="AD124" s="24" t="s">
        <v>9</v>
      </c>
      <c r="AE124" s="22" t="s">
        <v>5</v>
      </c>
      <c r="AF124" s="22" t="s">
        <v>5</v>
      </c>
      <c r="AG124" s="22" t="s">
        <v>5</v>
      </c>
      <c r="AH124" s="8">
        <f t="shared" si="40"/>
        <v>0</v>
      </c>
      <c r="AI124" s="25">
        <f t="shared" si="41"/>
        <v>22</v>
      </c>
      <c r="AJ124" s="8">
        <f t="shared" si="42"/>
        <v>0</v>
      </c>
      <c r="AK124" s="62">
        <v>0</v>
      </c>
      <c r="AL124" s="33">
        <f t="shared" si="43"/>
        <v>0</v>
      </c>
      <c r="AM124" s="63">
        <f t="shared" si="44"/>
        <v>176</v>
      </c>
      <c r="AN124" s="63">
        <f t="shared" si="45"/>
        <v>0</v>
      </c>
      <c r="AO124" s="63">
        <f t="shared" si="46"/>
        <v>0</v>
      </c>
      <c r="AP124" s="53">
        <f t="shared" si="47"/>
        <v>0</v>
      </c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</row>
    <row r="125" spans="1:55" ht="22" customHeight="1" x14ac:dyDescent="0.35">
      <c r="A125" s="8" t="s">
        <v>265</v>
      </c>
      <c r="B125" s="8" t="s">
        <v>266</v>
      </c>
      <c r="C125" s="8" t="s">
        <v>254</v>
      </c>
      <c r="D125" s="22" t="s">
        <v>5</v>
      </c>
      <c r="E125" s="22" t="s">
        <v>5</v>
      </c>
      <c r="F125" s="22" t="s">
        <v>5</v>
      </c>
      <c r="G125" s="22" t="s">
        <v>5</v>
      </c>
      <c r="H125" s="23" t="s">
        <v>7</v>
      </c>
      <c r="I125" s="24" t="s">
        <v>9</v>
      </c>
      <c r="J125" s="22" t="s">
        <v>5</v>
      </c>
      <c r="K125" s="22" t="s">
        <v>5</v>
      </c>
      <c r="L125" s="22" t="s">
        <v>5</v>
      </c>
      <c r="M125" s="22" t="s">
        <v>5</v>
      </c>
      <c r="N125" s="22" t="s">
        <v>5</v>
      </c>
      <c r="O125" s="23" t="s">
        <v>7</v>
      </c>
      <c r="P125" s="24" t="s">
        <v>9</v>
      </c>
      <c r="Q125" s="22" t="s">
        <v>5</v>
      </c>
      <c r="R125" s="22" t="s">
        <v>5</v>
      </c>
      <c r="S125" s="22" t="s">
        <v>5</v>
      </c>
      <c r="T125" s="22" t="s">
        <v>5</v>
      </c>
      <c r="U125" s="22" t="s">
        <v>5</v>
      </c>
      <c r="V125" s="23" t="s">
        <v>7</v>
      </c>
      <c r="W125" s="24" t="s">
        <v>9</v>
      </c>
      <c r="X125" s="22" t="s">
        <v>5</v>
      </c>
      <c r="Y125" s="22" t="s">
        <v>5</v>
      </c>
      <c r="Z125" s="22" t="s">
        <v>5</v>
      </c>
      <c r="AA125" s="22" t="s">
        <v>5</v>
      </c>
      <c r="AB125" s="22" t="s">
        <v>5</v>
      </c>
      <c r="AC125" s="23" t="s">
        <v>7</v>
      </c>
      <c r="AD125" s="24" t="s">
        <v>9</v>
      </c>
      <c r="AE125" s="22" t="s">
        <v>5</v>
      </c>
      <c r="AF125" s="22" t="s">
        <v>5</v>
      </c>
      <c r="AG125" s="22" t="s">
        <v>5</v>
      </c>
      <c r="AH125" s="8">
        <f t="shared" si="40"/>
        <v>0</v>
      </c>
      <c r="AI125" s="25">
        <f t="shared" si="41"/>
        <v>22</v>
      </c>
      <c r="AJ125" s="8">
        <f t="shared" si="42"/>
        <v>0</v>
      </c>
      <c r="AK125" s="62">
        <v>0</v>
      </c>
      <c r="AL125" s="33">
        <f t="shared" si="43"/>
        <v>0</v>
      </c>
      <c r="AM125" s="63">
        <f t="shared" si="44"/>
        <v>176</v>
      </c>
      <c r="AN125" s="63">
        <f t="shared" si="45"/>
        <v>0</v>
      </c>
      <c r="AO125" s="63">
        <f t="shared" si="46"/>
        <v>0</v>
      </c>
      <c r="AP125" s="53">
        <f t="shared" si="47"/>
        <v>0</v>
      </c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</row>
    <row r="126" spans="1:55" ht="22" customHeight="1" x14ac:dyDescent="0.35">
      <c r="A126" s="8" t="s">
        <v>267</v>
      </c>
      <c r="B126" s="8" t="s">
        <v>268</v>
      </c>
      <c r="C126" s="8" t="s">
        <v>254</v>
      </c>
      <c r="D126" s="22" t="s">
        <v>5</v>
      </c>
      <c r="E126" s="22" t="s">
        <v>5</v>
      </c>
      <c r="F126" s="22" t="s">
        <v>5</v>
      </c>
      <c r="G126" s="22" t="s">
        <v>5</v>
      </c>
      <c r="H126" s="23" t="s">
        <v>7</v>
      </c>
      <c r="I126" s="24" t="s">
        <v>9</v>
      </c>
      <c r="J126" s="22" t="s">
        <v>5</v>
      </c>
      <c r="K126" s="22" t="s">
        <v>5</v>
      </c>
      <c r="L126" s="22" t="s">
        <v>5</v>
      </c>
      <c r="M126" s="22" t="s">
        <v>5</v>
      </c>
      <c r="N126" s="22" t="s">
        <v>5</v>
      </c>
      <c r="O126" s="23" t="s">
        <v>7</v>
      </c>
      <c r="P126" s="24" t="s">
        <v>9</v>
      </c>
      <c r="Q126" s="22" t="s">
        <v>5</v>
      </c>
      <c r="R126" s="22" t="s">
        <v>5</v>
      </c>
      <c r="S126" s="22" t="s">
        <v>5</v>
      </c>
      <c r="T126" s="22" t="s">
        <v>5</v>
      </c>
      <c r="U126" s="22" t="s">
        <v>5</v>
      </c>
      <c r="V126" s="23" t="s">
        <v>7</v>
      </c>
      <c r="W126" s="24" t="s">
        <v>9</v>
      </c>
      <c r="X126" s="22" t="s">
        <v>5</v>
      </c>
      <c r="Y126" s="22" t="s">
        <v>5</v>
      </c>
      <c r="Z126" s="22" t="s">
        <v>5</v>
      </c>
      <c r="AA126" s="22" t="s">
        <v>5</v>
      </c>
      <c r="AB126" s="22" t="s">
        <v>5</v>
      </c>
      <c r="AC126" s="23" t="s">
        <v>7</v>
      </c>
      <c r="AD126" s="24" t="s">
        <v>9</v>
      </c>
      <c r="AE126" s="22" t="s">
        <v>5</v>
      </c>
      <c r="AF126" s="22" t="s">
        <v>5</v>
      </c>
      <c r="AG126" s="22" t="s">
        <v>5</v>
      </c>
      <c r="AH126" s="8">
        <f t="shared" si="40"/>
        <v>0</v>
      </c>
      <c r="AI126" s="25">
        <f t="shared" si="41"/>
        <v>22</v>
      </c>
      <c r="AJ126" s="8">
        <f t="shared" si="42"/>
        <v>0</v>
      </c>
      <c r="AK126" s="62">
        <v>0</v>
      </c>
      <c r="AL126" s="33">
        <f t="shared" si="43"/>
        <v>0</v>
      </c>
      <c r="AM126" s="63">
        <f t="shared" si="44"/>
        <v>176</v>
      </c>
      <c r="AN126" s="63">
        <f t="shared" si="45"/>
        <v>0</v>
      </c>
      <c r="AO126" s="63">
        <f t="shared" si="46"/>
        <v>0</v>
      </c>
      <c r="AP126" s="53">
        <f t="shared" si="47"/>
        <v>0</v>
      </c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</row>
    <row r="127" spans="1:55" ht="22" customHeight="1" x14ac:dyDescent="0.35">
      <c r="A127" s="8" t="s">
        <v>269</v>
      </c>
      <c r="B127" s="8" t="s">
        <v>270</v>
      </c>
      <c r="C127" s="8" t="s">
        <v>254</v>
      </c>
      <c r="D127" s="22" t="s">
        <v>5</v>
      </c>
      <c r="E127" s="22" t="s">
        <v>5</v>
      </c>
      <c r="F127" s="22" t="s">
        <v>5</v>
      </c>
      <c r="G127" s="22" t="s">
        <v>5</v>
      </c>
      <c r="H127" s="23" t="s">
        <v>7</v>
      </c>
      <c r="I127" s="24" t="s">
        <v>9</v>
      </c>
      <c r="J127" s="22" t="s">
        <v>5</v>
      </c>
      <c r="K127" s="22" t="s">
        <v>5</v>
      </c>
      <c r="L127" s="22" t="s">
        <v>5</v>
      </c>
      <c r="M127" s="22" t="s">
        <v>5</v>
      </c>
      <c r="N127" s="22" t="s">
        <v>5</v>
      </c>
      <c r="O127" s="23" t="s">
        <v>7</v>
      </c>
      <c r="P127" s="24" t="s">
        <v>9</v>
      </c>
      <c r="Q127" s="22" t="s">
        <v>5</v>
      </c>
      <c r="R127" s="22" t="s">
        <v>5</v>
      </c>
      <c r="S127" s="22" t="s">
        <v>5</v>
      </c>
      <c r="T127" s="22" t="s">
        <v>5</v>
      </c>
      <c r="U127" s="22" t="s">
        <v>5</v>
      </c>
      <c r="V127" s="23" t="s">
        <v>7</v>
      </c>
      <c r="W127" s="24" t="s">
        <v>9</v>
      </c>
      <c r="X127" s="22" t="s">
        <v>5</v>
      </c>
      <c r="Y127" s="22" t="s">
        <v>5</v>
      </c>
      <c r="Z127" s="22" t="s">
        <v>5</v>
      </c>
      <c r="AA127" s="22" t="s">
        <v>5</v>
      </c>
      <c r="AB127" s="22" t="s">
        <v>5</v>
      </c>
      <c r="AC127" s="23" t="s">
        <v>7</v>
      </c>
      <c r="AD127" s="24" t="s">
        <v>9</v>
      </c>
      <c r="AE127" s="22" t="s">
        <v>5</v>
      </c>
      <c r="AF127" s="22" t="s">
        <v>5</v>
      </c>
      <c r="AG127" s="22" t="s">
        <v>5</v>
      </c>
      <c r="AH127" s="8">
        <f t="shared" si="40"/>
        <v>0</v>
      </c>
      <c r="AI127" s="25">
        <f t="shared" si="41"/>
        <v>22</v>
      </c>
      <c r="AJ127" s="8">
        <f t="shared" si="42"/>
        <v>0</v>
      </c>
      <c r="AK127" s="62">
        <v>0</v>
      </c>
      <c r="AL127" s="33">
        <f t="shared" si="43"/>
        <v>0</v>
      </c>
      <c r="AM127" s="63">
        <f t="shared" si="44"/>
        <v>176</v>
      </c>
      <c r="AN127" s="63">
        <f t="shared" si="45"/>
        <v>0</v>
      </c>
      <c r="AO127" s="63">
        <f t="shared" si="46"/>
        <v>0</v>
      </c>
      <c r="AP127" s="53">
        <f t="shared" si="47"/>
        <v>0</v>
      </c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</row>
    <row r="128" spans="1:55" ht="22" customHeight="1" x14ac:dyDescent="0.35">
      <c r="A128" s="8" t="s">
        <v>271</v>
      </c>
      <c r="B128" s="8" t="s">
        <v>272</v>
      </c>
      <c r="C128" s="8" t="s">
        <v>254</v>
      </c>
      <c r="D128" s="22" t="s">
        <v>5</v>
      </c>
      <c r="E128" s="22" t="s">
        <v>5</v>
      </c>
      <c r="F128" s="22" t="s">
        <v>5</v>
      </c>
      <c r="G128" s="22" t="s">
        <v>5</v>
      </c>
      <c r="H128" s="23" t="s">
        <v>7</v>
      </c>
      <c r="I128" s="24" t="s">
        <v>9</v>
      </c>
      <c r="J128" s="22" t="s">
        <v>5</v>
      </c>
      <c r="K128" s="22" t="s">
        <v>5</v>
      </c>
      <c r="L128" s="22" t="s">
        <v>5</v>
      </c>
      <c r="M128" s="22" t="s">
        <v>5</v>
      </c>
      <c r="N128" s="22" t="s">
        <v>5</v>
      </c>
      <c r="O128" s="23" t="s">
        <v>7</v>
      </c>
      <c r="P128" s="24" t="s">
        <v>9</v>
      </c>
      <c r="Q128" s="22" t="s">
        <v>5</v>
      </c>
      <c r="R128" s="22" t="s">
        <v>5</v>
      </c>
      <c r="S128" s="22" t="s">
        <v>5</v>
      </c>
      <c r="T128" s="22" t="s">
        <v>5</v>
      </c>
      <c r="U128" s="22" t="s">
        <v>5</v>
      </c>
      <c r="V128" s="23" t="s">
        <v>7</v>
      </c>
      <c r="W128" s="24" t="s">
        <v>9</v>
      </c>
      <c r="X128" s="22" t="s">
        <v>5</v>
      </c>
      <c r="Y128" s="22" t="s">
        <v>5</v>
      </c>
      <c r="Z128" s="22" t="s">
        <v>5</v>
      </c>
      <c r="AA128" s="22" t="s">
        <v>5</v>
      </c>
      <c r="AB128" s="22" t="s">
        <v>5</v>
      </c>
      <c r="AC128" s="23" t="s">
        <v>7</v>
      </c>
      <c r="AD128" s="24" t="s">
        <v>9</v>
      </c>
      <c r="AE128" s="22" t="s">
        <v>5</v>
      </c>
      <c r="AF128" s="22" t="s">
        <v>5</v>
      </c>
      <c r="AG128" s="22" t="s">
        <v>5</v>
      </c>
      <c r="AH128" s="8">
        <f t="shared" si="40"/>
        <v>0</v>
      </c>
      <c r="AI128" s="25">
        <f t="shared" si="41"/>
        <v>22</v>
      </c>
      <c r="AJ128" s="8">
        <f t="shared" si="42"/>
        <v>0</v>
      </c>
      <c r="AK128" s="62">
        <v>0</v>
      </c>
      <c r="AL128" s="33">
        <f t="shared" si="43"/>
        <v>0</v>
      </c>
      <c r="AM128" s="63">
        <f t="shared" si="44"/>
        <v>176</v>
      </c>
      <c r="AN128" s="63">
        <f t="shared" si="45"/>
        <v>0</v>
      </c>
      <c r="AO128" s="63">
        <f t="shared" si="46"/>
        <v>0</v>
      </c>
      <c r="AP128" s="53">
        <f t="shared" si="47"/>
        <v>0</v>
      </c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</row>
    <row r="129" spans="1:55" ht="22" customHeight="1" x14ac:dyDescent="0.35">
      <c r="A129" s="8" t="s">
        <v>273</v>
      </c>
      <c r="B129" s="8" t="s">
        <v>274</v>
      </c>
      <c r="C129" s="8" t="s">
        <v>254</v>
      </c>
      <c r="D129" s="22" t="s">
        <v>5</v>
      </c>
      <c r="E129" s="22" t="s">
        <v>5</v>
      </c>
      <c r="F129" s="22" t="s">
        <v>5</v>
      </c>
      <c r="G129" s="22" t="s">
        <v>5</v>
      </c>
      <c r="H129" s="23" t="s">
        <v>7</v>
      </c>
      <c r="I129" s="24" t="s">
        <v>9</v>
      </c>
      <c r="J129" s="22" t="s">
        <v>5</v>
      </c>
      <c r="K129" s="22" t="s">
        <v>5</v>
      </c>
      <c r="L129" s="22" t="s">
        <v>5</v>
      </c>
      <c r="M129" s="22" t="s">
        <v>5</v>
      </c>
      <c r="N129" s="22" t="s">
        <v>5</v>
      </c>
      <c r="O129" s="23" t="s">
        <v>7</v>
      </c>
      <c r="P129" s="24" t="s">
        <v>9</v>
      </c>
      <c r="Q129" s="22" t="s">
        <v>5</v>
      </c>
      <c r="R129" s="22" t="s">
        <v>5</v>
      </c>
      <c r="S129" s="22" t="s">
        <v>5</v>
      </c>
      <c r="T129" s="22" t="s">
        <v>5</v>
      </c>
      <c r="U129" s="22" t="s">
        <v>5</v>
      </c>
      <c r="V129" s="23" t="s">
        <v>7</v>
      </c>
      <c r="W129" s="24" t="s">
        <v>9</v>
      </c>
      <c r="X129" s="22" t="s">
        <v>5</v>
      </c>
      <c r="Y129" s="22" t="s">
        <v>5</v>
      </c>
      <c r="Z129" s="22" t="s">
        <v>5</v>
      </c>
      <c r="AA129" s="22" t="s">
        <v>5</v>
      </c>
      <c r="AB129" s="22" t="s">
        <v>5</v>
      </c>
      <c r="AC129" s="23" t="s">
        <v>7</v>
      </c>
      <c r="AD129" s="24" t="s">
        <v>9</v>
      </c>
      <c r="AE129" s="22" t="s">
        <v>5</v>
      </c>
      <c r="AF129" s="22" t="s">
        <v>5</v>
      </c>
      <c r="AG129" s="22" t="s">
        <v>5</v>
      </c>
      <c r="AH129" s="8">
        <f t="shared" si="40"/>
        <v>0</v>
      </c>
      <c r="AI129" s="25">
        <f t="shared" si="41"/>
        <v>22</v>
      </c>
      <c r="AJ129" s="8">
        <f t="shared" si="42"/>
        <v>0</v>
      </c>
      <c r="AK129" s="62">
        <v>0</v>
      </c>
      <c r="AL129" s="33">
        <f t="shared" si="43"/>
        <v>0</v>
      </c>
      <c r="AM129" s="63">
        <f t="shared" si="44"/>
        <v>176</v>
      </c>
      <c r="AN129" s="63">
        <f t="shared" si="45"/>
        <v>0</v>
      </c>
      <c r="AO129" s="63">
        <f t="shared" si="46"/>
        <v>0</v>
      </c>
      <c r="AP129" s="53">
        <f t="shared" si="47"/>
        <v>0</v>
      </c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</row>
  </sheetData>
  <mergeCells count="11">
    <mergeCell ref="A1:AJ1"/>
    <mergeCell ref="A4:AJ4"/>
    <mergeCell ref="A113:AJ113"/>
    <mergeCell ref="A2:AJ2"/>
    <mergeCell ref="A118:AJ118"/>
    <mergeCell ref="A76:AJ76"/>
    <mergeCell ref="A37:AJ37"/>
    <mergeCell ref="A84:AJ84"/>
    <mergeCell ref="A97:AJ97"/>
    <mergeCell ref="A21:AJ21"/>
    <mergeCell ref="A91:AJ9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129"/>
  <sheetViews>
    <sheetView workbookViewId="0">
      <pane xSplit="3" ySplit="3" topLeftCell="AC21" activePane="bottomRight" state="frozen"/>
      <selection pane="topRight"/>
      <selection pane="bottomLeft"/>
      <selection pane="bottomRight" activeCell="A28" sqref="A28:XFD28"/>
    </sheetView>
  </sheetViews>
  <sheetFormatPr defaultRowHeight="14.5" x14ac:dyDescent="0.35"/>
  <cols>
    <col min="1" max="1" width="7" customWidth="1"/>
    <col min="2" max="2" width="24" customWidth="1"/>
    <col min="3" max="3" width="12" customWidth="1"/>
    <col min="4" max="37" width="5" customWidth="1"/>
    <col min="38" max="38" width="7" customWidth="1"/>
    <col min="39" max="39" width="8" customWidth="1"/>
    <col min="40" max="40" width="9" customWidth="1"/>
    <col min="41" max="41" width="8" customWidth="1"/>
    <col min="42" max="43" width="9" customWidth="1"/>
  </cols>
  <sheetData>
    <row r="1" spans="1:56" ht="30" customHeight="1" x14ac:dyDescent="0.35">
      <c r="A1" s="78" t="s">
        <v>415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</row>
    <row r="2" spans="1:56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N2" s="38"/>
      <c r="AO2" s="59" t="s">
        <v>311</v>
      </c>
      <c r="AP2" s="60">
        <v>4</v>
      </c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</row>
    <row r="3" spans="1:56" ht="35.15" customHeight="1" x14ac:dyDescent="0.35">
      <c r="A3" s="18" t="s">
        <v>14</v>
      </c>
      <c r="B3" s="18" t="s">
        <v>15</v>
      </c>
      <c r="C3" s="18" t="s">
        <v>312</v>
      </c>
      <c r="D3" s="19" t="s">
        <v>389</v>
      </c>
      <c r="E3" s="19" t="s">
        <v>416</v>
      </c>
      <c r="F3" s="20" t="s">
        <v>417</v>
      </c>
      <c r="G3" s="21" t="s">
        <v>316</v>
      </c>
      <c r="H3" s="19" t="s">
        <v>418</v>
      </c>
      <c r="I3" s="19" t="s">
        <v>361</v>
      </c>
      <c r="J3" s="19" t="s">
        <v>419</v>
      </c>
      <c r="K3" s="19" t="s">
        <v>395</v>
      </c>
      <c r="L3" s="19" t="s">
        <v>420</v>
      </c>
      <c r="M3" s="20" t="s">
        <v>421</v>
      </c>
      <c r="N3" s="21" t="s">
        <v>323</v>
      </c>
      <c r="O3" s="19" t="s">
        <v>422</v>
      </c>
      <c r="P3" s="19" t="s">
        <v>368</v>
      </c>
      <c r="Q3" s="19" t="s">
        <v>423</v>
      </c>
      <c r="R3" s="19" t="s">
        <v>401</v>
      </c>
      <c r="S3" s="19" t="s">
        <v>424</v>
      </c>
      <c r="T3" s="20" t="s">
        <v>425</v>
      </c>
      <c r="U3" s="21" t="s">
        <v>330</v>
      </c>
      <c r="V3" s="19" t="s">
        <v>426</v>
      </c>
      <c r="W3" s="19" t="s">
        <v>375</v>
      </c>
      <c r="X3" s="19" t="s">
        <v>427</v>
      </c>
      <c r="Y3" s="19" t="s">
        <v>407</v>
      </c>
      <c r="Z3" s="19" t="s">
        <v>428</v>
      </c>
      <c r="AA3" s="20" t="s">
        <v>429</v>
      </c>
      <c r="AB3" s="21" t="s">
        <v>337</v>
      </c>
      <c r="AC3" s="19" t="s">
        <v>430</v>
      </c>
      <c r="AD3" s="19" t="s">
        <v>382</v>
      </c>
      <c r="AE3" s="19" t="s">
        <v>431</v>
      </c>
      <c r="AF3" s="19" t="s">
        <v>413</v>
      </c>
      <c r="AG3" s="19" t="s">
        <v>432</v>
      </c>
      <c r="AH3" s="20" t="s">
        <v>433</v>
      </c>
      <c r="AI3" s="7" t="s">
        <v>344</v>
      </c>
      <c r="AJ3" s="7" t="s">
        <v>345</v>
      </c>
      <c r="AK3" s="7" t="s">
        <v>29</v>
      </c>
      <c r="AL3" s="34" t="s">
        <v>346</v>
      </c>
      <c r="AM3" s="34" t="s">
        <v>347</v>
      </c>
      <c r="AN3" s="61" t="s">
        <v>348</v>
      </c>
      <c r="AO3" s="42" t="s">
        <v>349</v>
      </c>
      <c r="AP3" s="43" t="s">
        <v>350</v>
      </c>
      <c r="AQ3" s="40" t="s">
        <v>351</v>
      </c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</row>
    <row r="4" spans="1:56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</row>
    <row r="5" spans="1:56" ht="22" customHeight="1" x14ac:dyDescent="0.35">
      <c r="A5" s="8" t="s">
        <v>43</v>
      </c>
      <c r="B5" s="8" t="s">
        <v>44</v>
      </c>
      <c r="C5" s="8" t="s">
        <v>45</v>
      </c>
      <c r="D5" s="26" t="s">
        <v>3</v>
      </c>
      <c r="E5" s="22" t="s">
        <v>5</v>
      </c>
      <c r="F5" s="23" t="s">
        <v>7</v>
      </c>
      <c r="G5" s="24" t="s">
        <v>9</v>
      </c>
      <c r="H5" s="22" t="s">
        <v>5</v>
      </c>
      <c r="I5" s="26" t="s">
        <v>3</v>
      </c>
      <c r="J5" s="26" t="s">
        <v>3</v>
      </c>
      <c r="K5" s="26" t="s">
        <v>3</v>
      </c>
      <c r="L5" s="26" t="s">
        <v>3</v>
      </c>
      <c r="M5" s="23" t="s">
        <v>7</v>
      </c>
      <c r="N5" s="24" t="s">
        <v>9</v>
      </c>
      <c r="O5" s="22" t="s">
        <v>5</v>
      </c>
      <c r="P5" s="22" t="s">
        <v>5</v>
      </c>
      <c r="Q5" s="26" t="s">
        <v>3</v>
      </c>
      <c r="R5" s="26" t="s">
        <v>3</v>
      </c>
      <c r="S5" s="26" t="s">
        <v>3</v>
      </c>
      <c r="T5" s="27" t="s">
        <v>7</v>
      </c>
      <c r="U5" s="28" t="s">
        <v>11</v>
      </c>
      <c r="V5" s="26" t="s">
        <v>3</v>
      </c>
      <c r="W5" s="26" t="s">
        <v>3</v>
      </c>
      <c r="X5" s="26" t="s">
        <v>3</v>
      </c>
      <c r="Y5" s="26" t="s">
        <v>3</v>
      </c>
      <c r="Z5" s="26" t="s">
        <v>3</v>
      </c>
      <c r="AA5" s="23" t="s">
        <v>7</v>
      </c>
      <c r="AB5" s="24" t="s">
        <v>9</v>
      </c>
      <c r="AC5" s="22" t="s">
        <v>5</v>
      </c>
      <c r="AD5" s="22" t="s">
        <v>5</v>
      </c>
      <c r="AE5" s="22" t="s">
        <v>5</v>
      </c>
      <c r="AF5" s="22" t="s">
        <v>5</v>
      </c>
      <c r="AG5" s="22" t="s">
        <v>5</v>
      </c>
      <c r="AH5" s="23" t="s">
        <v>7</v>
      </c>
      <c r="AI5" s="8">
        <f t="shared" ref="AI5:AI19" si="0">COUNTIF(D5:AH5,"ON")</f>
        <v>13</v>
      </c>
      <c r="AJ5" s="8">
        <f t="shared" ref="AJ5:AJ19" si="1">COUNTIF(D5:AH5,"OFF")</f>
        <v>9</v>
      </c>
      <c r="AK5" s="29">
        <f t="shared" ref="AK5:AK19" si="2">COUNTIF(D5:AH5,"OT")</f>
        <v>1</v>
      </c>
      <c r="AL5" s="62">
        <v>1</v>
      </c>
      <c r="AM5" s="33">
        <f t="shared" ref="AM5:AM19" si="3">AI5+AK5+AL5*0.5</f>
        <v>14.5</v>
      </c>
      <c r="AN5" s="63">
        <f t="shared" ref="AN5:AN19" si="4">NETWORKDAYS(DATE(2025,5,1),EOMONTH(DATE(2025,5,1),0))*8</f>
        <v>176</v>
      </c>
      <c r="AO5" s="63">
        <f t="shared" ref="AO5:AO19" si="5">MAX(0,COUNTIF(E5,"ON")+COUNTIF(L5,"ON")+COUNTIF(S5,"ON")+COUNTIF(Z5,"ON")+COUNTIF(AG5,"ON")-AL5)</f>
        <v>2</v>
      </c>
      <c r="AP5" s="63">
        <f t="shared" ref="AP5:AP19" si="6">AO5*$AP$2</f>
        <v>8</v>
      </c>
      <c r="AQ5" s="53">
        <f t="shared" ref="AQ5:AQ19" si="7">AM5-AP5/8</f>
        <v>13.5</v>
      </c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</row>
    <row r="6" spans="1:56" ht="22" customHeight="1" x14ac:dyDescent="0.35">
      <c r="A6" s="8" t="s">
        <v>46</v>
      </c>
      <c r="B6" s="8" t="s">
        <v>47</v>
      </c>
      <c r="C6" s="8" t="s">
        <v>45</v>
      </c>
      <c r="D6" s="26" t="s">
        <v>3</v>
      </c>
      <c r="E6" s="22" t="s">
        <v>5</v>
      </c>
      <c r="F6" s="23" t="s">
        <v>7</v>
      </c>
      <c r="G6" s="24" t="s">
        <v>9</v>
      </c>
      <c r="H6" s="22" t="s">
        <v>5</v>
      </c>
      <c r="I6" s="26" t="s">
        <v>3</v>
      </c>
      <c r="J6" s="26" t="s">
        <v>3</v>
      </c>
      <c r="K6" s="26" t="s">
        <v>3</v>
      </c>
      <c r="L6" s="26" t="s">
        <v>3</v>
      </c>
      <c r="M6" s="27" t="s">
        <v>7</v>
      </c>
      <c r="N6" s="28" t="s">
        <v>11</v>
      </c>
      <c r="O6" s="26" t="s">
        <v>3</v>
      </c>
      <c r="P6" s="26" t="s">
        <v>3</v>
      </c>
      <c r="Q6" s="26" t="s">
        <v>3</v>
      </c>
      <c r="R6" s="22" t="s">
        <v>5</v>
      </c>
      <c r="S6" s="22" t="s">
        <v>5</v>
      </c>
      <c r="T6" s="23" t="s">
        <v>7</v>
      </c>
      <c r="U6" s="24" t="s">
        <v>9</v>
      </c>
      <c r="V6" s="26" t="s">
        <v>3</v>
      </c>
      <c r="W6" s="26" t="s">
        <v>3</v>
      </c>
      <c r="X6" s="26" t="s">
        <v>3</v>
      </c>
      <c r="Y6" s="26" t="s">
        <v>3</v>
      </c>
      <c r="Z6" s="26" t="s">
        <v>3</v>
      </c>
      <c r="AA6" s="27" t="s">
        <v>7</v>
      </c>
      <c r="AB6" s="28" t="s">
        <v>11</v>
      </c>
      <c r="AC6" s="26" t="s">
        <v>3</v>
      </c>
      <c r="AD6" s="26" t="s">
        <v>3</v>
      </c>
      <c r="AE6" s="26" t="s">
        <v>3</v>
      </c>
      <c r="AF6" s="26" t="s">
        <v>3</v>
      </c>
      <c r="AG6" s="26" t="s">
        <v>3</v>
      </c>
      <c r="AH6" s="23" t="s">
        <v>7</v>
      </c>
      <c r="AI6" s="8">
        <f t="shared" si="0"/>
        <v>18</v>
      </c>
      <c r="AJ6" s="8">
        <f t="shared" si="1"/>
        <v>4</v>
      </c>
      <c r="AK6" s="29">
        <f t="shared" si="2"/>
        <v>2</v>
      </c>
      <c r="AL6" s="62">
        <v>2</v>
      </c>
      <c r="AM6" s="33">
        <f t="shared" si="3"/>
        <v>21</v>
      </c>
      <c r="AN6" s="63">
        <f t="shared" si="4"/>
        <v>176</v>
      </c>
      <c r="AO6" s="63">
        <f t="shared" si="5"/>
        <v>1</v>
      </c>
      <c r="AP6" s="63">
        <f t="shared" si="6"/>
        <v>4</v>
      </c>
      <c r="AQ6" s="53">
        <f t="shared" si="7"/>
        <v>20.5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</row>
    <row r="7" spans="1:56" ht="22" customHeight="1" x14ac:dyDescent="0.35">
      <c r="A7" s="8" t="s">
        <v>48</v>
      </c>
      <c r="B7" s="8" t="s">
        <v>49</v>
      </c>
      <c r="C7" s="8" t="s">
        <v>45</v>
      </c>
      <c r="D7" s="22" t="s">
        <v>5</v>
      </c>
      <c r="E7" s="22" t="s">
        <v>5</v>
      </c>
      <c r="F7" s="23" t="s">
        <v>7</v>
      </c>
      <c r="G7" s="24" t="s">
        <v>9</v>
      </c>
      <c r="H7" s="22" t="s">
        <v>5</v>
      </c>
      <c r="I7" s="22" t="s">
        <v>5</v>
      </c>
      <c r="J7" s="22" t="s">
        <v>5</v>
      </c>
      <c r="K7" s="22" t="s">
        <v>5</v>
      </c>
      <c r="L7" s="22" t="s">
        <v>5</v>
      </c>
      <c r="M7" s="23" t="s">
        <v>7</v>
      </c>
      <c r="N7" s="24" t="s">
        <v>9</v>
      </c>
      <c r="O7" s="22" t="s">
        <v>5</v>
      </c>
      <c r="P7" s="22" t="s">
        <v>5</v>
      </c>
      <c r="Q7" s="22" t="s">
        <v>5</v>
      </c>
      <c r="R7" s="26" t="s">
        <v>3</v>
      </c>
      <c r="S7" s="26" t="s">
        <v>3</v>
      </c>
      <c r="T7" s="27" t="s">
        <v>7</v>
      </c>
      <c r="U7" s="28" t="s">
        <v>11</v>
      </c>
      <c r="V7" s="26" t="s">
        <v>3</v>
      </c>
      <c r="W7" s="26" t="s">
        <v>3</v>
      </c>
      <c r="X7" s="26" t="s">
        <v>3</v>
      </c>
      <c r="Y7" s="26" t="s">
        <v>3</v>
      </c>
      <c r="Z7" s="26" t="s">
        <v>3</v>
      </c>
      <c r="AA7" s="23" t="s">
        <v>7</v>
      </c>
      <c r="AB7" s="24" t="s">
        <v>9</v>
      </c>
      <c r="AC7" s="26" t="s">
        <v>3</v>
      </c>
      <c r="AD7" s="26" t="s">
        <v>3</v>
      </c>
      <c r="AE7" s="26" t="s">
        <v>3</v>
      </c>
      <c r="AF7" s="26" t="s">
        <v>3</v>
      </c>
      <c r="AG7" s="26" t="s">
        <v>3</v>
      </c>
      <c r="AH7" s="27" t="s">
        <v>7</v>
      </c>
      <c r="AI7" s="8">
        <f t="shared" si="0"/>
        <v>12</v>
      </c>
      <c r="AJ7" s="8">
        <f t="shared" si="1"/>
        <v>10</v>
      </c>
      <c r="AK7" s="29">
        <f t="shared" si="2"/>
        <v>1</v>
      </c>
      <c r="AL7" s="62">
        <v>2</v>
      </c>
      <c r="AM7" s="33">
        <f t="shared" si="3"/>
        <v>14</v>
      </c>
      <c r="AN7" s="63">
        <f t="shared" si="4"/>
        <v>176</v>
      </c>
      <c r="AO7" s="63">
        <f t="shared" si="5"/>
        <v>1</v>
      </c>
      <c r="AP7" s="63">
        <f t="shared" si="6"/>
        <v>4</v>
      </c>
      <c r="AQ7" s="53">
        <f t="shared" si="7"/>
        <v>13.5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</row>
    <row r="8" spans="1:56" ht="22" customHeight="1" x14ac:dyDescent="0.35">
      <c r="A8" s="8" t="s">
        <v>50</v>
      </c>
      <c r="B8" s="8" t="s">
        <v>51</v>
      </c>
      <c r="C8" s="8" t="s">
        <v>45</v>
      </c>
      <c r="D8" s="26" t="s">
        <v>3</v>
      </c>
      <c r="E8" s="26" t="s">
        <v>3</v>
      </c>
      <c r="F8" s="27" t="s">
        <v>7</v>
      </c>
      <c r="G8" s="28" t="s">
        <v>11</v>
      </c>
      <c r="H8" s="26" t="s">
        <v>3</v>
      </c>
      <c r="I8" s="26" t="s">
        <v>3</v>
      </c>
      <c r="J8" s="26" t="s">
        <v>3</v>
      </c>
      <c r="K8" s="26" t="s">
        <v>3</v>
      </c>
      <c r="L8" s="22" t="s">
        <v>5</v>
      </c>
      <c r="M8" s="23" t="s">
        <v>7</v>
      </c>
      <c r="N8" s="24" t="s">
        <v>9</v>
      </c>
      <c r="O8" s="22" t="s">
        <v>5</v>
      </c>
      <c r="P8" s="22" t="s">
        <v>5</v>
      </c>
      <c r="Q8" s="22" t="s">
        <v>5</v>
      </c>
      <c r="R8" s="22" t="s">
        <v>5</v>
      </c>
      <c r="S8" s="26" t="s">
        <v>3</v>
      </c>
      <c r="T8" s="27" t="s">
        <v>7</v>
      </c>
      <c r="U8" s="28" t="s">
        <v>11</v>
      </c>
      <c r="V8" s="26" t="s">
        <v>3</v>
      </c>
      <c r="W8" s="26" t="s">
        <v>3</v>
      </c>
      <c r="X8" s="26" t="s">
        <v>3</v>
      </c>
      <c r="Y8" s="26" t="s">
        <v>3</v>
      </c>
      <c r="Z8" s="26" t="s">
        <v>3</v>
      </c>
      <c r="AA8" s="23" t="s">
        <v>7</v>
      </c>
      <c r="AB8" s="24" t="s">
        <v>9</v>
      </c>
      <c r="AC8" s="26" t="s">
        <v>3</v>
      </c>
      <c r="AD8" s="26" t="s">
        <v>3</v>
      </c>
      <c r="AE8" s="26" t="s">
        <v>3</v>
      </c>
      <c r="AF8" s="26" t="s">
        <v>3</v>
      </c>
      <c r="AG8" s="26" t="s">
        <v>3</v>
      </c>
      <c r="AH8" s="27" t="s">
        <v>7</v>
      </c>
      <c r="AI8" s="8">
        <f t="shared" si="0"/>
        <v>17</v>
      </c>
      <c r="AJ8" s="8">
        <f t="shared" si="1"/>
        <v>5</v>
      </c>
      <c r="AK8" s="29">
        <f t="shared" si="2"/>
        <v>2</v>
      </c>
      <c r="AL8" s="62">
        <v>3</v>
      </c>
      <c r="AM8" s="33">
        <f t="shared" si="3"/>
        <v>20.5</v>
      </c>
      <c r="AN8" s="63">
        <f t="shared" si="4"/>
        <v>176</v>
      </c>
      <c r="AO8" s="63">
        <f t="shared" si="5"/>
        <v>1</v>
      </c>
      <c r="AP8" s="63">
        <f t="shared" si="6"/>
        <v>4</v>
      </c>
      <c r="AQ8" s="53">
        <f t="shared" si="7"/>
        <v>20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</row>
    <row r="9" spans="1:56" ht="22" customHeight="1" x14ac:dyDescent="0.35">
      <c r="A9" s="8" t="s">
        <v>52</v>
      </c>
      <c r="B9" s="8" t="s">
        <v>53</v>
      </c>
      <c r="C9" s="8" t="s">
        <v>45</v>
      </c>
      <c r="D9" s="26" t="s">
        <v>3</v>
      </c>
      <c r="E9" s="26" t="s">
        <v>3</v>
      </c>
      <c r="F9" s="27" t="s">
        <v>7</v>
      </c>
      <c r="G9" s="28" t="s">
        <v>11</v>
      </c>
      <c r="H9" s="22" t="s">
        <v>5</v>
      </c>
      <c r="I9" s="22" t="s">
        <v>5</v>
      </c>
      <c r="J9" s="22" t="s">
        <v>5</v>
      </c>
      <c r="K9" s="22" t="s">
        <v>5</v>
      </c>
      <c r="L9" s="22" t="s">
        <v>5</v>
      </c>
      <c r="M9" s="23" t="s">
        <v>7</v>
      </c>
      <c r="N9" s="24" t="s">
        <v>9</v>
      </c>
      <c r="O9" s="22" t="s">
        <v>5</v>
      </c>
      <c r="P9" s="22" t="s">
        <v>5</v>
      </c>
      <c r="Q9" s="22" t="s">
        <v>5</v>
      </c>
      <c r="R9" s="22" t="s">
        <v>5</v>
      </c>
      <c r="S9" s="22" t="s">
        <v>5</v>
      </c>
      <c r="T9" s="23" t="s">
        <v>7</v>
      </c>
      <c r="U9" s="24" t="s">
        <v>9</v>
      </c>
      <c r="V9" s="22" t="s">
        <v>5</v>
      </c>
      <c r="W9" s="22" t="s">
        <v>5</v>
      </c>
      <c r="X9" s="22" t="s">
        <v>5</v>
      </c>
      <c r="Y9" s="22" t="s">
        <v>5</v>
      </c>
      <c r="Z9" s="22" t="s">
        <v>5</v>
      </c>
      <c r="AA9" s="23" t="s">
        <v>7</v>
      </c>
      <c r="AB9" s="24" t="s">
        <v>9</v>
      </c>
      <c r="AC9" s="22" t="s">
        <v>5</v>
      </c>
      <c r="AD9" s="22" t="s">
        <v>5</v>
      </c>
      <c r="AE9" s="22" t="s">
        <v>5</v>
      </c>
      <c r="AF9" s="22" t="s">
        <v>5</v>
      </c>
      <c r="AG9" s="22" t="s">
        <v>5</v>
      </c>
      <c r="AH9" s="23" t="s">
        <v>7</v>
      </c>
      <c r="AI9" s="8">
        <f t="shared" si="0"/>
        <v>2</v>
      </c>
      <c r="AJ9" s="25">
        <f t="shared" si="1"/>
        <v>20</v>
      </c>
      <c r="AK9" s="29">
        <f t="shared" si="2"/>
        <v>1</v>
      </c>
      <c r="AL9" s="62">
        <v>1</v>
      </c>
      <c r="AM9" s="33">
        <f t="shared" si="3"/>
        <v>3.5</v>
      </c>
      <c r="AN9" s="63">
        <f t="shared" si="4"/>
        <v>176</v>
      </c>
      <c r="AO9" s="63">
        <f t="shared" si="5"/>
        <v>0</v>
      </c>
      <c r="AP9" s="63">
        <f t="shared" si="6"/>
        <v>0</v>
      </c>
      <c r="AQ9" s="53">
        <f t="shared" si="7"/>
        <v>3.5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</row>
    <row r="10" spans="1:56" ht="22" customHeight="1" x14ac:dyDescent="0.35">
      <c r="A10" s="8" t="s">
        <v>54</v>
      </c>
      <c r="B10" s="8" t="s">
        <v>55</v>
      </c>
      <c r="C10" s="8" t="s">
        <v>45</v>
      </c>
      <c r="D10" s="22" t="s">
        <v>5</v>
      </c>
      <c r="E10" s="22" t="s">
        <v>5</v>
      </c>
      <c r="F10" s="23" t="s">
        <v>7</v>
      </c>
      <c r="G10" s="24" t="s">
        <v>9</v>
      </c>
      <c r="H10" s="22" t="s">
        <v>5</v>
      </c>
      <c r="I10" s="22" t="s">
        <v>5</v>
      </c>
      <c r="J10" s="22" t="s">
        <v>5</v>
      </c>
      <c r="K10" s="22" t="s">
        <v>5</v>
      </c>
      <c r="L10" s="22" t="s">
        <v>5</v>
      </c>
      <c r="M10" s="23" t="s">
        <v>7</v>
      </c>
      <c r="N10" s="24" t="s">
        <v>9</v>
      </c>
      <c r="O10" s="22" t="s">
        <v>5</v>
      </c>
      <c r="P10" s="22" t="s">
        <v>5</v>
      </c>
      <c r="Q10" s="22" t="s">
        <v>5</v>
      </c>
      <c r="R10" s="22" t="s">
        <v>5</v>
      </c>
      <c r="S10" s="26" t="s">
        <v>3</v>
      </c>
      <c r="T10" s="27" t="s">
        <v>7</v>
      </c>
      <c r="U10" s="24" t="s">
        <v>9</v>
      </c>
      <c r="V10" s="26" t="s">
        <v>3</v>
      </c>
      <c r="W10" s="26" t="s">
        <v>3</v>
      </c>
      <c r="X10" s="26" t="s">
        <v>3</v>
      </c>
      <c r="Y10" s="26" t="s">
        <v>3</v>
      </c>
      <c r="Z10" s="26" t="s">
        <v>3</v>
      </c>
      <c r="AA10" s="23" t="s">
        <v>7</v>
      </c>
      <c r="AB10" s="24" t="s">
        <v>9</v>
      </c>
      <c r="AC10" s="26" t="s">
        <v>3</v>
      </c>
      <c r="AD10" s="26" t="s">
        <v>3</v>
      </c>
      <c r="AE10" s="26" t="s">
        <v>3</v>
      </c>
      <c r="AF10" s="26" t="s">
        <v>3</v>
      </c>
      <c r="AG10" s="26" t="s">
        <v>3</v>
      </c>
      <c r="AH10" s="27" t="s">
        <v>7</v>
      </c>
      <c r="AI10" s="8">
        <f t="shared" si="0"/>
        <v>11</v>
      </c>
      <c r="AJ10" s="25">
        <f t="shared" si="1"/>
        <v>11</v>
      </c>
      <c r="AK10" s="8">
        <f t="shared" si="2"/>
        <v>0</v>
      </c>
      <c r="AL10" s="62">
        <v>2</v>
      </c>
      <c r="AM10" s="33">
        <f t="shared" si="3"/>
        <v>12</v>
      </c>
      <c r="AN10" s="63">
        <f t="shared" si="4"/>
        <v>176</v>
      </c>
      <c r="AO10" s="63">
        <f t="shared" si="5"/>
        <v>1</v>
      </c>
      <c r="AP10" s="63">
        <f t="shared" si="6"/>
        <v>4</v>
      </c>
      <c r="AQ10" s="53">
        <f t="shared" si="7"/>
        <v>11.5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</row>
    <row r="11" spans="1:56" ht="22" customHeight="1" x14ac:dyDescent="0.35">
      <c r="A11" s="8" t="s">
        <v>56</v>
      </c>
      <c r="B11" s="8" t="s">
        <v>57</v>
      </c>
      <c r="C11" s="8" t="s">
        <v>45</v>
      </c>
      <c r="D11" s="22" t="s">
        <v>5</v>
      </c>
      <c r="E11" s="22" t="s">
        <v>5</v>
      </c>
      <c r="F11" s="23" t="s">
        <v>7</v>
      </c>
      <c r="G11" s="24" t="s">
        <v>9</v>
      </c>
      <c r="H11" s="22" t="s">
        <v>5</v>
      </c>
      <c r="I11" s="22" t="s">
        <v>5</v>
      </c>
      <c r="J11" s="22" t="s">
        <v>5</v>
      </c>
      <c r="K11" s="22" t="s">
        <v>5</v>
      </c>
      <c r="L11" s="22" t="s">
        <v>5</v>
      </c>
      <c r="M11" s="23" t="s">
        <v>7</v>
      </c>
      <c r="N11" s="24" t="s">
        <v>9</v>
      </c>
      <c r="O11" s="22" t="s">
        <v>5</v>
      </c>
      <c r="P11" s="22" t="s">
        <v>5</v>
      </c>
      <c r="Q11" s="22" t="s">
        <v>5</v>
      </c>
      <c r="R11" s="22" t="s">
        <v>5</v>
      </c>
      <c r="S11" s="22" t="s">
        <v>5</v>
      </c>
      <c r="T11" s="23" t="s">
        <v>7</v>
      </c>
      <c r="U11" s="24" t="s">
        <v>9</v>
      </c>
      <c r="V11" s="22" t="s">
        <v>5</v>
      </c>
      <c r="W11" s="22" t="s">
        <v>5</v>
      </c>
      <c r="X11" s="22" t="s">
        <v>5</v>
      </c>
      <c r="Y11" s="26" t="s">
        <v>3</v>
      </c>
      <c r="Z11" s="26" t="s">
        <v>3</v>
      </c>
      <c r="AA11" s="27" t="s">
        <v>7</v>
      </c>
      <c r="AB11" s="28" t="s">
        <v>11</v>
      </c>
      <c r="AC11" s="26" t="s">
        <v>3</v>
      </c>
      <c r="AD11" s="26" t="s">
        <v>3</v>
      </c>
      <c r="AE11" s="26" t="s">
        <v>3</v>
      </c>
      <c r="AF11" s="26" t="s">
        <v>3</v>
      </c>
      <c r="AG11" s="26" t="s">
        <v>3</v>
      </c>
      <c r="AH11" s="23" t="s">
        <v>7</v>
      </c>
      <c r="AI11" s="8">
        <f t="shared" si="0"/>
        <v>7</v>
      </c>
      <c r="AJ11" s="25">
        <f t="shared" si="1"/>
        <v>15</v>
      </c>
      <c r="AK11" s="29">
        <f t="shared" si="2"/>
        <v>1</v>
      </c>
      <c r="AL11" s="62">
        <v>1</v>
      </c>
      <c r="AM11" s="33">
        <f t="shared" si="3"/>
        <v>8.5</v>
      </c>
      <c r="AN11" s="63">
        <f t="shared" si="4"/>
        <v>176</v>
      </c>
      <c r="AO11" s="63">
        <f t="shared" si="5"/>
        <v>1</v>
      </c>
      <c r="AP11" s="63">
        <f t="shared" si="6"/>
        <v>4</v>
      </c>
      <c r="AQ11" s="53">
        <f t="shared" si="7"/>
        <v>8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</row>
    <row r="12" spans="1:56" ht="22" customHeight="1" x14ac:dyDescent="0.35">
      <c r="A12" s="8" t="s">
        <v>58</v>
      </c>
      <c r="B12" s="8" t="s">
        <v>59</v>
      </c>
      <c r="C12" s="8" t="s">
        <v>45</v>
      </c>
      <c r="D12" s="26" t="s">
        <v>3</v>
      </c>
      <c r="E12" s="26" t="s">
        <v>3</v>
      </c>
      <c r="F12" s="27" t="s">
        <v>7</v>
      </c>
      <c r="G12" s="28" t="s">
        <v>11</v>
      </c>
      <c r="H12" s="26" t="s">
        <v>3</v>
      </c>
      <c r="I12" s="26" t="s">
        <v>3</v>
      </c>
      <c r="J12" s="26" t="s">
        <v>3</v>
      </c>
      <c r="K12" s="26" t="s">
        <v>3</v>
      </c>
      <c r="L12" s="22" t="s">
        <v>5</v>
      </c>
      <c r="M12" s="23" t="s">
        <v>7</v>
      </c>
      <c r="N12" s="24" t="s">
        <v>9</v>
      </c>
      <c r="O12" s="22" t="s">
        <v>5</v>
      </c>
      <c r="P12" s="26" t="s">
        <v>3</v>
      </c>
      <c r="Q12" s="26" t="s">
        <v>3</v>
      </c>
      <c r="R12" s="26" t="s">
        <v>3</v>
      </c>
      <c r="S12" s="26" t="s">
        <v>3</v>
      </c>
      <c r="T12" s="27" t="s">
        <v>7</v>
      </c>
      <c r="U12" s="28" t="s">
        <v>11</v>
      </c>
      <c r="V12" s="26" t="s">
        <v>3</v>
      </c>
      <c r="W12" s="26" t="s">
        <v>3</v>
      </c>
      <c r="X12" s="26" t="s">
        <v>3</v>
      </c>
      <c r="Y12" s="26" t="s">
        <v>3</v>
      </c>
      <c r="Z12" s="26" t="s">
        <v>3</v>
      </c>
      <c r="AA12" s="23" t="s">
        <v>7</v>
      </c>
      <c r="AB12" s="24" t="s">
        <v>9</v>
      </c>
      <c r="AC12" s="26" t="s">
        <v>3</v>
      </c>
      <c r="AD12" s="26" t="s">
        <v>3</v>
      </c>
      <c r="AE12" s="26" t="s">
        <v>3</v>
      </c>
      <c r="AF12" s="26" t="s">
        <v>3</v>
      </c>
      <c r="AG12" s="26" t="s">
        <v>3</v>
      </c>
      <c r="AH12" s="27" t="s">
        <v>7</v>
      </c>
      <c r="AI12" s="8">
        <f t="shared" si="0"/>
        <v>20</v>
      </c>
      <c r="AJ12" s="8">
        <f t="shared" si="1"/>
        <v>2</v>
      </c>
      <c r="AK12" s="29">
        <f t="shared" si="2"/>
        <v>2</v>
      </c>
      <c r="AL12" s="62">
        <v>3</v>
      </c>
      <c r="AM12" s="33">
        <f t="shared" si="3"/>
        <v>23.5</v>
      </c>
      <c r="AN12" s="63">
        <f t="shared" si="4"/>
        <v>176</v>
      </c>
      <c r="AO12" s="63">
        <f t="shared" si="5"/>
        <v>1</v>
      </c>
      <c r="AP12" s="63">
        <f t="shared" si="6"/>
        <v>4</v>
      </c>
      <c r="AQ12" s="53">
        <f t="shared" si="7"/>
        <v>23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</row>
    <row r="13" spans="1:56" ht="22" customHeight="1" x14ac:dyDescent="0.35">
      <c r="A13" s="8" t="s">
        <v>60</v>
      </c>
      <c r="B13" s="8" t="s">
        <v>61</v>
      </c>
      <c r="C13" s="8" t="s">
        <v>45</v>
      </c>
      <c r="D13" s="22" t="s">
        <v>5</v>
      </c>
      <c r="E13" s="22" t="s">
        <v>5</v>
      </c>
      <c r="F13" s="23" t="s">
        <v>7</v>
      </c>
      <c r="G13" s="24" t="s">
        <v>9</v>
      </c>
      <c r="H13" s="26" t="s">
        <v>3</v>
      </c>
      <c r="I13" s="26" t="s">
        <v>3</v>
      </c>
      <c r="J13" s="26" t="s">
        <v>3</v>
      </c>
      <c r="K13" s="26" t="s">
        <v>3</v>
      </c>
      <c r="L13" s="26" t="s">
        <v>3</v>
      </c>
      <c r="M13" s="27" t="s">
        <v>7</v>
      </c>
      <c r="N13" s="28" t="s">
        <v>11</v>
      </c>
      <c r="O13" s="26" t="s">
        <v>3</v>
      </c>
      <c r="P13" s="26" t="s">
        <v>3</v>
      </c>
      <c r="Q13" s="26" t="s">
        <v>3</v>
      </c>
      <c r="R13" s="26" t="s">
        <v>3</v>
      </c>
      <c r="S13" s="26" t="s">
        <v>3</v>
      </c>
      <c r="T13" s="23" t="s">
        <v>7</v>
      </c>
      <c r="U13" s="24" t="s">
        <v>9</v>
      </c>
      <c r="V13" s="26" t="s">
        <v>3</v>
      </c>
      <c r="W13" s="26" t="s">
        <v>3</v>
      </c>
      <c r="X13" s="26" t="s">
        <v>3</v>
      </c>
      <c r="Y13" s="26" t="s">
        <v>3</v>
      </c>
      <c r="Z13" s="26" t="s">
        <v>3</v>
      </c>
      <c r="AA13" s="27" t="s">
        <v>7</v>
      </c>
      <c r="AB13" s="28" t="s">
        <v>11</v>
      </c>
      <c r="AC13" s="26" t="s">
        <v>3</v>
      </c>
      <c r="AD13" s="26" t="s">
        <v>3</v>
      </c>
      <c r="AE13" s="26" t="s">
        <v>3</v>
      </c>
      <c r="AF13" s="26" t="s">
        <v>3</v>
      </c>
      <c r="AG13" s="26" t="s">
        <v>3</v>
      </c>
      <c r="AH13" s="27" t="s">
        <v>7</v>
      </c>
      <c r="AI13" s="8">
        <f t="shared" si="0"/>
        <v>20</v>
      </c>
      <c r="AJ13" s="8">
        <f t="shared" si="1"/>
        <v>2</v>
      </c>
      <c r="AK13" s="29">
        <f t="shared" si="2"/>
        <v>2</v>
      </c>
      <c r="AL13" s="62">
        <v>3</v>
      </c>
      <c r="AM13" s="33">
        <f t="shared" si="3"/>
        <v>23.5</v>
      </c>
      <c r="AN13" s="63">
        <f t="shared" si="4"/>
        <v>176</v>
      </c>
      <c r="AO13" s="63">
        <f t="shared" si="5"/>
        <v>1</v>
      </c>
      <c r="AP13" s="63">
        <f t="shared" si="6"/>
        <v>4</v>
      </c>
      <c r="AQ13" s="53">
        <f t="shared" si="7"/>
        <v>23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</row>
    <row r="14" spans="1:56" ht="22" customHeight="1" x14ac:dyDescent="0.35">
      <c r="A14" s="8" t="s">
        <v>352</v>
      </c>
      <c r="B14" s="8" t="s">
        <v>353</v>
      </c>
      <c r="C14" s="8" t="s">
        <v>45</v>
      </c>
      <c r="D14" s="22" t="s">
        <v>5</v>
      </c>
      <c r="E14" s="22" t="s">
        <v>5</v>
      </c>
      <c r="F14" s="23" t="s">
        <v>7</v>
      </c>
      <c r="G14" s="24" t="s">
        <v>9</v>
      </c>
      <c r="H14" s="26" t="s">
        <v>3</v>
      </c>
      <c r="I14" s="26" t="s">
        <v>3</v>
      </c>
      <c r="J14" s="26" t="s">
        <v>3</v>
      </c>
      <c r="K14" s="26" t="s">
        <v>3</v>
      </c>
      <c r="L14" s="26" t="s">
        <v>3</v>
      </c>
      <c r="M14" s="27" t="s">
        <v>7</v>
      </c>
      <c r="N14" s="28" t="s">
        <v>11</v>
      </c>
      <c r="O14" s="26" t="s">
        <v>3</v>
      </c>
      <c r="P14" s="26" t="s">
        <v>3</v>
      </c>
      <c r="Q14" s="26" t="s">
        <v>3</v>
      </c>
      <c r="R14" s="26" t="s">
        <v>3</v>
      </c>
      <c r="S14" s="22" t="s">
        <v>5</v>
      </c>
      <c r="T14" s="23" t="s">
        <v>7</v>
      </c>
      <c r="U14" s="24" t="s">
        <v>9</v>
      </c>
      <c r="V14" s="22" t="s">
        <v>5</v>
      </c>
      <c r="W14" s="26" t="s">
        <v>3</v>
      </c>
      <c r="X14" s="26" t="s">
        <v>3</v>
      </c>
      <c r="Y14" s="26" t="s">
        <v>3</v>
      </c>
      <c r="Z14" s="26" t="s">
        <v>3</v>
      </c>
      <c r="AA14" s="27" t="s">
        <v>7</v>
      </c>
      <c r="AB14" s="28" t="s">
        <v>11</v>
      </c>
      <c r="AC14" s="26" t="s">
        <v>3</v>
      </c>
      <c r="AD14" s="26" t="s">
        <v>3</v>
      </c>
      <c r="AE14" s="26" t="s">
        <v>3</v>
      </c>
      <c r="AF14" s="26" t="s">
        <v>3</v>
      </c>
      <c r="AG14" s="26" t="s">
        <v>3</v>
      </c>
      <c r="AH14" s="23" t="s">
        <v>7</v>
      </c>
      <c r="AI14" s="8">
        <f t="shared" si="0"/>
        <v>18</v>
      </c>
      <c r="AJ14" s="8">
        <f t="shared" si="1"/>
        <v>4</v>
      </c>
      <c r="AK14" s="29">
        <f t="shared" si="2"/>
        <v>2</v>
      </c>
      <c r="AL14" s="62">
        <v>2</v>
      </c>
      <c r="AM14" s="33">
        <f t="shared" si="3"/>
        <v>21</v>
      </c>
      <c r="AN14" s="63">
        <f t="shared" si="4"/>
        <v>176</v>
      </c>
      <c r="AO14" s="63">
        <f t="shared" si="5"/>
        <v>1</v>
      </c>
      <c r="AP14" s="63">
        <f t="shared" si="6"/>
        <v>4</v>
      </c>
      <c r="AQ14" s="53">
        <f t="shared" si="7"/>
        <v>20.5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</row>
    <row r="15" spans="1:56" ht="22" customHeight="1" x14ac:dyDescent="0.35">
      <c r="A15" s="8" t="s">
        <v>62</v>
      </c>
      <c r="B15" s="8" t="s">
        <v>63</v>
      </c>
      <c r="C15" s="8" t="s">
        <v>45</v>
      </c>
      <c r="D15" s="22" t="s">
        <v>5</v>
      </c>
      <c r="E15" s="22" t="s">
        <v>5</v>
      </c>
      <c r="F15" s="23" t="s">
        <v>7</v>
      </c>
      <c r="G15" s="24" t="s">
        <v>9</v>
      </c>
      <c r="H15" s="22" t="s">
        <v>5</v>
      </c>
      <c r="I15" s="22" t="s">
        <v>5</v>
      </c>
      <c r="J15" s="22" t="s">
        <v>5</v>
      </c>
      <c r="K15" s="22" t="s">
        <v>5</v>
      </c>
      <c r="L15" s="22" t="s">
        <v>5</v>
      </c>
      <c r="M15" s="23" t="s">
        <v>7</v>
      </c>
      <c r="N15" s="24" t="s">
        <v>9</v>
      </c>
      <c r="O15" s="22" t="s">
        <v>5</v>
      </c>
      <c r="P15" s="22" t="s">
        <v>5</v>
      </c>
      <c r="Q15" s="22" t="s">
        <v>5</v>
      </c>
      <c r="R15" s="22" t="s">
        <v>5</v>
      </c>
      <c r="S15" s="22" t="s">
        <v>5</v>
      </c>
      <c r="T15" s="23" t="s">
        <v>7</v>
      </c>
      <c r="U15" s="24" t="s">
        <v>9</v>
      </c>
      <c r="V15" s="22" t="s">
        <v>5</v>
      </c>
      <c r="W15" s="22" t="s">
        <v>5</v>
      </c>
      <c r="X15" s="22" t="s">
        <v>5</v>
      </c>
      <c r="Y15" s="22" t="s">
        <v>5</v>
      </c>
      <c r="Z15" s="22" t="s">
        <v>5</v>
      </c>
      <c r="AA15" s="23" t="s">
        <v>7</v>
      </c>
      <c r="AB15" s="24" t="s">
        <v>9</v>
      </c>
      <c r="AC15" s="22" t="s">
        <v>5</v>
      </c>
      <c r="AD15" s="22" t="s">
        <v>5</v>
      </c>
      <c r="AE15" s="22" t="s">
        <v>5</v>
      </c>
      <c r="AF15" s="22" t="s">
        <v>5</v>
      </c>
      <c r="AG15" s="22" t="s">
        <v>5</v>
      </c>
      <c r="AH15" s="23" t="s">
        <v>7</v>
      </c>
      <c r="AI15" s="8">
        <f t="shared" si="0"/>
        <v>0</v>
      </c>
      <c r="AJ15" s="25">
        <f t="shared" si="1"/>
        <v>22</v>
      </c>
      <c r="AK15" s="8">
        <f t="shared" si="2"/>
        <v>0</v>
      </c>
      <c r="AL15" s="62">
        <v>0</v>
      </c>
      <c r="AM15" s="33">
        <f t="shared" si="3"/>
        <v>0</v>
      </c>
      <c r="AN15" s="63">
        <f t="shared" si="4"/>
        <v>176</v>
      </c>
      <c r="AO15" s="63">
        <f t="shared" si="5"/>
        <v>0</v>
      </c>
      <c r="AP15" s="63">
        <f t="shared" si="6"/>
        <v>0</v>
      </c>
      <c r="AQ15" s="53">
        <f t="shared" si="7"/>
        <v>0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</row>
    <row r="16" spans="1:56" ht="22" customHeight="1" x14ac:dyDescent="0.35">
      <c r="A16" s="8" t="s">
        <v>64</v>
      </c>
      <c r="B16" s="8" t="s">
        <v>63</v>
      </c>
      <c r="C16" s="8" t="s">
        <v>45</v>
      </c>
      <c r="D16" s="26" t="s">
        <v>3</v>
      </c>
      <c r="E16" s="22" t="s">
        <v>5</v>
      </c>
      <c r="F16" s="23" t="s">
        <v>7</v>
      </c>
      <c r="G16" s="24" t="s">
        <v>9</v>
      </c>
      <c r="H16" s="22" t="s">
        <v>5</v>
      </c>
      <c r="I16" s="22" t="s">
        <v>5</v>
      </c>
      <c r="J16" s="22" t="s">
        <v>5</v>
      </c>
      <c r="K16" s="22" t="s">
        <v>5</v>
      </c>
      <c r="L16" s="22" t="s">
        <v>5</v>
      </c>
      <c r="M16" s="23" t="s">
        <v>7</v>
      </c>
      <c r="N16" s="24" t="s">
        <v>9</v>
      </c>
      <c r="O16" s="22" t="s">
        <v>5</v>
      </c>
      <c r="P16" s="22" t="s">
        <v>5</v>
      </c>
      <c r="Q16" s="22" t="s">
        <v>5</v>
      </c>
      <c r="R16" s="22" t="s">
        <v>5</v>
      </c>
      <c r="S16" s="22" t="s">
        <v>5</v>
      </c>
      <c r="T16" s="23" t="s">
        <v>7</v>
      </c>
      <c r="U16" s="24" t="s">
        <v>9</v>
      </c>
      <c r="V16" s="22" t="s">
        <v>5</v>
      </c>
      <c r="W16" s="22" t="s">
        <v>5</v>
      </c>
      <c r="X16" s="22" t="s">
        <v>5</v>
      </c>
      <c r="Y16" s="22" t="s">
        <v>5</v>
      </c>
      <c r="Z16" s="22" t="s">
        <v>5</v>
      </c>
      <c r="AA16" s="23" t="s">
        <v>7</v>
      </c>
      <c r="AB16" s="24" t="s">
        <v>9</v>
      </c>
      <c r="AC16" s="22" t="s">
        <v>5</v>
      </c>
      <c r="AD16" s="22" t="s">
        <v>5</v>
      </c>
      <c r="AE16" s="22" t="s">
        <v>5</v>
      </c>
      <c r="AF16" s="22" t="s">
        <v>5</v>
      </c>
      <c r="AG16" s="22" t="s">
        <v>5</v>
      </c>
      <c r="AH16" s="23" t="s">
        <v>7</v>
      </c>
      <c r="AI16" s="8">
        <f t="shared" si="0"/>
        <v>1</v>
      </c>
      <c r="AJ16" s="25">
        <f t="shared" si="1"/>
        <v>21</v>
      </c>
      <c r="AK16" s="8">
        <f t="shared" si="2"/>
        <v>0</v>
      </c>
      <c r="AL16" s="62">
        <v>0</v>
      </c>
      <c r="AM16" s="33">
        <f t="shared" si="3"/>
        <v>1</v>
      </c>
      <c r="AN16" s="63">
        <f t="shared" si="4"/>
        <v>176</v>
      </c>
      <c r="AO16" s="63">
        <f t="shared" si="5"/>
        <v>0</v>
      </c>
      <c r="AP16" s="63">
        <f t="shared" si="6"/>
        <v>0</v>
      </c>
      <c r="AQ16" s="53">
        <f t="shared" si="7"/>
        <v>1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</row>
    <row r="17" spans="1:56" ht="22" customHeight="1" x14ac:dyDescent="0.35">
      <c r="A17" s="8" t="s">
        <v>65</v>
      </c>
      <c r="B17" s="8" t="s">
        <v>66</v>
      </c>
      <c r="C17" s="8" t="s">
        <v>45</v>
      </c>
      <c r="D17" s="22" t="s">
        <v>5</v>
      </c>
      <c r="E17" s="22" t="s">
        <v>5</v>
      </c>
      <c r="F17" s="23" t="s">
        <v>7</v>
      </c>
      <c r="G17" s="24" t="s">
        <v>9</v>
      </c>
      <c r="H17" s="22" t="s">
        <v>5</v>
      </c>
      <c r="I17" s="22" t="s">
        <v>5</v>
      </c>
      <c r="J17" s="22" t="s">
        <v>5</v>
      </c>
      <c r="K17" s="22" t="s">
        <v>5</v>
      </c>
      <c r="L17" s="22" t="s">
        <v>5</v>
      </c>
      <c r="M17" s="23" t="s">
        <v>7</v>
      </c>
      <c r="N17" s="24" t="s">
        <v>9</v>
      </c>
      <c r="O17" s="22" t="s">
        <v>5</v>
      </c>
      <c r="P17" s="22" t="s">
        <v>5</v>
      </c>
      <c r="Q17" s="22" t="s">
        <v>5</v>
      </c>
      <c r="R17" s="22" t="s">
        <v>5</v>
      </c>
      <c r="S17" s="22" t="s">
        <v>5</v>
      </c>
      <c r="T17" s="23" t="s">
        <v>7</v>
      </c>
      <c r="U17" s="24" t="s">
        <v>9</v>
      </c>
      <c r="V17" s="22" t="s">
        <v>5</v>
      </c>
      <c r="W17" s="22" t="s">
        <v>5</v>
      </c>
      <c r="X17" s="26" t="s">
        <v>3</v>
      </c>
      <c r="Y17" s="26" t="s">
        <v>3</v>
      </c>
      <c r="Z17" s="26" t="s">
        <v>3</v>
      </c>
      <c r="AA17" s="27" t="s">
        <v>7</v>
      </c>
      <c r="AB17" s="28" t="s">
        <v>11</v>
      </c>
      <c r="AC17" s="26" t="s">
        <v>3</v>
      </c>
      <c r="AD17" s="26" t="s">
        <v>3</v>
      </c>
      <c r="AE17" s="26" t="s">
        <v>3</v>
      </c>
      <c r="AF17" s="26" t="s">
        <v>3</v>
      </c>
      <c r="AG17" s="26" t="s">
        <v>3</v>
      </c>
      <c r="AH17" s="27" t="s">
        <v>7</v>
      </c>
      <c r="AI17" s="8">
        <f t="shared" si="0"/>
        <v>8</v>
      </c>
      <c r="AJ17" s="25">
        <f t="shared" si="1"/>
        <v>14</v>
      </c>
      <c r="AK17" s="29">
        <f t="shared" si="2"/>
        <v>1</v>
      </c>
      <c r="AL17" s="62">
        <v>2</v>
      </c>
      <c r="AM17" s="33">
        <f t="shared" si="3"/>
        <v>10</v>
      </c>
      <c r="AN17" s="63">
        <f t="shared" si="4"/>
        <v>176</v>
      </c>
      <c r="AO17" s="63">
        <f t="shared" si="5"/>
        <v>0</v>
      </c>
      <c r="AP17" s="63">
        <f t="shared" si="6"/>
        <v>0</v>
      </c>
      <c r="AQ17" s="53">
        <f t="shared" si="7"/>
        <v>10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</row>
    <row r="18" spans="1:56" ht="22" customHeight="1" x14ac:dyDescent="0.35">
      <c r="A18" s="8" t="s">
        <v>67</v>
      </c>
      <c r="B18" s="8" t="s">
        <v>68</v>
      </c>
      <c r="C18" s="8" t="s">
        <v>45</v>
      </c>
      <c r="D18" s="22" t="s">
        <v>5</v>
      </c>
      <c r="E18" s="22" t="s">
        <v>5</v>
      </c>
      <c r="F18" s="23" t="s">
        <v>7</v>
      </c>
      <c r="G18" s="24" t="s">
        <v>9</v>
      </c>
      <c r="H18" s="22" t="s">
        <v>5</v>
      </c>
      <c r="I18" s="22" t="s">
        <v>5</v>
      </c>
      <c r="J18" s="26" t="s">
        <v>3</v>
      </c>
      <c r="K18" s="26" t="s">
        <v>3</v>
      </c>
      <c r="L18" s="26" t="s">
        <v>3</v>
      </c>
      <c r="M18" s="27" t="s">
        <v>7</v>
      </c>
      <c r="N18" s="24" t="s">
        <v>9</v>
      </c>
      <c r="O18" s="22" t="s">
        <v>5</v>
      </c>
      <c r="P18" s="22" t="s">
        <v>5</v>
      </c>
      <c r="Q18" s="22" t="s">
        <v>5</v>
      </c>
      <c r="R18" s="26" t="s">
        <v>3</v>
      </c>
      <c r="S18" s="26" t="s">
        <v>3</v>
      </c>
      <c r="T18" s="23" t="s">
        <v>7</v>
      </c>
      <c r="U18" s="24" t="s">
        <v>9</v>
      </c>
      <c r="V18" s="22" t="s">
        <v>5</v>
      </c>
      <c r="W18" s="22" t="s">
        <v>5</v>
      </c>
      <c r="X18" s="22" t="s">
        <v>5</v>
      </c>
      <c r="Y18" s="22" t="s">
        <v>5</v>
      </c>
      <c r="Z18" s="26" t="s">
        <v>3</v>
      </c>
      <c r="AA18" s="27" t="s">
        <v>7</v>
      </c>
      <c r="AB18" s="28" t="s">
        <v>11</v>
      </c>
      <c r="AC18" s="22" t="s">
        <v>5</v>
      </c>
      <c r="AD18" s="22" t="s">
        <v>5</v>
      </c>
      <c r="AE18" s="22" t="s">
        <v>5</v>
      </c>
      <c r="AF18" s="26" t="s">
        <v>3</v>
      </c>
      <c r="AG18" s="26" t="s">
        <v>3</v>
      </c>
      <c r="AH18" s="27" t="s">
        <v>7</v>
      </c>
      <c r="AI18" s="8">
        <f t="shared" si="0"/>
        <v>8</v>
      </c>
      <c r="AJ18" s="25">
        <f t="shared" si="1"/>
        <v>14</v>
      </c>
      <c r="AK18" s="29">
        <f t="shared" si="2"/>
        <v>1</v>
      </c>
      <c r="AL18" s="62">
        <v>3</v>
      </c>
      <c r="AM18" s="33">
        <f t="shared" si="3"/>
        <v>10.5</v>
      </c>
      <c r="AN18" s="63">
        <f t="shared" si="4"/>
        <v>176</v>
      </c>
      <c r="AO18" s="63">
        <f t="shared" si="5"/>
        <v>1</v>
      </c>
      <c r="AP18" s="63">
        <f t="shared" si="6"/>
        <v>4</v>
      </c>
      <c r="AQ18" s="53">
        <f t="shared" si="7"/>
        <v>10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</row>
    <row r="19" spans="1:56" ht="22" customHeight="1" x14ac:dyDescent="0.35">
      <c r="A19" s="8" t="s">
        <v>69</v>
      </c>
      <c r="B19" s="8" t="s">
        <v>70</v>
      </c>
      <c r="C19" s="8" t="s">
        <v>45</v>
      </c>
      <c r="D19" s="26" t="s">
        <v>3</v>
      </c>
      <c r="E19" s="26" t="s">
        <v>3</v>
      </c>
      <c r="F19" s="27" t="s">
        <v>7</v>
      </c>
      <c r="G19" s="24" t="s">
        <v>9</v>
      </c>
      <c r="H19" s="26" t="s">
        <v>3</v>
      </c>
      <c r="I19" s="26" t="s">
        <v>3</v>
      </c>
      <c r="J19" s="26" t="s">
        <v>3</v>
      </c>
      <c r="K19" s="26" t="s">
        <v>3</v>
      </c>
      <c r="L19" s="26" t="s">
        <v>3</v>
      </c>
      <c r="M19" s="27" t="s">
        <v>7</v>
      </c>
      <c r="N19" s="24" t="s">
        <v>9</v>
      </c>
      <c r="O19" s="26" t="s">
        <v>3</v>
      </c>
      <c r="P19" s="26" t="s">
        <v>3</v>
      </c>
      <c r="Q19" s="26" t="s">
        <v>3</v>
      </c>
      <c r="R19" s="26" t="s">
        <v>3</v>
      </c>
      <c r="S19" s="26" t="s">
        <v>3</v>
      </c>
      <c r="T19" s="27" t="s">
        <v>7</v>
      </c>
      <c r="U19" s="24" t="s">
        <v>9</v>
      </c>
      <c r="V19" s="26" t="s">
        <v>3</v>
      </c>
      <c r="W19" s="26" t="s">
        <v>3</v>
      </c>
      <c r="X19" s="26" t="s">
        <v>3</v>
      </c>
      <c r="Y19" s="22" t="s">
        <v>5</v>
      </c>
      <c r="Z19" s="22" t="s">
        <v>5</v>
      </c>
      <c r="AA19" s="23" t="s">
        <v>7</v>
      </c>
      <c r="AB19" s="24" t="s">
        <v>9</v>
      </c>
      <c r="AC19" s="22" t="s">
        <v>5</v>
      </c>
      <c r="AD19" s="22" t="s">
        <v>5</v>
      </c>
      <c r="AE19" s="22" t="s">
        <v>5</v>
      </c>
      <c r="AF19" s="22" t="s">
        <v>5</v>
      </c>
      <c r="AG19" s="22" t="s">
        <v>5</v>
      </c>
      <c r="AH19" s="23" t="s">
        <v>7</v>
      </c>
      <c r="AI19" s="8">
        <f t="shared" si="0"/>
        <v>15</v>
      </c>
      <c r="AJ19" s="8">
        <f t="shared" si="1"/>
        <v>7</v>
      </c>
      <c r="AK19" s="8">
        <f t="shared" si="2"/>
        <v>0</v>
      </c>
      <c r="AL19" s="62">
        <v>3</v>
      </c>
      <c r="AM19" s="33">
        <f t="shared" si="3"/>
        <v>16.5</v>
      </c>
      <c r="AN19" s="63">
        <f t="shared" si="4"/>
        <v>176</v>
      </c>
      <c r="AO19" s="63">
        <f t="shared" si="5"/>
        <v>0</v>
      </c>
      <c r="AP19" s="63">
        <f t="shared" si="6"/>
        <v>0</v>
      </c>
      <c r="AQ19" s="53">
        <f t="shared" si="7"/>
        <v>16.5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</row>
    <row r="20" spans="1:56" x14ac:dyDescent="0.35"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</row>
    <row r="21" spans="1:56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</row>
    <row r="22" spans="1:56" ht="22" customHeight="1" x14ac:dyDescent="0.35">
      <c r="A22" s="8" t="s">
        <v>72</v>
      </c>
      <c r="B22" s="8" t="s">
        <v>73</v>
      </c>
      <c r="C22" s="8" t="s">
        <v>74</v>
      </c>
      <c r="D22" s="22" t="s">
        <v>5</v>
      </c>
      <c r="E22" s="22" t="s">
        <v>5</v>
      </c>
      <c r="F22" s="23" t="s">
        <v>7</v>
      </c>
      <c r="G22" s="24" t="s">
        <v>9</v>
      </c>
      <c r="H22" s="22" t="s">
        <v>5</v>
      </c>
      <c r="I22" s="22" t="s">
        <v>5</v>
      </c>
      <c r="J22" s="22" t="s">
        <v>5</v>
      </c>
      <c r="K22" s="22" t="s">
        <v>5</v>
      </c>
      <c r="L22" s="22" t="s">
        <v>5</v>
      </c>
      <c r="M22" s="23" t="s">
        <v>7</v>
      </c>
      <c r="N22" s="24" t="s">
        <v>9</v>
      </c>
      <c r="O22" s="22" t="s">
        <v>5</v>
      </c>
      <c r="P22" s="22" t="s">
        <v>5</v>
      </c>
      <c r="Q22" s="22" t="s">
        <v>5</v>
      </c>
      <c r="R22" s="22" t="s">
        <v>5</v>
      </c>
      <c r="S22" s="22" t="s">
        <v>5</v>
      </c>
      <c r="T22" s="23" t="s">
        <v>7</v>
      </c>
      <c r="U22" s="24" t="s">
        <v>9</v>
      </c>
      <c r="V22" s="22" t="s">
        <v>5</v>
      </c>
      <c r="W22" s="22" t="s">
        <v>5</v>
      </c>
      <c r="X22" s="22" t="s">
        <v>5</v>
      </c>
      <c r="Y22" s="22" t="s">
        <v>5</v>
      </c>
      <c r="Z22" s="22" t="s">
        <v>5</v>
      </c>
      <c r="AA22" s="23" t="s">
        <v>7</v>
      </c>
      <c r="AB22" s="24" t="s">
        <v>9</v>
      </c>
      <c r="AC22" s="22" t="s">
        <v>5</v>
      </c>
      <c r="AD22" s="22" t="s">
        <v>5</v>
      </c>
      <c r="AE22" s="22" t="s">
        <v>5</v>
      </c>
      <c r="AF22" s="22" t="s">
        <v>5</v>
      </c>
      <c r="AG22" s="22" t="s">
        <v>5</v>
      </c>
      <c r="AH22" s="23" t="s">
        <v>7</v>
      </c>
      <c r="AI22" s="8">
        <f t="shared" ref="AI22:AI35" si="8">COUNTIF(D22:AH22,"ON")</f>
        <v>0</v>
      </c>
      <c r="AJ22" s="25">
        <f t="shared" ref="AJ22:AJ35" si="9">COUNTIF(D22:AH22,"OFF")</f>
        <v>22</v>
      </c>
      <c r="AK22" s="8">
        <f t="shared" ref="AK22:AK35" si="10">COUNTIF(D22:AH22,"OT")</f>
        <v>0</v>
      </c>
      <c r="AL22" s="62">
        <v>0</v>
      </c>
      <c r="AM22" s="33">
        <f t="shared" ref="AM22:AM35" si="11">AI22+AK22+AL22*0.5</f>
        <v>0</v>
      </c>
      <c r="AN22" s="63">
        <f t="shared" ref="AN22:AN35" si="12">NETWORKDAYS(DATE(2025,5,1),EOMONTH(DATE(2025,5,1),0))*8</f>
        <v>176</v>
      </c>
      <c r="AO22" s="63">
        <f t="shared" ref="AO22:AO35" si="13">MAX(0,COUNTIF(E22,"ON")+COUNTIF(L22,"ON")+COUNTIF(S22,"ON")+COUNTIF(Z22,"ON")+COUNTIF(AG22,"ON")-AL22)</f>
        <v>0</v>
      </c>
      <c r="AP22" s="63">
        <f t="shared" ref="AP22:AP35" si="14">AO22*$AP$2</f>
        <v>0</v>
      </c>
      <c r="AQ22" s="53">
        <f t="shared" ref="AQ22:AQ35" si="15">AM22-AP22/8</f>
        <v>0</v>
      </c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</row>
    <row r="23" spans="1:56" ht="22" customHeight="1" x14ac:dyDescent="0.35">
      <c r="A23" s="8" t="s">
        <v>75</v>
      </c>
      <c r="B23" s="8" t="s">
        <v>76</v>
      </c>
      <c r="C23" s="8" t="s">
        <v>74</v>
      </c>
      <c r="D23" s="22" t="s">
        <v>5</v>
      </c>
      <c r="E23" s="22" t="s">
        <v>5</v>
      </c>
      <c r="F23" s="23" t="s">
        <v>7</v>
      </c>
      <c r="G23" s="24" t="s">
        <v>9</v>
      </c>
      <c r="H23" s="22" t="s">
        <v>5</v>
      </c>
      <c r="I23" s="22" t="s">
        <v>5</v>
      </c>
      <c r="J23" s="22" t="s">
        <v>5</v>
      </c>
      <c r="K23" s="22" t="s">
        <v>5</v>
      </c>
      <c r="L23" s="22" t="s">
        <v>5</v>
      </c>
      <c r="M23" s="23" t="s">
        <v>7</v>
      </c>
      <c r="N23" s="24" t="s">
        <v>9</v>
      </c>
      <c r="O23" s="22" t="s">
        <v>5</v>
      </c>
      <c r="P23" s="22" t="s">
        <v>5</v>
      </c>
      <c r="Q23" s="22" t="s">
        <v>5</v>
      </c>
      <c r="R23" s="22" t="s">
        <v>5</v>
      </c>
      <c r="S23" s="22" t="s">
        <v>5</v>
      </c>
      <c r="T23" s="23" t="s">
        <v>7</v>
      </c>
      <c r="U23" s="24" t="s">
        <v>9</v>
      </c>
      <c r="V23" s="22" t="s">
        <v>5</v>
      </c>
      <c r="W23" s="22" t="s">
        <v>5</v>
      </c>
      <c r="X23" s="22" t="s">
        <v>5</v>
      </c>
      <c r="Y23" s="22" t="s">
        <v>5</v>
      </c>
      <c r="Z23" s="22" t="s">
        <v>5</v>
      </c>
      <c r="AA23" s="23" t="s">
        <v>7</v>
      </c>
      <c r="AB23" s="24" t="s">
        <v>9</v>
      </c>
      <c r="AC23" s="22" t="s">
        <v>5</v>
      </c>
      <c r="AD23" s="22" t="s">
        <v>5</v>
      </c>
      <c r="AE23" s="22" t="s">
        <v>5</v>
      </c>
      <c r="AF23" s="22" t="s">
        <v>5</v>
      </c>
      <c r="AG23" s="22" t="s">
        <v>5</v>
      </c>
      <c r="AH23" s="23" t="s">
        <v>7</v>
      </c>
      <c r="AI23" s="8">
        <f t="shared" si="8"/>
        <v>0</v>
      </c>
      <c r="AJ23" s="25">
        <f t="shared" si="9"/>
        <v>22</v>
      </c>
      <c r="AK23" s="8">
        <f t="shared" si="10"/>
        <v>0</v>
      </c>
      <c r="AL23" s="62">
        <v>0</v>
      </c>
      <c r="AM23" s="33">
        <f t="shared" si="11"/>
        <v>0</v>
      </c>
      <c r="AN23" s="63">
        <f t="shared" si="12"/>
        <v>176</v>
      </c>
      <c r="AO23" s="63">
        <f t="shared" si="13"/>
        <v>0</v>
      </c>
      <c r="AP23" s="63">
        <f t="shared" si="14"/>
        <v>0</v>
      </c>
      <c r="AQ23" s="53">
        <f t="shared" si="15"/>
        <v>0</v>
      </c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</row>
    <row r="24" spans="1:56" ht="22" customHeight="1" x14ac:dyDescent="0.35">
      <c r="A24" s="8" t="s">
        <v>77</v>
      </c>
      <c r="B24" s="8" t="s">
        <v>78</v>
      </c>
      <c r="C24" s="8" t="s">
        <v>74</v>
      </c>
      <c r="D24" s="22" t="s">
        <v>5</v>
      </c>
      <c r="E24" s="22" t="s">
        <v>5</v>
      </c>
      <c r="F24" s="23" t="s">
        <v>7</v>
      </c>
      <c r="G24" s="24" t="s">
        <v>9</v>
      </c>
      <c r="H24" s="22" t="s">
        <v>5</v>
      </c>
      <c r="I24" s="22" t="s">
        <v>5</v>
      </c>
      <c r="J24" s="22" t="s">
        <v>5</v>
      </c>
      <c r="K24" s="22" t="s">
        <v>5</v>
      </c>
      <c r="L24" s="22" t="s">
        <v>5</v>
      </c>
      <c r="M24" s="23" t="s">
        <v>7</v>
      </c>
      <c r="N24" s="24" t="s">
        <v>9</v>
      </c>
      <c r="O24" s="22" t="s">
        <v>5</v>
      </c>
      <c r="P24" s="22" t="s">
        <v>5</v>
      </c>
      <c r="Q24" s="22" t="s">
        <v>5</v>
      </c>
      <c r="R24" s="22" t="s">
        <v>5</v>
      </c>
      <c r="S24" s="22" t="s">
        <v>5</v>
      </c>
      <c r="T24" s="23" t="s">
        <v>7</v>
      </c>
      <c r="U24" s="24" t="s">
        <v>9</v>
      </c>
      <c r="V24" s="22" t="s">
        <v>5</v>
      </c>
      <c r="W24" s="22" t="s">
        <v>5</v>
      </c>
      <c r="X24" s="22" t="s">
        <v>5</v>
      </c>
      <c r="Y24" s="22" t="s">
        <v>5</v>
      </c>
      <c r="Z24" s="22" t="s">
        <v>5</v>
      </c>
      <c r="AA24" s="23" t="s">
        <v>7</v>
      </c>
      <c r="AB24" s="24" t="s">
        <v>9</v>
      </c>
      <c r="AC24" s="22" t="s">
        <v>5</v>
      </c>
      <c r="AD24" s="22" t="s">
        <v>5</v>
      </c>
      <c r="AE24" s="22" t="s">
        <v>5</v>
      </c>
      <c r="AF24" s="22" t="s">
        <v>5</v>
      </c>
      <c r="AG24" s="22" t="s">
        <v>5</v>
      </c>
      <c r="AH24" s="23" t="s">
        <v>7</v>
      </c>
      <c r="AI24" s="8">
        <f t="shared" si="8"/>
        <v>0</v>
      </c>
      <c r="AJ24" s="25">
        <f t="shared" si="9"/>
        <v>22</v>
      </c>
      <c r="AK24" s="8">
        <f t="shared" si="10"/>
        <v>0</v>
      </c>
      <c r="AL24" s="62">
        <v>0</v>
      </c>
      <c r="AM24" s="33">
        <f t="shared" si="11"/>
        <v>0</v>
      </c>
      <c r="AN24" s="63">
        <f t="shared" si="12"/>
        <v>176</v>
      </c>
      <c r="AO24" s="63">
        <f t="shared" si="13"/>
        <v>0</v>
      </c>
      <c r="AP24" s="63">
        <f t="shared" si="14"/>
        <v>0</v>
      </c>
      <c r="AQ24" s="53">
        <f t="shared" si="15"/>
        <v>0</v>
      </c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</row>
    <row r="25" spans="1:56" ht="22" customHeight="1" x14ac:dyDescent="0.35">
      <c r="A25" s="8" t="s">
        <v>79</v>
      </c>
      <c r="B25" s="8" t="s">
        <v>80</v>
      </c>
      <c r="C25" s="8" t="s">
        <v>74</v>
      </c>
      <c r="D25" s="26" t="s">
        <v>3</v>
      </c>
      <c r="E25" s="26" t="s">
        <v>3</v>
      </c>
      <c r="F25" s="27" t="s">
        <v>7</v>
      </c>
      <c r="G25" s="28" t="s">
        <v>11</v>
      </c>
      <c r="H25" s="26" t="s">
        <v>3</v>
      </c>
      <c r="I25" s="26" t="s">
        <v>3</v>
      </c>
      <c r="J25" s="26" t="s">
        <v>3</v>
      </c>
      <c r="K25" s="26" t="s">
        <v>3</v>
      </c>
      <c r="L25" s="26" t="s">
        <v>3</v>
      </c>
      <c r="M25" s="27" t="s">
        <v>7</v>
      </c>
      <c r="N25" s="24" t="s">
        <v>9</v>
      </c>
      <c r="O25" s="26" t="s">
        <v>3</v>
      </c>
      <c r="P25" s="26" t="s">
        <v>3</v>
      </c>
      <c r="Q25" s="26" t="s">
        <v>3</v>
      </c>
      <c r="R25" s="26" t="s">
        <v>3</v>
      </c>
      <c r="S25" s="26" t="s">
        <v>3</v>
      </c>
      <c r="T25" s="27" t="s">
        <v>7</v>
      </c>
      <c r="U25" s="28" t="s">
        <v>11</v>
      </c>
      <c r="V25" s="26" t="s">
        <v>3</v>
      </c>
      <c r="W25" s="26" t="s">
        <v>3</v>
      </c>
      <c r="X25" s="26" t="s">
        <v>3</v>
      </c>
      <c r="Y25" s="26" t="s">
        <v>3</v>
      </c>
      <c r="Z25" s="26" t="s">
        <v>3</v>
      </c>
      <c r="AA25" s="27" t="s">
        <v>7</v>
      </c>
      <c r="AB25" s="28" t="s">
        <v>11</v>
      </c>
      <c r="AC25" s="26" t="s">
        <v>3</v>
      </c>
      <c r="AD25" s="26" t="s">
        <v>3</v>
      </c>
      <c r="AE25" s="26" t="s">
        <v>3</v>
      </c>
      <c r="AF25" s="26" t="s">
        <v>3</v>
      </c>
      <c r="AG25" s="26" t="s">
        <v>3</v>
      </c>
      <c r="AH25" s="27" t="s">
        <v>7</v>
      </c>
      <c r="AI25" s="8">
        <f t="shared" si="8"/>
        <v>22</v>
      </c>
      <c r="AJ25" s="8">
        <f t="shared" si="9"/>
        <v>0</v>
      </c>
      <c r="AK25" s="29">
        <f t="shared" si="10"/>
        <v>3</v>
      </c>
      <c r="AL25" s="62">
        <v>5</v>
      </c>
      <c r="AM25" s="33">
        <f t="shared" si="11"/>
        <v>27.5</v>
      </c>
      <c r="AN25" s="63">
        <f t="shared" si="12"/>
        <v>176</v>
      </c>
      <c r="AO25" s="63">
        <f t="shared" si="13"/>
        <v>0</v>
      </c>
      <c r="AP25" s="63">
        <f t="shared" si="14"/>
        <v>0</v>
      </c>
      <c r="AQ25" s="53">
        <f t="shared" si="15"/>
        <v>27.5</v>
      </c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</row>
    <row r="26" spans="1:56" ht="22" customHeight="1" x14ac:dyDescent="0.35">
      <c r="A26" s="8" t="s">
        <v>81</v>
      </c>
      <c r="B26" s="8" t="s">
        <v>82</v>
      </c>
      <c r="C26" s="8" t="s">
        <v>74</v>
      </c>
      <c r="D26" s="26" t="s">
        <v>3</v>
      </c>
      <c r="E26" s="22" t="s">
        <v>5</v>
      </c>
      <c r="F26" s="23" t="s">
        <v>7</v>
      </c>
      <c r="G26" s="24" t="s">
        <v>9</v>
      </c>
      <c r="H26" s="22" t="s">
        <v>5</v>
      </c>
      <c r="I26" s="26" t="s">
        <v>3</v>
      </c>
      <c r="J26" s="26" t="s">
        <v>3</v>
      </c>
      <c r="K26" s="26" t="s">
        <v>3</v>
      </c>
      <c r="L26" s="26" t="s">
        <v>3</v>
      </c>
      <c r="M26" s="27" t="s">
        <v>7</v>
      </c>
      <c r="N26" s="24" t="s">
        <v>9</v>
      </c>
      <c r="O26" s="26" t="s">
        <v>3</v>
      </c>
      <c r="P26" s="26" t="s">
        <v>3</v>
      </c>
      <c r="Q26" s="26" t="s">
        <v>3</v>
      </c>
      <c r="R26" s="26" t="s">
        <v>3</v>
      </c>
      <c r="S26" s="26" t="s">
        <v>3</v>
      </c>
      <c r="T26" s="27" t="s">
        <v>7</v>
      </c>
      <c r="U26" s="28" t="s">
        <v>11</v>
      </c>
      <c r="V26" s="26" t="s">
        <v>3</v>
      </c>
      <c r="W26" s="26" t="s">
        <v>3</v>
      </c>
      <c r="X26" s="26" t="s">
        <v>3</v>
      </c>
      <c r="Y26" s="26" t="s">
        <v>3</v>
      </c>
      <c r="Z26" s="26" t="s">
        <v>3</v>
      </c>
      <c r="AA26" s="27" t="s">
        <v>7</v>
      </c>
      <c r="AB26" s="28" t="s">
        <v>11</v>
      </c>
      <c r="AC26" s="26" t="s">
        <v>3</v>
      </c>
      <c r="AD26" s="26" t="s">
        <v>3</v>
      </c>
      <c r="AE26" s="26" t="s">
        <v>3</v>
      </c>
      <c r="AF26" s="26" t="s">
        <v>3</v>
      </c>
      <c r="AG26" s="26" t="s">
        <v>3</v>
      </c>
      <c r="AH26" s="27" t="s">
        <v>7</v>
      </c>
      <c r="AI26" s="8">
        <f t="shared" si="8"/>
        <v>20</v>
      </c>
      <c r="AJ26" s="8">
        <f t="shared" si="9"/>
        <v>2</v>
      </c>
      <c r="AK26" s="29">
        <f t="shared" si="10"/>
        <v>2</v>
      </c>
      <c r="AL26" s="62">
        <v>4</v>
      </c>
      <c r="AM26" s="33">
        <f t="shared" si="11"/>
        <v>24</v>
      </c>
      <c r="AN26" s="63">
        <f t="shared" si="12"/>
        <v>176</v>
      </c>
      <c r="AO26" s="63">
        <f t="shared" si="13"/>
        <v>0</v>
      </c>
      <c r="AP26" s="63">
        <f t="shared" si="14"/>
        <v>0</v>
      </c>
      <c r="AQ26" s="53">
        <f t="shared" si="15"/>
        <v>24</v>
      </c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</row>
    <row r="27" spans="1:56" ht="22" customHeight="1" x14ac:dyDescent="0.35">
      <c r="A27" s="8" t="s">
        <v>83</v>
      </c>
      <c r="B27" s="8" t="s">
        <v>84</v>
      </c>
      <c r="C27" s="8" t="s">
        <v>74</v>
      </c>
      <c r="D27" s="26" t="s">
        <v>3</v>
      </c>
      <c r="E27" s="26" t="s">
        <v>3</v>
      </c>
      <c r="F27" s="27" t="s">
        <v>7</v>
      </c>
      <c r="G27" s="28" t="s">
        <v>11</v>
      </c>
      <c r="H27" s="26" t="s">
        <v>3</v>
      </c>
      <c r="I27" s="26" t="s">
        <v>3</v>
      </c>
      <c r="J27" s="26" t="s">
        <v>3</v>
      </c>
      <c r="K27" s="26" t="s">
        <v>3</v>
      </c>
      <c r="L27" s="26" t="s">
        <v>3</v>
      </c>
      <c r="M27" s="27" t="s">
        <v>7</v>
      </c>
      <c r="N27" s="24" t="s">
        <v>9</v>
      </c>
      <c r="O27" s="26" t="s">
        <v>3</v>
      </c>
      <c r="P27" s="26" t="s">
        <v>3</v>
      </c>
      <c r="Q27" s="26" t="s">
        <v>3</v>
      </c>
      <c r="R27" s="26" t="s">
        <v>3</v>
      </c>
      <c r="S27" s="26" t="s">
        <v>3</v>
      </c>
      <c r="T27" s="27" t="s">
        <v>7</v>
      </c>
      <c r="U27" s="28" t="s">
        <v>11</v>
      </c>
      <c r="V27" s="26" t="s">
        <v>3</v>
      </c>
      <c r="W27" s="26" t="s">
        <v>3</v>
      </c>
      <c r="X27" s="26" t="s">
        <v>3</v>
      </c>
      <c r="Y27" s="26" t="s">
        <v>3</v>
      </c>
      <c r="Z27" s="26" t="s">
        <v>3</v>
      </c>
      <c r="AA27" s="23" t="s">
        <v>7</v>
      </c>
      <c r="AB27" s="24" t="s">
        <v>9</v>
      </c>
      <c r="AC27" s="26" t="s">
        <v>3</v>
      </c>
      <c r="AD27" s="26" t="s">
        <v>3</v>
      </c>
      <c r="AE27" s="26" t="s">
        <v>3</v>
      </c>
      <c r="AF27" s="26" t="s">
        <v>3</v>
      </c>
      <c r="AG27" s="26" t="s">
        <v>3</v>
      </c>
      <c r="AH27" s="27" t="s">
        <v>7</v>
      </c>
      <c r="AI27" s="8">
        <f t="shared" si="8"/>
        <v>22</v>
      </c>
      <c r="AJ27" s="8">
        <f t="shared" si="9"/>
        <v>0</v>
      </c>
      <c r="AK27" s="29">
        <f t="shared" si="10"/>
        <v>2</v>
      </c>
      <c r="AL27" s="62">
        <v>4</v>
      </c>
      <c r="AM27" s="33">
        <f t="shared" si="11"/>
        <v>26</v>
      </c>
      <c r="AN27" s="63">
        <f t="shared" si="12"/>
        <v>176</v>
      </c>
      <c r="AO27" s="63">
        <f t="shared" si="13"/>
        <v>1</v>
      </c>
      <c r="AP27" s="63">
        <f t="shared" si="14"/>
        <v>4</v>
      </c>
      <c r="AQ27" s="53">
        <f t="shared" si="15"/>
        <v>25.5</v>
      </c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</row>
    <row r="28" spans="1:56" ht="22" customHeight="1" x14ac:dyDescent="0.35">
      <c r="A28" s="8" t="s">
        <v>85</v>
      </c>
      <c r="B28" s="8" t="s">
        <v>86</v>
      </c>
      <c r="C28" s="8" t="s">
        <v>74</v>
      </c>
      <c r="D28" s="26" t="s">
        <v>3</v>
      </c>
      <c r="E28" s="26" t="s">
        <v>3</v>
      </c>
      <c r="F28" s="27" t="s">
        <v>7</v>
      </c>
      <c r="G28" s="28" t="s">
        <v>11</v>
      </c>
      <c r="H28" s="26" t="s">
        <v>3</v>
      </c>
      <c r="I28" s="26" t="s">
        <v>3</v>
      </c>
      <c r="J28" s="26" t="s">
        <v>3</v>
      </c>
      <c r="K28" s="26" t="s">
        <v>3</v>
      </c>
      <c r="L28" s="26" t="s">
        <v>3</v>
      </c>
      <c r="M28" s="23" t="s">
        <v>7</v>
      </c>
      <c r="N28" s="24" t="s">
        <v>9</v>
      </c>
      <c r="O28" s="22" t="s">
        <v>5</v>
      </c>
      <c r="P28" s="22" t="s">
        <v>5</v>
      </c>
      <c r="Q28" s="22" t="s">
        <v>5</v>
      </c>
      <c r="R28" s="26" t="s">
        <v>3</v>
      </c>
      <c r="S28" s="26" t="s">
        <v>3</v>
      </c>
      <c r="T28" s="27" t="s">
        <v>7</v>
      </c>
      <c r="U28" s="28" t="s">
        <v>11</v>
      </c>
      <c r="V28" s="26" t="s">
        <v>3</v>
      </c>
      <c r="W28" s="26" t="s">
        <v>3</v>
      </c>
      <c r="X28" s="26" t="s">
        <v>3</v>
      </c>
      <c r="Y28" s="26" t="s">
        <v>3</v>
      </c>
      <c r="Z28" s="26" t="s">
        <v>3</v>
      </c>
      <c r="AA28" s="27" t="s">
        <v>7</v>
      </c>
      <c r="AB28" s="28" t="s">
        <v>11</v>
      </c>
      <c r="AC28" s="26" t="s">
        <v>3</v>
      </c>
      <c r="AD28" s="26" t="s">
        <v>3</v>
      </c>
      <c r="AE28" s="26" t="s">
        <v>3</v>
      </c>
      <c r="AF28" s="22" t="s">
        <v>5</v>
      </c>
      <c r="AG28" s="22" t="s">
        <v>5</v>
      </c>
      <c r="AH28" s="27" t="s">
        <v>7</v>
      </c>
      <c r="AI28" s="8">
        <f t="shared" si="8"/>
        <v>17</v>
      </c>
      <c r="AJ28" s="8">
        <f t="shared" si="9"/>
        <v>5</v>
      </c>
      <c r="AK28" s="29">
        <f t="shared" si="10"/>
        <v>3</v>
      </c>
      <c r="AL28" s="62">
        <v>4</v>
      </c>
      <c r="AM28" s="33">
        <f t="shared" si="11"/>
        <v>22</v>
      </c>
      <c r="AN28" s="63">
        <f t="shared" si="12"/>
        <v>176</v>
      </c>
      <c r="AO28" s="63">
        <f t="shared" si="13"/>
        <v>0</v>
      </c>
      <c r="AP28" s="63">
        <f t="shared" si="14"/>
        <v>0</v>
      </c>
      <c r="AQ28" s="53">
        <f t="shared" si="15"/>
        <v>22</v>
      </c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</row>
    <row r="29" spans="1:56" ht="22" customHeight="1" x14ac:dyDescent="0.35">
      <c r="A29" s="8" t="s">
        <v>87</v>
      </c>
      <c r="B29" s="8" t="s">
        <v>88</v>
      </c>
      <c r="C29" s="8" t="s">
        <v>74</v>
      </c>
      <c r="D29" s="26" t="s">
        <v>3</v>
      </c>
      <c r="E29" s="26" t="s">
        <v>3</v>
      </c>
      <c r="F29" s="27" t="s">
        <v>7</v>
      </c>
      <c r="G29" s="28" t="s">
        <v>11</v>
      </c>
      <c r="H29" s="26" t="s">
        <v>3</v>
      </c>
      <c r="I29" s="26" t="s">
        <v>3</v>
      </c>
      <c r="J29" s="26" t="s">
        <v>3</v>
      </c>
      <c r="K29" s="26" t="s">
        <v>3</v>
      </c>
      <c r="L29" s="26" t="s">
        <v>3</v>
      </c>
      <c r="M29" s="27" t="s">
        <v>7</v>
      </c>
      <c r="N29" s="24" t="s">
        <v>9</v>
      </c>
      <c r="O29" s="26" t="s">
        <v>3</v>
      </c>
      <c r="P29" s="26" t="s">
        <v>3</v>
      </c>
      <c r="Q29" s="26" t="s">
        <v>3</v>
      </c>
      <c r="R29" s="26" t="s">
        <v>3</v>
      </c>
      <c r="S29" s="26" t="s">
        <v>3</v>
      </c>
      <c r="T29" s="27" t="s">
        <v>7</v>
      </c>
      <c r="U29" s="28" t="s">
        <v>11</v>
      </c>
      <c r="V29" s="26" t="s">
        <v>3</v>
      </c>
      <c r="W29" s="26" t="s">
        <v>3</v>
      </c>
      <c r="X29" s="26" t="s">
        <v>3</v>
      </c>
      <c r="Y29" s="26" t="s">
        <v>3</v>
      </c>
      <c r="Z29" s="26" t="s">
        <v>3</v>
      </c>
      <c r="AA29" s="23" t="s">
        <v>7</v>
      </c>
      <c r="AB29" s="24" t="s">
        <v>9</v>
      </c>
      <c r="AC29" s="26" t="s">
        <v>3</v>
      </c>
      <c r="AD29" s="26" t="s">
        <v>3</v>
      </c>
      <c r="AE29" s="26" t="s">
        <v>3</v>
      </c>
      <c r="AF29" s="26" t="s">
        <v>3</v>
      </c>
      <c r="AG29" s="26" t="s">
        <v>3</v>
      </c>
      <c r="AH29" s="27" t="s">
        <v>7</v>
      </c>
      <c r="AI29" s="8">
        <f t="shared" si="8"/>
        <v>22</v>
      </c>
      <c r="AJ29" s="8">
        <f t="shared" si="9"/>
        <v>0</v>
      </c>
      <c r="AK29" s="29">
        <f t="shared" si="10"/>
        <v>2</v>
      </c>
      <c r="AL29" s="62">
        <v>4</v>
      </c>
      <c r="AM29" s="33">
        <f t="shared" si="11"/>
        <v>26</v>
      </c>
      <c r="AN29" s="63">
        <f t="shared" si="12"/>
        <v>176</v>
      </c>
      <c r="AO29" s="63">
        <f t="shared" si="13"/>
        <v>1</v>
      </c>
      <c r="AP29" s="63">
        <f t="shared" si="14"/>
        <v>4</v>
      </c>
      <c r="AQ29" s="53">
        <f t="shared" si="15"/>
        <v>25.5</v>
      </c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</row>
    <row r="30" spans="1:56" ht="22" customHeight="1" x14ac:dyDescent="0.35">
      <c r="A30" s="8" t="s">
        <v>89</v>
      </c>
      <c r="B30" s="8" t="s">
        <v>90</v>
      </c>
      <c r="C30" s="8" t="s">
        <v>74</v>
      </c>
      <c r="D30" s="26" t="s">
        <v>3</v>
      </c>
      <c r="E30" s="26" t="s">
        <v>3</v>
      </c>
      <c r="F30" s="27" t="s">
        <v>7</v>
      </c>
      <c r="G30" s="24" t="s">
        <v>9</v>
      </c>
      <c r="H30" s="26" t="s">
        <v>3</v>
      </c>
      <c r="I30" s="26" t="s">
        <v>3</v>
      </c>
      <c r="J30" s="26" t="s">
        <v>3</v>
      </c>
      <c r="K30" s="26" t="s">
        <v>3</v>
      </c>
      <c r="L30" s="26" t="s">
        <v>3</v>
      </c>
      <c r="M30" s="27" t="s">
        <v>7</v>
      </c>
      <c r="N30" s="24" t="s">
        <v>9</v>
      </c>
      <c r="O30" s="26" t="s">
        <v>3</v>
      </c>
      <c r="P30" s="26" t="s">
        <v>3</v>
      </c>
      <c r="Q30" s="26" t="s">
        <v>3</v>
      </c>
      <c r="R30" s="26" t="s">
        <v>3</v>
      </c>
      <c r="S30" s="26" t="s">
        <v>3</v>
      </c>
      <c r="T30" s="27" t="s">
        <v>7</v>
      </c>
      <c r="U30" s="28" t="s">
        <v>11</v>
      </c>
      <c r="V30" s="26" t="s">
        <v>3</v>
      </c>
      <c r="W30" s="22" t="s">
        <v>5</v>
      </c>
      <c r="X30" s="26" t="s">
        <v>3</v>
      </c>
      <c r="Y30" s="26" t="s">
        <v>3</v>
      </c>
      <c r="Z30" s="26" t="s">
        <v>3</v>
      </c>
      <c r="AA30" s="23" t="s">
        <v>7</v>
      </c>
      <c r="AB30" s="24" t="s">
        <v>9</v>
      </c>
      <c r="AC30" s="26" t="s">
        <v>3</v>
      </c>
      <c r="AD30" s="26" t="s">
        <v>3</v>
      </c>
      <c r="AE30" s="26" t="s">
        <v>3</v>
      </c>
      <c r="AF30" s="26" t="s">
        <v>3</v>
      </c>
      <c r="AG30" s="26" t="s">
        <v>3</v>
      </c>
      <c r="AH30" s="27" t="s">
        <v>7</v>
      </c>
      <c r="AI30" s="8">
        <f t="shared" si="8"/>
        <v>21</v>
      </c>
      <c r="AJ30" s="8">
        <f t="shared" si="9"/>
        <v>1</v>
      </c>
      <c r="AK30" s="29">
        <f t="shared" si="10"/>
        <v>1</v>
      </c>
      <c r="AL30" s="62">
        <v>4</v>
      </c>
      <c r="AM30" s="33">
        <f t="shared" si="11"/>
        <v>24</v>
      </c>
      <c r="AN30" s="63">
        <f t="shared" si="12"/>
        <v>176</v>
      </c>
      <c r="AO30" s="63">
        <f t="shared" si="13"/>
        <v>1</v>
      </c>
      <c r="AP30" s="63">
        <f t="shared" si="14"/>
        <v>4</v>
      </c>
      <c r="AQ30" s="53">
        <f t="shared" si="15"/>
        <v>23.5</v>
      </c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</row>
    <row r="31" spans="1:56" ht="22" customHeight="1" x14ac:dyDescent="0.35">
      <c r="A31" s="8" t="s">
        <v>91</v>
      </c>
      <c r="B31" s="8" t="s">
        <v>92</v>
      </c>
      <c r="C31" s="8" t="s">
        <v>74</v>
      </c>
      <c r="D31" s="22" t="s">
        <v>5</v>
      </c>
      <c r="E31" s="22" t="s">
        <v>5</v>
      </c>
      <c r="F31" s="23" t="s">
        <v>7</v>
      </c>
      <c r="G31" s="24" t="s">
        <v>9</v>
      </c>
      <c r="H31" s="22" t="s">
        <v>5</v>
      </c>
      <c r="I31" s="22" t="s">
        <v>5</v>
      </c>
      <c r="J31" s="22" t="s">
        <v>5</v>
      </c>
      <c r="K31" s="22" t="s">
        <v>5</v>
      </c>
      <c r="L31" s="22" t="s">
        <v>5</v>
      </c>
      <c r="M31" s="23" t="s">
        <v>7</v>
      </c>
      <c r="N31" s="24" t="s">
        <v>9</v>
      </c>
      <c r="O31" s="22" t="s">
        <v>5</v>
      </c>
      <c r="P31" s="22" t="s">
        <v>5</v>
      </c>
      <c r="Q31" s="22" t="s">
        <v>5</v>
      </c>
      <c r="R31" s="22" t="s">
        <v>5</v>
      </c>
      <c r="S31" s="22" t="s">
        <v>5</v>
      </c>
      <c r="T31" s="23" t="s">
        <v>7</v>
      </c>
      <c r="U31" s="24" t="s">
        <v>9</v>
      </c>
      <c r="V31" s="26" t="s">
        <v>3</v>
      </c>
      <c r="W31" s="26" t="s">
        <v>3</v>
      </c>
      <c r="X31" s="26" t="s">
        <v>3</v>
      </c>
      <c r="Y31" s="26" t="s">
        <v>3</v>
      </c>
      <c r="Z31" s="26" t="s">
        <v>3</v>
      </c>
      <c r="AA31" s="27" t="s">
        <v>7</v>
      </c>
      <c r="AB31" s="28" t="s">
        <v>11</v>
      </c>
      <c r="AC31" s="26" t="s">
        <v>3</v>
      </c>
      <c r="AD31" s="26" t="s">
        <v>3</v>
      </c>
      <c r="AE31" s="26" t="s">
        <v>3</v>
      </c>
      <c r="AF31" s="26" t="s">
        <v>3</v>
      </c>
      <c r="AG31" s="26" t="s">
        <v>3</v>
      </c>
      <c r="AH31" s="23" t="s">
        <v>7</v>
      </c>
      <c r="AI31" s="8">
        <f t="shared" si="8"/>
        <v>10</v>
      </c>
      <c r="AJ31" s="25">
        <f t="shared" si="9"/>
        <v>12</v>
      </c>
      <c r="AK31" s="29">
        <f t="shared" si="10"/>
        <v>1</v>
      </c>
      <c r="AL31" s="62">
        <v>1</v>
      </c>
      <c r="AM31" s="33">
        <f t="shared" si="11"/>
        <v>11.5</v>
      </c>
      <c r="AN31" s="63">
        <f t="shared" si="12"/>
        <v>176</v>
      </c>
      <c r="AO31" s="63">
        <f t="shared" si="13"/>
        <v>1</v>
      </c>
      <c r="AP31" s="63">
        <f t="shared" si="14"/>
        <v>4</v>
      </c>
      <c r="AQ31" s="53">
        <f t="shared" si="15"/>
        <v>11</v>
      </c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 spans="1:56" ht="22" customHeight="1" x14ac:dyDescent="0.35">
      <c r="A32" s="8" t="s">
        <v>93</v>
      </c>
      <c r="B32" s="8" t="s">
        <v>94</v>
      </c>
      <c r="C32" s="8" t="s">
        <v>74</v>
      </c>
      <c r="D32" s="22" t="s">
        <v>5</v>
      </c>
      <c r="E32" s="22" t="s">
        <v>5</v>
      </c>
      <c r="F32" s="23" t="s">
        <v>7</v>
      </c>
      <c r="G32" s="24" t="s">
        <v>9</v>
      </c>
      <c r="H32" s="22" t="s">
        <v>5</v>
      </c>
      <c r="I32" s="22" t="s">
        <v>5</v>
      </c>
      <c r="J32" s="22" t="s">
        <v>5</v>
      </c>
      <c r="K32" s="22" t="s">
        <v>5</v>
      </c>
      <c r="L32" s="22" t="s">
        <v>5</v>
      </c>
      <c r="M32" s="23" t="s">
        <v>7</v>
      </c>
      <c r="N32" s="24" t="s">
        <v>9</v>
      </c>
      <c r="O32" s="22" t="s">
        <v>5</v>
      </c>
      <c r="P32" s="22" t="s">
        <v>5</v>
      </c>
      <c r="Q32" s="22" t="s">
        <v>5</v>
      </c>
      <c r="R32" s="22" t="s">
        <v>5</v>
      </c>
      <c r="S32" s="22" t="s">
        <v>5</v>
      </c>
      <c r="T32" s="23" t="s">
        <v>7</v>
      </c>
      <c r="U32" s="24" t="s">
        <v>9</v>
      </c>
      <c r="V32" s="26" t="s">
        <v>3</v>
      </c>
      <c r="W32" s="26" t="s">
        <v>3</v>
      </c>
      <c r="X32" s="26" t="s">
        <v>3</v>
      </c>
      <c r="Y32" s="26" t="s">
        <v>3</v>
      </c>
      <c r="Z32" s="26" t="s">
        <v>3</v>
      </c>
      <c r="AA32" s="23" t="s">
        <v>7</v>
      </c>
      <c r="AB32" s="28" t="s">
        <v>11</v>
      </c>
      <c r="AC32" s="26" t="s">
        <v>3</v>
      </c>
      <c r="AD32" s="26" t="s">
        <v>3</v>
      </c>
      <c r="AE32" s="26" t="s">
        <v>3</v>
      </c>
      <c r="AF32" s="26" t="s">
        <v>3</v>
      </c>
      <c r="AG32" s="26" t="s">
        <v>3</v>
      </c>
      <c r="AH32" s="23" t="s">
        <v>7</v>
      </c>
      <c r="AI32" s="8">
        <f t="shared" si="8"/>
        <v>10</v>
      </c>
      <c r="AJ32" s="25">
        <f t="shared" si="9"/>
        <v>12</v>
      </c>
      <c r="AK32" s="29">
        <f t="shared" si="10"/>
        <v>1</v>
      </c>
      <c r="AL32" s="62">
        <v>0</v>
      </c>
      <c r="AM32" s="33">
        <f t="shared" si="11"/>
        <v>11</v>
      </c>
      <c r="AN32" s="63">
        <f t="shared" si="12"/>
        <v>176</v>
      </c>
      <c r="AO32" s="63">
        <f t="shared" si="13"/>
        <v>2</v>
      </c>
      <c r="AP32" s="63">
        <f t="shared" si="14"/>
        <v>8</v>
      </c>
      <c r="AQ32" s="53">
        <f t="shared" si="15"/>
        <v>10</v>
      </c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</row>
    <row r="33" spans="1:56" ht="22" customHeight="1" x14ac:dyDescent="0.35">
      <c r="A33" s="8" t="s">
        <v>95</v>
      </c>
      <c r="B33" s="8" t="s">
        <v>96</v>
      </c>
      <c r="C33" s="8" t="s">
        <v>74</v>
      </c>
      <c r="D33" s="26" t="s">
        <v>3</v>
      </c>
      <c r="E33" s="22" t="s">
        <v>5</v>
      </c>
      <c r="F33" s="23" t="s">
        <v>7</v>
      </c>
      <c r="G33" s="24" t="s">
        <v>9</v>
      </c>
      <c r="H33" s="22" t="s">
        <v>5</v>
      </c>
      <c r="I33" s="26" t="s">
        <v>3</v>
      </c>
      <c r="J33" s="26" t="s">
        <v>3</v>
      </c>
      <c r="K33" s="26" t="s">
        <v>3</v>
      </c>
      <c r="L33" s="26" t="s">
        <v>3</v>
      </c>
      <c r="M33" s="27" t="s">
        <v>7</v>
      </c>
      <c r="N33" s="24" t="s">
        <v>9</v>
      </c>
      <c r="O33" s="26" t="s">
        <v>3</v>
      </c>
      <c r="P33" s="26" t="s">
        <v>3</v>
      </c>
      <c r="Q33" s="26" t="s">
        <v>3</v>
      </c>
      <c r="R33" s="26" t="s">
        <v>3</v>
      </c>
      <c r="S33" s="26" t="s">
        <v>3</v>
      </c>
      <c r="T33" s="23" t="s">
        <v>7</v>
      </c>
      <c r="U33" s="24" t="s">
        <v>9</v>
      </c>
      <c r="V33" s="26" t="s">
        <v>3</v>
      </c>
      <c r="W33" s="26" t="s">
        <v>3</v>
      </c>
      <c r="X33" s="26" t="s">
        <v>3</v>
      </c>
      <c r="Y33" s="26" t="s">
        <v>3</v>
      </c>
      <c r="Z33" s="26" t="s">
        <v>3</v>
      </c>
      <c r="AA33" s="27" t="s">
        <v>7</v>
      </c>
      <c r="AB33" s="24" t="s">
        <v>9</v>
      </c>
      <c r="AC33" s="26" t="s">
        <v>3</v>
      </c>
      <c r="AD33" s="26" t="s">
        <v>3</v>
      </c>
      <c r="AE33" s="26" t="s">
        <v>3</v>
      </c>
      <c r="AF33" s="26" t="s">
        <v>3</v>
      </c>
      <c r="AG33" s="26" t="s">
        <v>3</v>
      </c>
      <c r="AH33" s="23" t="s">
        <v>7</v>
      </c>
      <c r="AI33" s="8">
        <f t="shared" si="8"/>
        <v>20</v>
      </c>
      <c r="AJ33" s="8">
        <f t="shared" si="9"/>
        <v>2</v>
      </c>
      <c r="AK33" s="8">
        <f t="shared" si="10"/>
        <v>0</v>
      </c>
      <c r="AL33" s="62">
        <v>2</v>
      </c>
      <c r="AM33" s="33">
        <f t="shared" si="11"/>
        <v>21</v>
      </c>
      <c r="AN33" s="63">
        <f t="shared" si="12"/>
        <v>176</v>
      </c>
      <c r="AO33" s="63">
        <f t="shared" si="13"/>
        <v>2</v>
      </c>
      <c r="AP33" s="63">
        <f t="shared" si="14"/>
        <v>8</v>
      </c>
      <c r="AQ33" s="53">
        <f t="shared" si="15"/>
        <v>20</v>
      </c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</row>
    <row r="34" spans="1:56" ht="22" customHeight="1" x14ac:dyDescent="0.35">
      <c r="A34" s="8" t="s">
        <v>97</v>
      </c>
      <c r="B34" s="8" t="s">
        <v>98</v>
      </c>
      <c r="C34" s="8" t="s">
        <v>74</v>
      </c>
      <c r="D34" s="22" t="s">
        <v>5</v>
      </c>
      <c r="E34" s="22" t="s">
        <v>5</v>
      </c>
      <c r="F34" s="23" t="s">
        <v>7</v>
      </c>
      <c r="G34" s="24" t="s">
        <v>9</v>
      </c>
      <c r="H34" s="22" t="s">
        <v>5</v>
      </c>
      <c r="I34" s="22" t="s">
        <v>5</v>
      </c>
      <c r="J34" s="22" t="s">
        <v>5</v>
      </c>
      <c r="K34" s="22" t="s">
        <v>5</v>
      </c>
      <c r="L34" s="22" t="s">
        <v>5</v>
      </c>
      <c r="M34" s="23" t="s">
        <v>7</v>
      </c>
      <c r="N34" s="24" t="s">
        <v>9</v>
      </c>
      <c r="O34" s="22" t="s">
        <v>5</v>
      </c>
      <c r="P34" s="22" t="s">
        <v>5</v>
      </c>
      <c r="Q34" s="22" t="s">
        <v>5</v>
      </c>
      <c r="R34" s="22" t="s">
        <v>5</v>
      </c>
      <c r="S34" s="22" t="s">
        <v>5</v>
      </c>
      <c r="T34" s="23" t="s">
        <v>7</v>
      </c>
      <c r="U34" s="24" t="s">
        <v>9</v>
      </c>
      <c r="V34" s="22" t="s">
        <v>5</v>
      </c>
      <c r="W34" s="22" t="s">
        <v>5</v>
      </c>
      <c r="X34" s="22" t="s">
        <v>5</v>
      </c>
      <c r="Y34" s="22" t="s">
        <v>5</v>
      </c>
      <c r="Z34" s="22" t="s">
        <v>5</v>
      </c>
      <c r="AA34" s="23" t="s">
        <v>7</v>
      </c>
      <c r="AB34" s="24" t="s">
        <v>9</v>
      </c>
      <c r="AC34" s="22" t="s">
        <v>5</v>
      </c>
      <c r="AD34" s="22" t="s">
        <v>5</v>
      </c>
      <c r="AE34" s="22" t="s">
        <v>5</v>
      </c>
      <c r="AF34" s="22" t="s">
        <v>5</v>
      </c>
      <c r="AG34" s="22" t="s">
        <v>5</v>
      </c>
      <c r="AH34" s="23" t="s">
        <v>7</v>
      </c>
      <c r="AI34" s="8">
        <f t="shared" si="8"/>
        <v>0</v>
      </c>
      <c r="AJ34" s="25">
        <f t="shared" si="9"/>
        <v>22</v>
      </c>
      <c r="AK34" s="8">
        <f t="shared" si="10"/>
        <v>0</v>
      </c>
      <c r="AL34" s="62">
        <v>0</v>
      </c>
      <c r="AM34" s="33">
        <f t="shared" si="11"/>
        <v>0</v>
      </c>
      <c r="AN34" s="63">
        <f t="shared" si="12"/>
        <v>176</v>
      </c>
      <c r="AO34" s="63">
        <f t="shared" si="13"/>
        <v>0</v>
      </c>
      <c r="AP34" s="63">
        <f t="shared" si="14"/>
        <v>0</v>
      </c>
      <c r="AQ34" s="53">
        <f t="shared" si="15"/>
        <v>0</v>
      </c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</row>
    <row r="35" spans="1:56" ht="22" customHeight="1" x14ac:dyDescent="0.35">
      <c r="A35" s="8" t="s">
        <v>99</v>
      </c>
      <c r="B35" s="8" t="s">
        <v>100</v>
      </c>
      <c r="C35" s="8" t="s">
        <v>74</v>
      </c>
      <c r="D35" s="22" t="s">
        <v>5</v>
      </c>
      <c r="E35" s="22" t="s">
        <v>5</v>
      </c>
      <c r="F35" s="23" t="s">
        <v>7</v>
      </c>
      <c r="G35" s="24" t="s">
        <v>9</v>
      </c>
      <c r="H35" s="22" t="s">
        <v>5</v>
      </c>
      <c r="I35" s="22" t="s">
        <v>5</v>
      </c>
      <c r="J35" s="22" t="s">
        <v>5</v>
      </c>
      <c r="K35" s="22" t="s">
        <v>5</v>
      </c>
      <c r="L35" s="22" t="s">
        <v>5</v>
      </c>
      <c r="M35" s="23" t="s">
        <v>7</v>
      </c>
      <c r="N35" s="24" t="s">
        <v>9</v>
      </c>
      <c r="O35" s="22" t="s">
        <v>5</v>
      </c>
      <c r="P35" s="22" t="s">
        <v>5</v>
      </c>
      <c r="Q35" s="22" t="s">
        <v>5</v>
      </c>
      <c r="R35" s="22" t="s">
        <v>5</v>
      </c>
      <c r="S35" s="22" t="s">
        <v>5</v>
      </c>
      <c r="T35" s="23" t="s">
        <v>7</v>
      </c>
      <c r="U35" s="24" t="s">
        <v>9</v>
      </c>
      <c r="V35" s="26" t="s">
        <v>3</v>
      </c>
      <c r="W35" s="26" t="s">
        <v>3</v>
      </c>
      <c r="X35" s="26" t="s">
        <v>3</v>
      </c>
      <c r="Y35" s="26" t="s">
        <v>3</v>
      </c>
      <c r="Z35" s="26" t="s">
        <v>3</v>
      </c>
      <c r="AA35" s="27" t="s">
        <v>7</v>
      </c>
      <c r="AB35" s="24" t="s">
        <v>9</v>
      </c>
      <c r="AC35" s="26" t="s">
        <v>3</v>
      </c>
      <c r="AD35" s="26" t="s">
        <v>3</v>
      </c>
      <c r="AE35" s="26" t="s">
        <v>3</v>
      </c>
      <c r="AF35" s="26" t="s">
        <v>3</v>
      </c>
      <c r="AG35" s="26" t="s">
        <v>3</v>
      </c>
      <c r="AH35" s="27" t="s">
        <v>7</v>
      </c>
      <c r="AI35" s="8">
        <f t="shared" si="8"/>
        <v>10</v>
      </c>
      <c r="AJ35" s="25">
        <f t="shared" si="9"/>
        <v>12</v>
      </c>
      <c r="AK35" s="8">
        <f t="shared" si="10"/>
        <v>0</v>
      </c>
      <c r="AL35" s="62">
        <v>2</v>
      </c>
      <c r="AM35" s="33">
        <f t="shared" si="11"/>
        <v>11</v>
      </c>
      <c r="AN35" s="63">
        <f t="shared" si="12"/>
        <v>176</v>
      </c>
      <c r="AO35" s="63">
        <f t="shared" si="13"/>
        <v>0</v>
      </c>
      <c r="AP35" s="63">
        <f t="shared" si="14"/>
        <v>0</v>
      </c>
      <c r="AQ35" s="53">
        <f t="shared" si="15"/>
        <v>11</v>
      </c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</row>
    <row r="36" spans="1:56" x14ac:dyDescent="0.35"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</row>
    <row r="37" spans="1:56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</row>
    <row r="38" spans="1:56" ht="22" customHeight="1" x14ac:dyDescent="0.35">
      <c r="A38" s="8" t="s">
        <v>102</v>
      </c>
      <c r="B38" s="8" t="s">
        <v>103</v>
      </c>
      <c r="C38" s="8" t="s">
        <v>104</v>
      </c>
      <c r="D38" s="22" t="s">
        <v>5</v>
      </c>
      <c r="E38" s="22" t="s">
        <v>5</v>
      </c>
      <c r="F38" s="23" t="s">
        <v>7</v>
      </c>
      <c r="G38" s="24" t="s">
        <v>9</v>
      </c>
      <c r="H38" s="26" t="s">
        <v>3</v>
      </c>
      <c r="I38" s="26" t="s">
        <v>3</v>
      </c>
      <c r="J38" s="26" t="s">
        <v>3</v>
      </c>
      <c r="K38" s="22" t="s">
        <v>5</v>
      </c>
      <c r="L38" s="26" t="s">
        <v>3</v>
      </c>
      <c r="M38" s="27" t="s">
        <v>7</v>
      </c>
      <c r="N38" s="28" t="s">
        <v>11</v>
      </c>
      <c r="O38" s="26" t="s">
        <v>3</v>
      </c>
      <c r="P38" s="26" t="s">
        <v>3</v>
      </c>
      <c r="Q38" s="26" t="s">
        <v>3</v>
      </c>
      <c r="R38" s="22" t="s">
        <v>5</v>
      </c>
      <c r="S38" s="22" t="s">
        <v>5</v>
      </c>
      <c r="T38" s="27" t="s">
        <v>7</v>
      </c>
      <c r="U38" s="28" t="s">
        <v>11</v>
      </c>
      <c r="V38" s="26" t="s">
        <v>3</v>
      </c>
      <c r="W38" s="26" t="s">
        <v>3</v>
      </c>
      <c r="X38" s="26" t="s">
        <v>3</v>
      </c>
      <c r="Y38" s="26" t="s">
        <v>3</v>
      </c>
      <c r="Z38" s="26" t="s">
        <v>3</v>
      </c>
      <c r="AA38" s="23" t="s">
        <v>7</v>
      </c>
      <c r="AB38" s="24" t="s">
        <v>9</v>
      </c>
      <c r="AC38" s="22" t="s">
        <v>5</v>
      </c>
      <c r="AD38" s="26" t="s">
        <v>3</v>
      </c>
      <c r="AE38" s="26" t="s">
        <v>3</v>
      </c>
      <c r="AF38" s="26" t="s">
        <v>3</v>
      </c>
      <c r="AG38" s="26" t="s">
        <v>3</v>
      </c>
      <c r="AH38" s="27" t="s">
        <v>7</v>
      </c>
      <c r="AI38" s="8">
        <f t="shared" ref="AI38:AI74" si="16">COUNTIF(D38:AH38,"ON")</f>
        <v>16</v>
      </c>
      <c r="AJ38" s="8">
        <f t="shared" ref="AJ38:AJ74" si="17">COUNTIF(D38:AH38,"OFF")</f>
        <v>6</v>
      </c>
      <c r="AK38" s="29">
        <f t="shared" ref="AK38:AK74" si="18">COUNTIF(D38:AH38,"OT")</f>
        <v>2</v>
      </c>
      <c r="AL38" s="62">
        <v>3</v>
      </c>
      <c r="AM38" s="33">
        <f t="shared" ref="AM38:AM74" si="19">AI38+AK38+AL38*0.5</f>
        <v>19.5</v>
      </c>
      <c r="AN38" s="63">
        <f t="shared" ref="AN38:AN74" si="20">NETWORKDAYS(DATE(2025,5,1),EOMONTH(DATE(2025,5,1),0))*8</f>
        <v>176</v>
      </c>
      <c r="AO38" s="63">
        <f t="shared" ref="AO38:AO74" si="21">MAX(0,COUNTIF(E38,"ON")+COUNTIF(L38,"ON")+COUNTIF(S38,"ON")+COUNTIF(Z38,"ON")+COUNTIF(AG38,"ON")-AL38)</f>
        <v>0</v>
      </c>
      <c r="AP38" s="63">
        <f t="shared" ref="AP38:AP74" si="22">AO38*$AP$2</f>
        <v>0</v>
      </c>
      <c r="AQ38" s="53">
        <f t="shared" ref="AQ38:AQ74" si="23">AM38-AP38/8</f>
        <v>19.5</v>
      </c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</row>
    <row r="39" spans="1:56" ht="22" customHeight="1" x14ac:dyDescent="0.35">
      <c r="A39" s="8" t="s">
        <v>105</v>
      </c>
      <c r="B39" s="8" t="s">
        <v>106</v>
      </c>
      <c r="C39" s="8" t="s">
        <v>104</v>
      </c>
      <c r="D39" s="26" t="s">
        <v>3</v>
      </c>
      <c r="E39" s="26" t="s">
        <v>3</v>
      </c>
      <c r="F39" s="27" t="s">
        <v>7</v>
      </c>
      <c r="G39" s="28" t="s">
        <v>11</v>
      </c>
      <c r="H39" s="26" t="s">
        <v>3</v>
      </c>
      <c r="I39" s="26" t="s">
        <v>3</v>
      </c>
      <c r="J39" s="26" t="s">
        <v>3</v>
      </c>
      <c r="K39" s="22" t="s">
        <v>5</v>
      </c>
      <c r="L39" s="26" t="s">
        <v>3</v>
      </c>
      <c r="M39" s="23" t="s">
        <v>7</v>
      </c>
      <c r="N39" s="24" t="s">
        <v>9</v>
      </c>
      <c r="O39" s="22" t="s">
        <v>5</v>
      </c>
      <c r="P39" s="22" t="s">
        <v>5</v>
      </c>
      <c r="Q39" s="22" t="s">
        <v>5</v>
      </c>
      <c r="R39" s="22" t="s">
        <v>5</v>
      </c>
      <c r="S39" s="22" t="s">
        <v>5</v>
      </c>
      <c r="T39" s="27" t="s">
        <v>7</v>
      </c>
      <c r="U39" s="28" t="s">
        <v>11</v>
      </c>
      <c r="V39" s="26" t="s">
        <v>3</v>
      </c>
      <c r="W39" s="26" t="s">
        <v>3</v>
      </c>
      <c r="X39" s="26" t="s">
        <v>3</v>
      </c>
      <c r="Y39" s="26" t="s">
        <v>3</v>
      </c>
      <c r="Z39" s="26" t="s">
        <v>3</v>
      </c>
      <c r="AA39" s="27" t="s">
        <v>7</v>
      </c>
      <c r="AB39" s="28" t="s">
        <v>11</v>
      </c>
      <c r="AC39" s="22" t="s">
        <v>5</v>
      </c>
      <c r="AD39" s="26" t="s">
        <v>3</v>
      </c>
      <c r="AE39" s="26" t="s">
        <v>3</v>
      </c>
      <c r="AF39" s="26" t="s">
        <v>3</v>
      </c>
      <c r="AG39" s="26" t="s">
        <v>3</v>
      </c>
      <c r="AH39" s="27" t="s">
        <v>7</v>
      </c>
      <c r="AI39" s="8">
        <f t="shared" si="16"/>
        <v>15</v>
      </c>
      <c r="AJ39" s="8">
        <f t="shared" si="17"/>
        <v>7</v>
      </c>
      <c r="AK39" s="29">
        <f t="shared" si="18"/>
        <v>3</v>
      </c>
      <c r="AL39" s="62">
        <v>4</v>
      </c>
      <c r="AM39" s="33">
        <f t="shared" si="19"/>
        <v>20</v>
      </c>
      <c r="AN39" s="63">
        <f t="shared" si="20"/>
        <v>176</v>
      </c>
      <c r="AO39" s="63">
        <f t="shared" si="21"/>
        <v>0</v>
      </c>
      <c r="AP39" s="63">
        <f t="shared" si="22"/>
        <v>0</v>
      </c>
      <c r="AQ39" s="53">
        <f t="shared" si="23"/>
        <v>20</v>
      </c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</row>
    <row r="40" spans="1:56" ht="22" customHeight="1" x14ac:dyDescent="0.35">
      <c r="A40" s="8" t="s">
        <v>107</v>
      </c>
      <c r="B40" s="8" t="s">
        <v>108</v>
      </c>
      <c r="C40" s="8" t="s">
        <v>104</v>
      </c>
      <c r="D40" s="26" t="s">
        <v>3</v>
      </c>
      <c r="E40" s="26" t="s">
        <v>3</v>
      </c>
      <c r="F40" s="27" t="s">
        <v>7</v>
      </c>
      <c r="G40" s="28" t="s">
        <v>11</v>
      </c>
      <c r="H40" s="26" t="s">
        <v>3</v>
      </c>
      <c r="I40" s="26" t="s">
        <v>3</v>
      </c>
      <c r="J40" s="26" t="s">
        <v>3</v>
      </c>
      <c r="K40" s="26" t="s">
        <v>3</v>
      </c>
      <c r="L40" s="22" t="s">
        <v>5</v>
      </c>
      <c r="M40" s="23" t="s">
        <v>7</v>
      </c>
      <c r="N40" s="24" t="s">
        <v>9</v>
      </c>
      <c r="O40" s="22" t="s">
        <v>5</v>
      </c>
      <c r="P40" s="26" t="s">
        <v>3</v>
      </c>
      <c r="Q40" s="26" t="s">
        <v>3</v>
      </c>
      <c r="R40" s="26" t="s">
        <v>3</v>
      </c>
      <c r="S40" s="26" t="s">
        <v>3</v>
      </c>
      <c r="T40" s="27" t="s">
        <v>7</v>
      </c>
      <c r="U40" s="28" t="s">
        <v>11</v>
      </c>
      <c r="V40" s="26" t="s">
        <v>3</v>
      </c>
      <c r="W40" s="26" t="s">
        <v>3</v>
      </c>
      <c r="X40" s="26" t="s">
        <v>3</v>
      </c>
      <c r="Y40" s="26" t="s">
        <v>3</v>
      </c>
      <c r="Z40" s="26" t="s">
        <v>3</v>
      </c>
      <c r="AA40" s="27" t="s">
        <v>7</v>
      </c>
      <c r="AB40" s="24" t="s">
        <v>9</v>
      </c>
      <c r="AC40" s="26" t="s">
        <v>3</v>
      </c>
      <c r="AD40" s="26" t="s">
        <v>3</v>
      </c>
      <c r="AE40" s="26" t="s">
        <v>3</v>
      </c>
      <c r="AF40" s="26" t="s">
        <v>3</v>
      </c>
      <c r="AG40" s="26" t="s">
        <v>3</v>
      </c>
      <c r="AH40" s="27" t="s">
        <v>7</v>
      </c>
      <c r="AI40" s="8">
        <f t="shared" si="16"/>
        <v>20</v>
      </c>
      <c r="AJ40" s="8">
        <f t="shared" si="17"/>
        <v>2</v>
      </c>
      <c r="AK40" s="29">
        <f t="shared" si="18"/>
        <v>2</v>
      </c>
      <c r="AL40" s="62">
        <v>4</v>
      </c>
      <c r="AM40" s="33">
        <f t="shared" si="19"/>
        <v>24</v>
      </c>
      <c r="AN40" s="63">
        <f t="shared" si="20"/>
        <v>176</v>
      </c>
      <c r="AO40" s="63">
        <f t="shared" si="21"/>
        <v>0</v>
      </c>
      <c r="AP40" s="63">
        <f t="shared" si="22"/>
        <v>0</v>
      </c>
      <c r="AQ40" s="53">
        <f t="shared" si="23"/>
        <v>24</v>
      </c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</row>
    <row r="41" spans="1:56" ht="22" customHeight="1" x14ac:dyDescent="0.35">
      <c r="A41" s="8" t="s">
        <v>109</v>
      </c>
      <c r="B41" s="8" t="s">
        <v>110</v>
      </c>
      <c r="C41" s="8" t="s">
        <v>104</v>
      </c>
      <c r="D41" s="22" t="s">
        <v>5</v>
      </c>
      <c r="E41" s="26" t="s">
        <v>3</v>
      </c>
      <c r="F41" s="27" t="s">
        <v>7</v>
      </c>
      <c r="G41" s="28" t="s">
        <v>11</v>
      </c>
      <c r="H41" s="22" t="s">
        <v>5</v>
      </c>
      <c r="I41" s="22" t="s">
        <v>5</v>
      </c>
      <c r="J41" s="22" t="s">
        <v>5</v>
      </c>
      <c r="K41" s="22" t="s">
        <v>5</v>
      </c>
      <c r="L41" s="22" t="s">
        <v>5</v>
      </c>
      <c r="M41" s="23" t="s">
        <v>7</v>
      </c>
      <c r="N41" s="24" t="s">
        <v>9</v>
      </c>
      <c r="O41" s="22" t="s">
        <v>5</v>
      </c>
      <c r="P41" s="22" t="s">
        <v>5</v>
      </c>
      <c r="Q41" s="22" t="s">
        <v>5</v>
      </c>
      <c r="R41" s="22" t="s">
        <v>5</v>
      </c>
      <c r="S41" s="22" t="s">
        <v>5</v>
      </c>
      <c r="T41" s="27" t="s">
        <v>7</v>
      </c>
      <c r="U41" s="28" t="s">
        <v>11</v>
      </c>
      <c r="V41" s="26" t="s">
        <v>3</v>
      </c>
      <c r="W41" s="26" t="s">
        <v>3</v>
      </c>
      <c r="X41" s="26" t="s">
        <v>3</v>
      </c>
      <c r="Y41" s="26" t="s">
        <v>3</v>
      </c>
      <c r="Z41" s="26" t="s">
        <v>3</v>
      </c>
      <c r="AA41" s="27" t="s">
        <v>7</v>
      </c>
      <c r="AB41" s="28" t="s">
        <v>11</v>
      </c>
      <c r="AC41" s="22" t="s">
        <v>5</v>
      </c>
      <c r="AD41" s="22" t="s">
        <v>5</v>
      </c>
      <c r="AE41" s="26" t="s">
        <v>3</v>
      </c>
      <c r="AF41" s="26" t="s">
        <v>3</v>
      </c>
      <c r="AG41" s="26" t="s">
        <v>3</v>
      </c>
      <c r="AH41" s="27" t="s">
        <v>7</v>
      </c>
      <c r="AI41" s="8">
        <f t="shared" si="16"/>
        <v>9</v>
      </c>
      <c r="AJ41" s="25">
        <f t="shared" si="17"/>
        <v>13</v>
      </c>
      <c r="AK41" s="29">
        <f t="shared" si="18"/>
        <v>3</v>
      </c>
      <c r="AL41" s="62">
        <v>4</v>
      </c>
      <c r="AM41" s="33">
        <f t="shared" si="19"/>
        <v>14</v>
      </c>
      <c r="AN41" s="63">
        <f t="shared" si="20"/>
        <v>176</v>
      </c>
      <c r="AO41" s="63">
        <f t="shared" si="21"/>
        <v>0</v>
      </c>
      <c r="AP41" s="63">
        <f t="shared" si="22"/>
        <v>0</v>
      </c>
      <c r="AQ41" s="53">
        <f t="shared" si="23"/>
        <v>14</v>
      </c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</row>
    <row r="42" spans="1:56" ht="22" customHeight="1" x14ac:dyDescent="0.35">
      <c r="A42" s="8" t="s">
        <v>111</v>
      </c>
      <c r="B42" s="8" t="s">
        <v>112</v>
      </c>
      <c r="C42" s="8" t="s">
        <v>104</v>
      </c>
      <c r="D42" s="22" t="s">
        <v>5</v>
      </c>
      <c r="E42" s="22" t="s">
        <v>5</v>
      </c>
      <c r="F42" s="23" t="s">
        <v>7</v>
      </c>
      <c r="G42" s="24" t="s">
        <v>9</v>
      </c>
      <c r="H42" s="26" t="s">
        <v>3</v>
      </c>
      <c r="I42" s="26" t="s">
        <v>3</v>
      </c>
      <c r="J42" s="26" t="s">
        <v>3</v>
      </c>
      <c r="K42" s="22" t="s">
        <v>5</v>
      </c>
      <c r="L42" s="26" t="s">
        <v>3</v>
      </c>
      <c r="M42" s="23" t="s">
        <v>7</v>
      </c>
      <c r="N42" s="24" t="s">
        <v>9</v>
      </c>
      <c r="O42" s="26" t="s">
        <v>3</v>
      </c>
      <c r="P42" s="26" t="s">
        <v>3</v>
      </c>
      <c r="Q42" s="26" t="s">
        <v>3</v>
      </c>
      <c r="R42" s="22" t="s">
        <v>5</v>
      </c>
      <c r="S42" s="22" t="s">
        <v>5</v>
      </c>
      <c r="T42" s="27" t="s">
        <v>7</v>
      </c>
      <c r="U42" s="28" t="s">
        <v>11</v>
      </c>
      <c r="V42" s="26" t="s">
        <v>3</v>
      </c>
      <c r="W42" s="26" t="s">
        <v>3</v>
      </c>
      <c r="X42" s="26" t="s">
        <v>3</v>
      </c>
      <c r="Y42" s="26" t="s">
        <v>3</v>
      </c>
      <c r="Z42" s="26" t="s">
        <v>3</v>
      </c>
      <c r="AA42" s="23" t="s">
        <v>7</v>
      </c>
      <c r="AB42" s="28" t="s">
        <v>11</v>
      </c>
      <c r="AC42" s="26" t="s">
        <v>3</v>
      </c>
      <c r="AD42" s="26" t="s">
        <v>3</v>
      </c>
      <c r="AE42" s="26" t="s">
        <v>3</v>
      </c>
      <c r="AF42" s="26" t="s">
        <v>3</v>
      </c>
      <c r="AG42" s="26" t="s">
        <v>3</v>
      </c>
      <c r="AH42" s="27" t="s">
        <v>7</v>
      </c>
      <c r="AI42" s="8">
        <f t="shared" si="16"/>
        <v>17</v>
      </c>
      <c r="AJ42" s="8">
        <f t="shared" si="17"/>
        <v>5</v>
      </c>
      <c r="AK42" s="29">
        <f t="shared" si="18"/>
        <v>2</v>
      </c>
      <c r="AL42" s="62">
        <v>2</v>
      </c>
      <c r="AM42" s="33">
        <f t="shared" si="19"/>
        <v>20</v>
      </c>
      <c r="AN42" s="63">
        <f t="shared" si="20"/>
        <v>176</v>
      </c>
      <c r="AO42" s="63">
        <f t="shared" si="21"/>
        <v>1</v>
      </c>
      <c r="AP42" s="63">
        <f t="shared" si="22"/>
        <v>4</v>
      </c>
      <c r="AQ42" s="53">
        <f t="shared" si="23"/>
        <v>19.5</v>
      </c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</row>
    <row r="43" spans="1:56" ht="22" customHeight="1" x14ac:dyDescent="0.35">
      <c r="A43" s="8" t="s">
        <v>113</v>
      </c>
      <c r="B43" s="8" t="s">
        <v>114</v>
      </c>
      <c r="C43" s="8" t="s">
        <v>104</v>
      </c>
      <c r="D43" s="26" t="s">
        <v>3</v>
      </c>
      <c r="E43" s="22" t="s">
        <v>5</v>
      </c>
      <c r="F43" s="23" t="s">
        <v>7</v>
      </c>
      <c r="G43" s="24" t="s">
        <v>9</v>
      </c>
      <c r="H43" s="22" t="s">
        <v>5</v>
      </c>
      <c r="I43" s="26" t="s">
        <v>3</v>
      </c>
      <c r="J43" s="26" t="s">
        <v>3</v>
      </c>
      <c r="K43" s="26" t="s">
        <v>3</v>
      </c>
      <c r="L43" s="26" t="s">
        <v>3</v>
      </c>
      <c r="M43" s="27" t="s">
        <v>7</v>
      </c>
      <c r="N43" s="24" t="s">
        <v>9</v>
      </c>
      <c r="O43" s="26" t="s">
        <v>3</v>
      </c>
      <c r="P43" s="26" t="s">
        <v>3</v>
      </c>
      <c r="Q43" s="26" t="s">
        <v>3</v>
      </c>
      <c r="R43" s="26" t="s">
        <v>3</v>
      </c>
      <c r="S43" s="26" t="s">
        <v>3</v>
      </c>
      <c r="T43" s="27" t="s">
        <v>7</v>
      </c>
      <c r="U43" s="28" t="s">
        <v>11</v>
      </c>
      <c r="V43" s="26" t="s">
        <v>3</v>
      </c>
      <c r="W43" s="26" t="s">
        <v>3</v>
      </c>
      <c r="X43" s="26" t="s">
        <v>3</v>
      </c>
      <c r="Y43" s="26" t="s">
        <v>3</v>
      </c>
      <c r="Z43" s="26" t="s">
        <v>3</v>
      </c>
      <c r="AA43" s="27" t="s">
        <v>7</v>
      </c>
      <c r="AB43" s="28" t="s">
        <v>11</v>
      </c>
      <c r="AC43" s="26" t="s">
        <v>3</v>
      </c>
      <c r="AD43" s="26" t="s">
        <v>3</v>
      </c>
      <c r="AE43" s="26" t="s">
        <v>3</v>
      </c>
      <c r="AF43" s="26" t="s">
        <v>3</v>
      </c>
      <c r="AG43" s="26" t="s">
        <v>3</v>
      </c>
      <c r="AH43" s="27" t="s">
        <v>7</v>
      </c>
      <c r="AI43" s="8">
        <f t="shared" si="16"/>
        <v>20</v>
      </c>
      <c r="AJ43" s="8">
        <f t="shared" si="17"/>
        <v>2</v>
      </c>
      <c r="AK43" s="29">
        <f t="shared" si="18"/>
        <v>2</v>
      </c>
      <c r="AL43" s="62">
        <v>4</v>
      </c>
      <c r="AM43" s="33">
        <f t="shared" si="19"/>
        <v>24</v>
      </c>
      <c r="AN43" s="63">
        <f t="shared" si="20"/>
        <v>176</v>
      </c>
      <c r="AO43" s="63">
        <f t="shared" si="21"/>
        <v>0</v>
      </c>
      <c r="AP43" s="63">
        <f t="shared" si="22"/>
        <v>0</v>
      </c>
      <c r="AQ43" s="53">
        <f t="shared" si="23"/>
        <v>24</v>
      </c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</row>
    <row r="44" spans="1:56" ht="22" customHeight="1" x14ac:dyDescent="0.35">
      <c r="A44" s="8" t="s">
        <v>115</v>
      </c>
      <c r="B44" s="8" t="s">
        <v>116</v>
      </c>
      <c r="C44" s="8" t="s">
        <v>104</v>
      </c>
      <c r="D44" s="22" t="s">
        <v>5</v>
      </c>
      <c r="E44" s="22" t="s">
        <v>5</v>
      </c>
      <c r="F44" s="23" t="s">
        <v>7</v>
      </c>
      <c r="G44" s="24" t="s">
        <v>9</v>
      </c>
      <c r="H44" s="22" t="s">
        <v>5</v>
      </c>
      <c r="I44" s="22" t="s">
        <v>5</v>
      </c>
      <c r="J44" s="22" t="s">
        <v>5</v>
      </c>
      <c r="K44" s="22" t="s">
        <v>5</v>
      </c>
      <c r="L44" s="22" t="s">
        <v>5</v>
      </c>
      <c r="M44" s="23" t="s">
        <v>7</v>
      </c>
      <c r="N44" s="24" t="s">
        <v>9</v>
      </c>
      <c r="O44" s="22" t="s">
        <v>5</v>
      </c>
      <c r="P44" s="22" t="s">
        <v>5</v>
      </c>
      <c r="Q44" s="22" t="s">
        <v>5</v>
      </c>
      <c r="R44" s="26" t="s">
        <v>3</v>
      </c>
      <c r="S44" s="26" t="s">
        <v>3</v>
      </c>
      <c r="T44" s="27" t="s">
        <v>7</v>
      </c>
      <c r="U44" s="28" t="s">
        <v>11</v>
      </c>
      <c r="V44" s="26" t="s">
        <v>3</v>
      </c>
      <c r="W44" s="26" t="s">
        <v>3</v>
      </c>
      <c r="X44" s="26" t="s">
        <v>3</v>
      </c>
      <c r="Y44" s="26" t="s">
        <v>3</v>
      </c>
      <c r="Z44" s="26" t="s">
        <v>3</v>
      </c>
      <c r="AA44" s="23" t="s">
        <v>7</v>
      </c>
      <c r="AB44" s="28" t="s">
        <v>11</v>
      </c>
      <c r="AC44" s="26" t="s">
        <v>3</v>
      </c>
      <c r="AD44" s="26" t="s">
        <v>3</v>
      </c>
      <c r="AE44" s="26" t="s">
        <v>3</v>
      </c>
      <c r="AF44" s="26" t="s">
        <v>3</v>
      </c>
      <c r="AG44" s="26" t="s">
        <v>3</v>
      </c>
      <c r="AH44" s="27" t="s">
        <v>7</v>
      </c>
      <c r="AI44" s="8">
        <f t="shared" si="16"/>
        <v>12</v>
      </c>
      <c r="AJ44" s="8">
        <f t="shared" si="17"/>
        <v>10</v>
      </c>
      <c r="AK44" s="29">
        <f t="shared" si="18"/>
        <v>2</v>
      </c>
      <c r="AL44" s="62">
        <v>2</v>
      </c>
      <c r="AM44" s="33">
        <f t="shared" si="19"/>
        <v>15</v>
      </c>
      <c r="AN44" s="63">
        <f t="shared" si="20"/>
        <v>176</v>
      </c>
      <c r="AO44" s="63">
        <f t="shared" si="21"/>
        <v>1</v>
      </c>
      <c r="AP44" s="63">
        <f t="shared" si="22"/>
        <v>4</v>
      </c>
      <c r="AQ44" s="53">
        <f t="shared" si="23"/>
        <v>14.5</v>
      </c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</row>
    <row r="45" spans="1:56" ht="22" customHeight="1" x14ac:dyDescent="0.35">
      <c r="A45" s="8" t="s">
        <v>117</v>
      </c>
      <c r="B45" s="8" t="s">
        <v>118</v>
      </c>
      <c r="C45" s="8" t="s">
        <v>104</v>
      </c>
      <c r="D45" s="22" t="s">
        <v>5</v>
      </c>
      <c r="E45" s="22" t="s">
        <v>5</v>
      </c>
      <c r="F45" s="23" t="s">
        <v>7</v>
      </c>
      <c r="G45" s="24" t="s">
        <v>9</v>
      </c>
      <c r="H45" s="22" t="s">
        <v>5</v>
      </c>
      <c r="I45" s="22" t="s">
        <v>5</v>
      </c>
      <c r="J45" s="22" t="s">
        <v>5</v>
      </c>
      <c r="K45" s="22" t="s">
        <v>5</v>
      </c>
      <c r="L45" s="22" t="s">
        <v>5</v>
      </c>
      <c r="M45" s="23" t="s">
        <v>7</v>
      </c>
      <c r="N45" s="24" t="s">
        <v>9</v>
      </c>
      <c r="O45" s="22" t="s">
        <v>5</v>
      </c>
      <c r="P45" s="22" t="s">
        <v>5</v>
      </c>
      <c r="Q45" s="26" t="s">
        <v>3</v>
      </c>
      <c r="R45" s="22" t="s">
        <v>5</v>
      </c>
      <c r="S45" s="22" t="s">
        <v>5</v>
      </c>
      <c r="T45" s="27" t="s">
        <v>7</v>
      </c>
      <c r="U45" s="28" t="s">
        <v>11</v>
      </c>
      <c r="V45" s="26" t="s">
        <v>3</v>
      </c>
      <c r="W45" s="26" t="s">
        <v>3</v>
      </c>
      <c r="X45" s="26" t="s">
        <v>3</v>
      </c>
      <c r="Y45" s="26" t="s">
        <v>3</v>
      </c>
      <c r="Z45" s="26" t="s">
        <v>3</v>
      </c>
      <c r="AA45" s="27" t="s">
        <v>7</v>
      </c>
      <c r="AB45" s="28" t="s">
        <v>11</v>
      </c>
      <c r="AC45" s="22" t="s">
        <v>5</v>
      </c>
      <c r="AD45" s="22" t="s">
        <v>5</v>
      </c>
      <c r="AE45" s="22" t="s">
        <v>5</v>
      </c>
      <c r="AF45" s="22" t="s">
        <v>5</v>
      </c>
      <c r="AG45" s="22" t="s">
        <v>5</v>
      </c>
      <c r="AH45" s="23" t="s">
        <v>7</v>
      </c>
      <c r="AI45" s="8">
        <f t="shared" si="16"/>
        <v>6</v>
      </c>
      <c r="AJ45" s="25">
        <f t="shared" si="17"/>
        <v>16</v>
      </c>
      <c r="AK45" s="29">
        <f t="shared" si="18"/>
        <v>2</v>
      </c>
      <c r="AL45" s="62">
        <v>2</v>
      </c>
      <c r="AM45" s="33">
        <f t="shared" si="19"/>
        <v>9</v>
      </c>
      <c r="AN45" s="63">
        <f t="shared" si="20"/>
        <v>176</v>
      </c>
      <c r="AO45" s="63">
        <f t="shared" si="21"/>
        <v>0</v>
      </c>
      <c r="AP45" s="63">
        <f t="shared" si="22"/>
        <v>0</v>
      </c>
      <c r="AQ45" s="53">
        <f t="shared" si="23"/>
        <v>9</v>
      </c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</row>
    <row r="46" spans="1:56" ht="22" customHeight="1" x14ac:dyDescent="0.35">
      <c r="A46" s="8" t="s">
        <v>119</v>
      </c>
      <c r="B46" s="8" t="s">
        <v>120</v>
      </c>
      <c r="C46" s="8" t="s">
        <v>104</v>
      </c>
      <c r="D46" s="26" t="s">
        <v>3</v>
      </c>
      <c r="E46" s="26" t="s">
        <v>3</v>
      </c>
      <c r="F46" s="27" t="s">
        <v>7</v>
      </c>
      <c r="G46" s="28" t="s">
        <v>11</v>
      </c>
      <c r="H46" s="26" t="s">
        <v>3</v>
      </c>
      <c r="I46" s="26" t="s">
        <v>3</v>
      </c>
      <c r="J46" s="26" t="s">
        <v>3</v>
      </c>
      <c r="K46" s="26" t="s">
        <v>3</v>
      </c>
      <c r="L46" s="26" t="s">
        <v>3</v>
      </c>
      <c r="M46" s="27" t="s">
        <v>7</v>
      </c>
      <c r="N46" s="24" t="s">
        <v>9</v>
      </c>
      <c r="O46" s="26" t="s">
        <v>3</v>
      </c>
      <c r="P46" s="26" t="s">
        <v>3</v>
      </c>
      <c r="Q46" s="26" t="s">
        <v>3</v>
      </c>
      <c r="R46" s="26" t="s">
        <v>3</v>
      </c>
      <c r="S46" s="26" t="s">
        <v>3</v>
      </c>
      <c r="T46" s="27" t="s">
        <v>7</v>
      </c>
      <c r="U46" s="28" t="s">
        <v>11</v>
      </c>
      <c r="V46" s="26" t="s">
        <v>3</v>
      </c>
      <c r="W46" s="26" t="s">
        <v>3</v>
      </c>
      <c r="X46" s="26" t="s">
        <v>3</v>
      </c>
      <c r="Y46" s="26" t="s">
        <v>3</v>
      </c>
      <c r="Z46" s="26" t="s">
        <v>3</v>
      </c>
      <c r="AA46" s="27" t="s">
        <v>7</v>
      </c>
      <c r="AB46" s="28" t="s">
        <v>11</v>
      </c>
      <c r="AC46" s="26" t="s">
        <v>3</v>
      </c>
      <c r="AD46" s="26" t="s">
        <v>3</v>
      </c>
      <c r="AE46" s="26" t="s">
        <v>3</v>
      </c>
      <c r="AF46" s="26" t="s">
        <v>3</v>
      </c>
      <c r="AG46" s="26" t="s">
        <v>3</v>
      </c>
      <c r="AH46" s="27" t="s">
        <v>7</v>
      </c>
      <c r="AI46" s="8">
        <f t="shared" si="16"/>
        <v>22</v>
      </c>
      <c r="AJ46" s="8">
        <f t="shared" si="17"/>
        <v>0</v>
      </c>
      <c r="AK46" s="29">
        <f t="shared" si="18"/>
        <v>3</v>
      </c>
      <c r="AL46" s="62">
        <v>5</v>
      </c>
      <c r="AM46" s="33">
        <f t="shared" si="19"/>
        <v>27.5</v>
      </c>
      <c r="AN46" s="63">
        <f t="shared" si="20"/>
        <v>176</v>
      </c>
      <c r="AO46" s="63">
        <f t="shared" si="21"/>
        <v>0</v>
      </c>
      <c r="AP46" s="63">
        <f t="shared" si="22"/>
        <v>0</v>
      </c>
      <c r="AQ46" s="53">
        <f t="shared" si="23"/>
        <v>27.5</v>
      </c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</row>
    <row r="47" spans="1:56" ht="22" customHeight="1" x14ac:dyDescent="0.35">
      <c r="A47" s="8" t="s">
        <v>121</v>
      </c>
      <c r="B47" s="8" t="s">
        <v>122</v>
      </c>
      <c r="C47" s="8" t="s">
        <v>104</v>
      </c>
      <c r="D47" s="22" t="s">
        <v>5</v>
      </c>
      <c r="E47" s="22" t="s">
        <v>5</v>
      </c>
      <c r="F47" s="23" t="s">
        <v>7</v>
      </c>
      <c r="G47" s="24" t="s">
        <v>9</v>
      </c>
      <c r="H47" s="26" t="s">
        <v>3</v>
      </c>
      <c r="I47" s="26" t="s">
        <v>3</v>
      </c>
      <c r="J47" s="26" t="s">
        <v>3</v>
      </c>
      <c r="K47" s="26" t="s">
        <v>3</v>
      </c>
      <c r="L47" s="26" t="s">
        <v>3</v>
      </c>
      <c r="M47" s="27" t="s">
        <v>7</v>
      </c>
      <c r="N47" s="24" t="s">
        <v>9</v>
      </c>
      <c r="O47" s="22" t="s">
        <v>5</v>
      </c>
      <c r="P47" s="22" t="s">
        <v>5</v>
      </c>
      <c r="Q47" s="22" t="s">
        <v>5</v>
      </c>
      <c r="R47" s="22" t="s">
        <v>5</v>
      </c>
      <c r="S47" s="22" t="s">
        <v>5</v>
      </c>
      <c r="T47" s="27" t="s">
        <v>7</v>
      </c>
      <c r="U47" s="28" t="s">
        <v>11</v>
      </c>
      <c r="V47" s="26" t="s">
        <v>3</v>
      </c>
      <c r="W47" s="26" t="s">
        <v>3</v>
      </c>
      <c r="X47" s="26" t="s">
        <v>3</v>
      </c>
      <c r="Y47" s="22" t="s">
        <v>5</v>
      </c>
      <c r="Z47" s="22" t="s">
        <v>5</v>
      </c>
      <c r="AA47" s="23" t="s">
        <v>7</v>
      </c>
      <c r="AB47" s="24" t="s">
        <v>9</v>
      </c>
      <c r="AC47" s="22" t="s">
        <v>5</v>
      </c>
      <c r="AD47" s="26" t="s">
        <v>3</v>
      </c>
      <c r="AE47" s="26" t="s">
        <v>3</v>
      </c>
      <c r="AF47" s="26" t="s">
        <v>3</v>
      </c>
      <c r="AG47" s="26" t="s">
        <v>3</v>
      </c>
      <c r="AH47" s="27" t="s">
        <v>7</v>
      </c>
      <c r="AI47" s="8">
        <f t="shared" si="16"/>
        <v>12</v>
      </c>
      <c r="AJ47" s="8">
        <f t="shared" si="17"/>
        <v>10</v>
      </c>
      <c r="AK47" s="29">
        <f t="shared" si="18"/>
        <v>1</v>
      </c>
      <c r="AL47" s="62">
        <v>3</v>
      </c>
      <c r="AM47" s="33">
        <f t="shared" si="19"/>
        <v>14.5</v>
      </c>
      <c r="AN47" s="63">
        <f t="shared" si="20"/>
        <v>176</v>
      </c>
      <c r="AO47" s="63">
        <f t="shared" si="21"/>
        <v>0</v>
      </c>
      <c r="AP47" s="63">
        <f t="shared" si="22"/>
        <v>0</v>
      </c>
      <c r="AQ47" s="53">
        <f t="shared" si="23"/>
        <v>14.5</v>
      </c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</row>
    <row r="48" spans="1:56" ht="22" customHeight="1" x14ac:dyDescent="0.35">
      <c r="A48" s="8" t="s">
        <v>123</v>
      </c>
      <c r="B48" s="8" t="s">
        <v>124</v>
      </c>
      <c r="C48" s="8" t="s">
        <v>104</v>
      </c>
      <c r="D48" s="26" t="s">
        <v>3</v>
      </c>
      <c r="E48" s="26" t="s">
        <v>3</v>
      </c>
      <c r="F48" s="27" t="s">
        <v>7</v>
      </c>
      <c r="G48" s="28" t="s">
        <v>11</v>
      </c>
      <c r="H48" s="26" t="s">
        <v>3</v>
      </c>
      <c r="I48" s="26" t="s">
        <v>3</v>
      </c>
      <c r="J48" s="26" t="s">
        <v>3</v>
      </c>
      <c r="K48" s="26" t="s">
        <v>3</v>
      </c>
      <c r="L48" s="22" t="s">
        <v>5</v>
      </c>
      <c r="M48" s="23" t="s">
        <v>7</v>
      </c>
      <c r="N48" s="28" t="s">
        <v>11</v>
      </c>
      <c r="O48" s="26" t="s">
        <v>3</v>
      </c>
      <c r="P48" s="26" t="s">
        <v>3</v>
      </c>
      <c r="Q48" s="26" t="s">
        <v>3</v>
      </c>
      <c r="R48" s="26" t="s">
        <v>3</v>
      </c>
      <c r="S48" s="26" t="s">
        <v>3</v>
      </c>
      <c r="T48" s="27" t="s">
        <v>7</v>
      </c>
      <c r="U48" s="28" t="s">
        <v>11</v>
      </c>
      <c r="V48" s="26" t="s">
        <v>3</v>
      </c>
      <c r="W48" s="26" t="s">
        <v>3</v>
      </c>
      <c r="X48" s="26" t="s">
        <v>3</v>
      </c>
      <c r="Y48" s="26" t="s">
        <v>3</v>
      </c>
      <c r="Z48" s="26" t="s">
        <v>3</v>
      </c>
      <c r="AA48" s="23" t="s">
        <v>7</v>
      </c>
      <c r="AB48" s="24" t="s">
        <v>9</v>
      </c>
      <c r="AC48" s="26" t="s">
        <v>3</v>
      </c>
      <c r="AD48" s="26" t="s">
        <v>3</v>
      </c>
      <c r="AE48" s="26" t="s">
        <v>3</v>
      </c>
      <c r="AF48" s="26" t="s">
        <v>3</v>
      </c>
      <c r="AG48" s="26" t="s">
        <v>3</v>
      </c>
      <c r="AH48" s="27" t="s">
        <v>7</v>
      </c>
      <c r="AI48" s="8">
        <f t="shared" si="16"/>
        <v>21</v>
      </c>
      <c r="AJ48" s="8">
        <f t="shared" si="17"/>
        <v>1</v>
      </c>
      <c r="AK48" s="29">
        <f t="shared" si="18"/>
        <v>3</v>
      </c>
      <c r="AL48" s="62">
        <v>3</v>
      </c>
      <c r="AM48" s="33">
        <f t="shared" si="19"/>
        <v>25.5</v>
      </c>
      <c r="AN48" s="63">
        <f t="shared" si="20"/>
        <v>176</v>
      </c>
      <c r="AO48" s="63">
        <f t="shared" si="21"/>
        <v>1</v>
      </c>
      <c r="AP48" s="63">
        <f t="shared" si="22"/>
        <v>4</v>
      </c>
      <c r="AQ48" s="53">
        <f t="shared" si="23"/>
        <v>25</v>
      </c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</row>
    <row r="49" spans="1:56" ht="22" customHeight="1" x14ac:dyDescent="0.35">
      <c r="A49" s="8" t="s">
        <v>125</v>
      </c>
      <c r="B49" s="8" t="s">
        <v>126</v>
      </c>
      <c r="C49" s="8" t="s">
        <v>104</v>
      </c>
      <c r="D49" s="26" t="s">
        <v>3</v>
      </c>
      <c r="E49" s="22" t="s">
        <v>5</v>
      </c>
      <c r="F49" s="23" t="s">
        <v>7</v>
      </c>
      <c r="G49" s="24" t="s">
        <v>9</v>
      </c>
      <c r="H49" s="26" t="s">
        <v>3</v>
      </c>
      <c r="I49" s="26" t="s">
        <v>3</v>
      </c>
      <c r="J49" s="26" t="s">
        <v>3</v>
      </c>
      <c r="K49" s="26" t="s">
        <v>3</v>
      </c>
      <c r="L49" s="26" t="s">
        <v>3</v>
      </c>
      <c r="M49" s="27" t="s">
        <v>7</v>
      </c>
      <c r="N49" s="28" t="s">
        <v>11</v>
      </c>
      <c r="O49" s="26" t="s">
        <v>3</v>
      </c>
      <c r="P49" s="26" t="s">
        <v>3</v>
      </c>
      <c r="Q49" s="26" t="s">
        <v>3</v>
      </c>
      <c r="R49" s="26" t="s">
        <v>3</v>
      </c>
      <c r="S49" s="26" t="s">
        <v>3</v>
      </c>
      <c r="T49" s="27" t="s">
        <v>7</v>
      </c>
      <c r="U49" s="28" t="s">
        <v>11</v>
      </c>
      <c r="V49" s="26" t="s">
        <v>3</v>
      </c>
      <c r="W49" s="26" t="s">
        <v>3</v>
      </c>
      <c r="X49" s="26" t="s">
        <v>3</v>
      </c>
      <c r="Y49" s="26" t="s">
        <v>3</v>
      </c>
      <c r="Z49" s="26" t="s">
        <v>3</v>
      </c>
      <c r="AA49" s="27" t="s">
        <v>7</v>
      </c>
      <c r="AB49" s="28" t="s">
        <v>11</v>
      </c>
      <c r="AC49" s="26" t="s">
        <v>3</v>
      </c>
      <c r="AD49" s="26" t="s">
        <v>3</v>
      </c>
      <c r="AE49" s="26" t="s">
        <v>3</v>
      </c>
      <c r="AF49" s="26" t="s">
        <v>3</v>
      </c>
      <c r="AG49" s="26" t="s">
        <v>3</v>
      </c>
      <c r="AH49" s="27" t="s">
        <v>7</v>
      </c>
      <c r="AI49" s="8">
        <f t="shared" si="16"/>
        <v>21</v>
      </c>
      <c r="AJ49" s="8">
        <f t="shared" si="17"/>
        <v>1</v>
      </c>
      <c r="AK49" s="29">
        <f t="shared" si="18"/>
        <v>3</v>
      </c>
      <c r="AL49" s="62">
        <v>4</v>
      </c>
      <c r="AM49" s="33">
        <f t="shared" si="19"/>
        <v>26</v>
      </c>
      <c r="AN49" s="63">
        <f t="shared" si="20"/>
        <v>176</v>
      </c>
      <c r="AO49" s="63">
        <f t="shared" si="21"/>
        <v>0</v>
      </c>
      <c r="AP49" s="63">
        <f t="shared" si="22"/>
        <v>0</v>
      </c>
      <c r="AQ49" s="53">
        <f t="shared" si="23"/>
        <v>26</v>
      </c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</row>
    <row r="50" spans="1:56" ht="22" customHeight="1" x14ac:dyDescent="0.35">
      <c r="A50" s="8" t="s">
        <v>127</v>
      </c>
      <c r="B50" s="8" t="s">
        <v>128</v>
      </c>
      <c r="C50" s="8" t="s">
        <v>104</v>
      </c>
      <c r="D50" s="26" t="s">
        <v>3</v>
      </c>
      <c r="E50" s="26" t="s">
        <v>3</v>
      </c>
      <c r="F50" s="27" t="s">
        <v>7</v>
      </c>
      <c r="G50" s="28" t="s">
        <v>11</v>
      </c>
      <c r="H50" s="26" t="s">
        <v>3</v>
      </c>
      <c r="I50" s="26" t="s">
        <v>3</v>
      </c>
      <c r="J50" s="26" t="s">
        <v>3</v>
      </c>
      <c r="K50" s="26" t="s">
        <v>3</v>
      </c>
      <c r="L50" s="26" t="s">
        <v>3</v>
      </c>
      <c r="M50" s="27" t="s">
        <v>7</v>
      </c>
      <c r="N50" s="28" t="s">
        <v>11</v>
      </c>
      <c r="O50" s="26" t="s">
        <v>3</v>
      </c>
      <c r="P50" s="26" t="s">
        <v>3</v>
      </c>
      <c r="Q50" s="26" t="s">
        <v>3</v>
      </c>
      <c r="R50" s="22" t="s">
        <v>5</v>
      </c>
      <c r="S50" s="22" t="s">
        <v>5</v>
      </c>
      <c r="T50" s="23" t="s">
        <v>7</v>
      </c>
      <c r="U50" s="24" t="s">
        <v>9</v>
      </c>
      <c r="V50" s="22" t="s">
        <v>5</v>
      </c>
      <c r="W50" s="22" t="s">
        <v>5</v>
      </c>
      <c r="X50" s="22" t="s">
        <v>5</v>
      </c>
      <c r="Y50" s="26" t="s">
        <v>3</v>
      </c>
      <c r="Z50" s="26" t="s">
        <v>3</v>
      </c>
      <c r="AA50" s="27" t="s">
        <v>7</v>
      </c>
      <c r="AB50" s="24" t="s">
        <v>9</v>
      </c>
      <c r="AC50" s="22" t="s">
        <v>5</v>
      </c>
      <c r="AD50" s="22" t="s">
        <v>5</v>
      </c>
      <c r="AE50" s="22" t="s">
        <v>5</v>
      </c>
      <c r="AF50" s="22" t="s">
        <v>5</v>
      </c>
      <c r="AG50" s="22" t="s">
        <v>5</v>
      </c>
      <c r="AH50" s="23" t="s">
        <v>7</v>
      </c>
      <c r="AI50" s="8">
        <f t="shared" si="16"/>
        <v>12</v>
      </c>
      <c r="AJ50" s="8">
        <f t="shared" si="17"/>
        <v>10</v>
      </c>
      <c r="AK50" s="29">
        <f t="shared" si="18"/>
        <v>2</v>
      </c>
      <c r="AL50" s="62">
        <v>3</v>
      </c>
      <c r="AM50" s="33">
        <f t="shared" si="19"/>
        <v>15.5</v>
      </c>
      <c r="AN50" s="63">
        <f t="shared" si="20"/>
        <v>176</v>
      </c>
      <c r="AO50" s="63">
        <f t="shared" si="21"/>
        <v>0</v>
      </c>
      <c r="AP50" s="63">
        <f t="shared" si="22"/>
        <v>0</v>
      </c>
      <c r="AQ50" s="53">
        <f t="shared" si="23"/>
        <v>15.5</v>
      </c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</row>
    <row r="51" spans="1:56" ht="22" customHeight="1" x14ac:dyDescent="0.35">
      <c r="A51" s="8" t="s">
        <v>129</v>
      </c>
      <c r="B51" s="8" t="s">
        <v>130</v>
      </c>
      <c r="C51" s="8" t="s">
        <v>104</v>
      </c>
      <c r="D51" s="22" t="s">
        <v>5</v>
      </c>
      <c r="E51" s="22" t="s">
        <v>5</v>
      </c>
      <c r="F51" s="23" t="s">
        <v>7</v>
      </c>
      <c r="G51" s="24" t="s">
        <v>9</v>
      </c>
      <c r="H51" s="22" t="s">
        <v>5</v>
      </c>
      <c r="I51" s="22" t="s">
        <v>5</v>
      </c>
      <c r="J51" s="22" t="s">
        <v>5</v>
      </c>
      <c r="K51" s="22" t="s">
        <v>5</v>
      </c>
      <c r="L51" s="22" t="s">
        <v>5</v>
      </c>
      <c r="M51" s="23" t="s">
        <v>7</v>
      </c>
      <c r="N51" s="24" t="s">
        <v>9</v>
      </c>
      <c r="O51" s="22" t="s">
        <v>5</v>
      </c>
      <c r="P51" s="22" t="s">
        <v>5</v>
      </c>
      <c r="Q51" s="22" t="s">
        <v>5</v>
      </c>
      <c r="R51" s="22" t="s">
        <v>5</v>
      </c>
      <c r="S51" s="22" t="s">
        <v>5</v>
      </c>
      <c r="T51" s="27" t="s">
        <v>7</v>
      </c>
      <c r="U51" s="28" t="s">
        <v>11</v>
      </c>
      <c r="V51" s="26" t="s">
        <v>3</v>
      </c>
      <c r="W51" s="26" t="s">
        <v>3</v>
      </c>
      <c r="X51" s="26" t="s">
        <v>3</v>
      </c>
      <c r="Y51" s="26" t="s">
        <v>3</v>
      </c>
      <c r="Z51" s="26" t="s">
        <v>3</v>
      </c>
      <c r="AA51" s="23" t="s">
        <v>7</v>
      </c>
      <c r="AB51" s="24" t="s">
        <v>9</v>
      </c>
      <c r="AC51" s="22" t="s">
        <v>5</v>
      </c>
      <c r="AD51" s="26" t="s">
        <v>3</v>
      </c>
      <c r="AE51" s="26" t="s">
        <v>3</v>
      </c>
      <c r="AF51" s="26" t="s">
        <v>3</v>
      </c>
      <c r="AG51" s="26" t="s">
        <v>3</v>
      </c>
      <c r="AH51" s="27" t="s">
        <v>7</v>
      </c>
      <c r="AI51" s="8">
        <f t="shared" si="16"/>
        <v>9</v>
      </c>
      <c r="AJ51" s="25">
        <f t="shared" si="17"/>
        <v>13</v>
      </c>
      <c r="AK51" s="29">
        <f t="shared" si="18"/>
        <v>1</v>
      </c>
      <c r="AL51" s="62">
        <v>2</v>
      </c>
      <c r="AM51" s="33">
        <f t="shared" si="19"/>
        <v>11</v>
      </c>
      <c r="AN51" s="63">
        <f t="shared" si="20"/>
        <v>176</v>
      </c>
      <c r="AO51" s="63">
        <f t="shared" si="21"/>
        <v>0</v>
      </c>
      <c r="AP51" s="63">
        <f t="shared" si="22"/>
        <v>0</v>
      </c>
      <c r="AQ51" s="53">
        <f t="shared" si="23"/>
        <v>11</v>
      </c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</row>
    <row r="52" spans="1:56" ht="22" customHeight="1" x14ac:dyDescent="0.35">
      <c r="A52" s="8" t="s">
        <v>131</v>
      </c>
      <c r="B52" s="8" t="s">
        <v>132</v>
      </c>
      <c r="C52" s="8" t="s">
        <v>104</v>
      </c>
      <c r="D52" s="26" t="s">
        <v>3</v>
      </c>
      <c r="E52" s="26" t="s">
        <v>3</v>
      </c>
      <c r="F52" s="27" t="s">
        <v>7</v>
      </c>
      <c r="G52" s="28" t="s">
        <v>11</v>
      </c>
      <c r="H52" s="26" t="s">
        <v>3</v>
      </c>
      <c r="I52" s="26" t="s">
        <v>3</v>
      </c>
      <c r="J52" s="26" t="s">
        <v>3</v>
      </c>
      <c r="K52" s="26" t="s">
        <v>3</v>
      </c>
      <c r="L52" s="22" t="s">
        <v>5</v>
      </c>
      <c r="M52" s="23" t="s">
        <v>7</v>
      </c>
      <c r="N52" s="24" t="s">
        <v>9</v>
      </c>
      <c r="O52" s="22" t="s">
        <v>5</v>
      </c>
      <c r="P52" s="22" t="s">
        <v>5</v>
      </c>
      <c r="Q52" s="26" t="s">
        <v>3</v>
      </c>
      <c r="R52" s="22" t="s">
        <v>5</v>
      </c>
      <c r="S52" s="22" t="s">
        <v>5</v>
      </c>
      <c r="T52" s="27" t="s">
        <v>7</v>
      </c>
      <c r="U52" s="28" t="s">
        <v>11</v>
      </c>
      <c r="V52" s="26" t="s">
        <v>3</v>
      </c>
      <c r="W52" s="26" t="s">
        <v>3</v>
      </c>
      <c r="X52" s="26" t="s">
        <v>3</v>
      </c>
      <c r="Y52" s="26" t="s">
        <v>3</v>
      </c>
      <c r="Z52" s="26" t="s">
        <v>3</v>
      </c>
      <c r="AA52" s="23" t="s">
        <v>7</v>
      </c>
      <c r="AB52" s="28" t="s">
        <v>11</v>
      </c>
      <c r="AC52" s="26" t="s">
        <v>3</v>
      </c>
      <c r="AD52" s="26" t="s">
        <v>3</v>
      </c>
      <c r="AE52" s="26" t="s">
        <v>3</v>
      </c>
      <c r="AF52" s="26" t="s">
        <v>3</v>
      </c>
      <c r="AG52" s="26" t="s">
        <v>3</v>
      </c>
      <c r="AH52" s="27" t="s">
        <v>7</v>
      </c>
      <c r="AI52" s="8">
        <f t="shared" si="16"/>
        <v>17</v>
      </c>
      <c r="AJ52" s="8">
        <f t="shared" si="17"/>
        <v>5</v>
      </c>
      <c r="AK52" s="29">
        <f t="shared" si="18"/>
        <v>3</v>
      </c>
      <c r="AL52" s="62">
        <v>3</v>
      </c>
      <c r="AM52" s="33">
        <f t="shared" si="19"/>
        <v>21.5</v>
      </c>
      <c r="AN52" s="63">
        <f t="shared" si="20"/>
        <v>176</v>
      </c>
      <c r="AO52" s="63">
        <f t="shared" si="21"/>
        <v>0</v>
      </c>
      <c r="AP52" s="63">
        <f t="shared" si="22"/>
        <v>0</v>
      </c>
      <c r="AQ52" s="53">
        <f t="shared" si="23"/>
        <v>21.5</v>
      </c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</row>
    <row r="53" spans="1:56" ht="22" customHeight="1" x14ac:dyDescent="0.35">
      <c r="A53" s="8" t="s">
        <v>133</v>
      </c>
      <c r="B53" s="8" t="s">
        <v>134</v>
      </c>
      <c r="C53" s="8" t="s">
        <v>104</v>
      </c>
      <c r="D53" s="22" t="s">
        <v>5</v>
      </c>
      <c r="E53" s="22" t="s">
        <v>5</v>
      </c>
      <c r="F53" s="23" t="s">
        <v>7</v>
      </c>
      <c r="G53" s="24" t="s">
        <v>9</v>
      </c>
      <c r="H53" s="22" t="s">
        <v>5</v>
      </c>
      <c r="I53" s="22" t="s">
        <v>5</v>
      </c>
      <c r="J53" s="22" t="s">
        <v>5</v>
      </c>
      <c r="K53" s="22" t="s">
        <v>5</v>
      </c>
      <c r="L53" s="22" t="s">
        <v>5</v>
      </c>
      <c r="M53" s="23" t="s">
        <v>7</v>
      </c>
      <c r="N53" s="24" t="s">
        <v>9</v>
      </c>
      <c r="O53" s="22" t="s">
        <v>5</v>
      </c>
      <c r="P53" s="22" t="s">
        <v>5</v>
      </c>
      <c r="Q53" s="22" t="s">
        <v>5</v>
      </c>
      <c r="R53" s="22" t="s">
        <v>5</v>
      </c>
      <c r="S53" s="22" t="s">
        <v>5</v>
      </c>
      <c r="T53" s="23" t="s">
        <v>7</v>
      </c>
      <c r="U53" s="24" t="s">
        <v>9</v>
      </c>
      <c r="V53" s="22" t="s">
        <v>5</v>
      </c>
      <c r="W53" s="26" t="s">
        <v>3</v>
      </c>
      <c r="X53" s="26" t="s">
        <v>3</v>
      </c>
      <c r="Y53" s="26" t="s">
        <v>3</v>
      </c>
      <c r="Z53" s="26" t="s">
        <v>3</v>
      </c>
      <c r="AA53" s="23" t="s">
        <v>7</v>
      </c>
      <c r="AB53" s="24" t="s">
        <v>9</v>
      </c>
      <c r="AC53" s="22" t="s">
        <v>5</v>
      </c>
      <c r="AD53" s="26" t="s">
        <v>3</v>
      </c>
      <c r="AE53" s="26" t="s">
        <v>3</v>
      </c>
      <c r="AF53" s="26" t="s">
        <v>3</v>
      </c>
      <c r="AG53" s="26" t="s">
        <v>3</v>
      </c>
      <c r="AH53" s="27" t="s">
        <v>7</v>
      </c>
      <c r="AI53" s="8">
        <f t="shared" si="16"/>
        <v>8</v>
      </c>
      <c r="AJ53" s="25">
        <f t="shared" si="17"/>
        <v>14</v>
      </c>
      <c r="AK53" s="8">
        <f t="shared" si="18"/>
        <v>0</v>
      </c>
      <c r="AL53" s="62">
        <v>1</v>
      </c>
      <c r="AM53" s="33">
        <f t="shared" si="19"/>
        <v>8.5</v>
      </c>
      <c r="AN53" s="63">
        <f t="shared" si="20"/>
        <v>176</v>
      </c>
      <c r="AO53" s="63">
        <f t="shared" si="21"/>
        <v>1</v>
      </c>
      <c r="AP53" s="63">
        <f t="shared" si="22"/>
        <v>4</v>
      </c>
      <c r="AQ53" s="53">
        <f t="shared" si="23"/>
        <v>8</v>
      </c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</row>
    <row r="54" spans="1:56" ht="22" customHeight="1" x14ac:dyDescent="0.35">
      <c r="A54" s="8" t="s">
        <v>135</v>
      </c>
      <c r="B54" s="8" t="s">
        <v>136</v>
      </c>
      <c r="C54" s="8" t="s">
        <v>104</v>
      </c>
      <c r="D54" s="22" t="s">
        <v>5</v>
      </c>
      <c r="E54" s="26" t="s">
        <v>3</v>
      </c>
      <c r="F54" s="27" t="s">
        <v>7</v>
      </c>
      <c r="G54" s="28" t="s">
        <v>11</v>
      </c>
      <c r="H54" s="26" t="s">
        <v>3</v>
      </c>
      <c r="I54" s="26" t="s">
        <v>3</v>
      </c>
      <c r="J54" s="26" t="s">
        <v>3</v>
      </c>
      <c r="K54" s="22" t="s">
        <v>5</v>
      </c>
      <c r="L54" s="22" t="s">
        <v>5</v>
      </c>
      <c r="M54" s="27" t="s">
        <v>7</v>
      </c>
      <c r="N54" s="28" t="s">
        <v>11</v>
      </c>
      <c r="O54" s="26" t="s">
        <v>3</v>
      </c>
      <c r="P54" s="26" t="s">
        <v>3</v>
      </c>
      <c r="Q54" s="26" t="s">
        <v>3</v>
      </c>
      <c r="R54" s="22" t="s">
        <v>5</v>
      </c>
      <c r="S54" s="22" t="s">
        <v>5</v>
      </c>
      <c r="T54" s="23" t="s">
        <v>7</v>
      </c>
      <c r="U54" s="24" t="s">
        <v>9</v>
      </c>
      <c r="V54" s="22" t="s">
        <v>5</v>
      </c>
      <c r="W54" s="22" t="s">
        <v>5</v>
      </c>
      <c r="X54" s="22" t="s">
        <v>5</v>
      </c>
      <c r="Y54" s="22" t="s">
        <v>5</v>
      </c>
      <c r="Z54" s="22" t="s">
        <v>5</v>
      </c>
      <c r="AA54" s="23" t="s">
        <v>7</v>
      </c>
      <c r="AB54" s="24" t="s">
        <v>9</v>
      </c>
      <c r="AC54" s="26" t="s">
        <v>3</v>
      </c>
      <c r="AD54" s="26" t="s">
        <v>3</v>
      </c>
      <c r="AE54" s="26" t="s">
        <v>3</v>
      </c>
      <c r="AF54" s="26" t="s">
        <v>3</v>
      </c>
      <c r="AG54" s="26" t="s">
        <v>3</v>
      </c>
      <c r="AH54" s="27" t="s">
        <v>7</v>
      </c>
      <c r="AI54" s="8">
        <f t="shared" si="16"/>
        <v>12</v>
      </c>
      <c r="AJ54" s="8">
        <f t="shared" si="17"/>
        <v>10</v>
      </c>
      <c r="AK54" s="29">
        <f t="shared" si="18"/>
        <v>2</v>
      </c>
      <c r="AL54" s="62">
        <v>3</v>
      </c>
      <c r="AM54" s="33">
        <f t="shared" si="19"/>
        <v>15.5</v>
      </c>
      <c r="AN54" s="63">
        <f t="shared" si="20"/>
        <v>176</v>
      </c>
      <c r="AO54" s="63">
        <f t="shared" si="21"/>
        <v>0</v>
      </c>
      <c r="AP54" s="63">
        <f t="shared" si="22"/>
        <v>0</v>
      </c>
      <c r="AQ54" s="53">
        <f t="shared" si="23"/>
        <v>15.5</v>
      </c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</row>
    <row r="55" spans="1:56" ht="22" customHeight="1" x14ac:dyDescent="0.35">
      <c r="A55" s="8" t="s">
        <v>137</v>
      </c>
      <c r="B55" s="8" t="s">
        <v>138</v>
      </c>
      <c r="C55" s="8" t="s">
        <v>104</v>
      </c>
      <c r="D55" s="22" t="s">
        <v>5</v>
      </c>
      <c r="E55" s="26" t="s">
        <v>3</v>
      </c>
      <c r="F55" s="27" t="s">
        <v>7</v>
      </c>
      <c r="G55" s="28" t="s">
        <v>11</v>
      </c>
      <c r="H55" s="22" t="s">
        <v>5</v>
      </c>
      <c r="I55" s="22" t="s">
        <v>5</v>
      </c>
      <c r="J55" s="22" t="s">
        <v>5</v>
      </c>
      <c r="K55" s="22" t="s">
        <v>5</v>
      </c>
      <c r="L55" s="22" t="s">
        <v>5</v>
      </c>
      <c r="M55" s="23" t="s">
        <v>7</v>
      </c>
      <c r="N55" s="24" t="s">
        <v>9</v>
      </c>
      <c r="O55" s="22" t="s">
        <v>5</v>
      </c>
      <c r="P55" s="22" t="s">
        <v>5</v>
      </c>
      <c r="Q55" s="22" t="s">
        <v>5</v>
      </c>
      <c r="R55" s="22" t="s">
        <v>5</v>
      </c>
      <c r="S55" s="22" t="s">
        <v>5</v>
      </c>
      <c r="T55" s="27" t="s">
        <v>7</v>
      </c>
      <c r="U55" s="28" t="s">
        <v>11</v>
      </c>
      <c r="V55" s="22" t="s">
        <v>5</v>
      </c>
      <c r="W55" s="22" t="s">
        <v>5</v>
      </c>
      <c r="X55" s="22" t="s">
        <v>5</v>
      </c>
      <c r="Y55" s="22" t="s">
        <v>5</v>
      </c>
      <c r="Z55" s="22" t="s">
        <v>5</v>
      </c>
      <c r="AA55" s="23" t="s">
        <v>7</v>
      </c>
      <c r="AB55" s="24" t="s">
        <v>9</v>
      </c>
      <c r="AC55" s="26" t="s">
        <v>3</v>
      </c>
      <c r="AD55" s="26" t="s">
        <v>3</v>
      </c>
      <c r="AE55" s="26" t="s">
        <v>3</v>
      </c>
      <c r="AF55" s="26" t="s">
        <v>3</v>
      </c>
      <c r="AG55" s="26" t="s">
        <v>3</v>
      </c>
      <c r="AH55" s="27" t="s">
        <v>7</v>
      </c>
      <c r="AI55" s="8">
        <f t="shared" si="16"/>
        <v>6</v>
      </c>
      <c r="AJ55" s="25">
        <f t="shared" si="17"/>
        <v>16</v>
      </c>
      <c r="AK55" s="29">
        <f t="shared" si="18"/>
        <v>2</v>
      </c>
      <c r="AL55" s="62">
        <v>3</v>
      </c>
      <c r="AM55" s="33">
        <f t="shared" si="19"/>
        <v>9.5</v>
      </c>
      <c r="AN55" s="63">
        <f t="shared" si="20"/>
        <v>176</v>
      </c>
      <c r="AO55" s="63">
        <f t="shared" si="21"/>
        <v>0</v>
      </c>
      <c r="AP55" s="63">
        <f t="shared" si="22"/>
        <v>0</v>
      </c>
      <c r="AQ55" s="53">
        <f t="shared" si="23"/>
        <v>9.5</v>
      </c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</row>
    <row r="56" spans="1:56" ht="22" customHeight="1" x14ac:dyDescent="0.35">
      <c r="A56" s="8" t="s">
        <v>139</v>
      </c>
      <c r="B56" s="8" t="s">
        <v>140</v>
      </c>
      <c r="C56" s="8" t="s">
        <v>104</v>
      </c>
      <c r="D56" s="22" t="s">
        <v>5</v>
      </c>
      <c r="E56" s="22" t="s">
        <v>5</v>
      </c>
      <c r="F56" s="23" t="s">
        <v>7</v>
      </c>
      <c r="G56" s="24" t="s">
        <v>9</v>
      </c>
      <c r="H56" s="22" t="s">
        <v>5</v>
      </c>
      <c r="I56" s="22" t="s">
        <v>5</v>
      </c>
      <c r="J56" s="22" t="s">
        <v>5</v>
      </c>
      <c r="K56" s="22" t="s">
        <v>5</v>
      </c>
      <c r="L56" s="22" t="s">
        <v>5</v>
      </c>
      <c r="M56" s="23" t="s">
        <v>7</v>
      </c>
      <c r="N56" s="24" t="s">
        <v>9</v>
      </c>
      <c r="O56" s="22" t="s">
        <v>5</v>
      </c>
      <c r="P56" s="22" t="s">
        <v>5</v>
      </c>
      <c r="Q56" s="22" t="s">
        <v>5</v>
      </c>
      <c r="R56" s="22" t="s">
        <v>5</v>
      </c>
      <c r="S56" s="26" t="s">
        <v>3</v>
      </c>
      <c r="T56" s="23" t="s">
        <v>7</v>
      </c>
      <c r="U56" s="28" t="s">
        <v>11</v>
      </c>
      <c r="V56" s="26" t="s">
        <v>3</v>
      </c>
      <c r="W56" s="26" t="s">
        <v>3</v>
      </c>
      <c r="X56" s="26" t="s">
        <v>3</v>
      </c>
      <c r="Y56" s="26" t="s">
        <v>3</v>
      </c>
      <c r="Z56" s="26" t="s">
        <v>3</v>
      </c>
      <c r="AA56" s="23" t="s">
        <v>7</v>
      </c>
      <c r="AB56" s="24" t="s">
        <v>9</v>
      </c>
      <c r="AC56" s="22" t="s">
        <v>5</v>
      </c>
      <c r="AD56" s="22" t="s">
        <v>5</v>
      </c>
      <c r="AE56" s="22" t="s">
        <v>5</v>
      </c>
      <c r="AF56" s="22" t="s">
        <v>5</v>
      </c>
      <c r="AG56" s="22" t="s">
        <v>5</v>
      </c>
      <c r="AH56" s="23" t="s">
        <v>7</v>
      </c>
      <c r="AI56" s="8">
        <f t="shared" si="16"/>
        <v>6</v>
      </c>
      <c r="AJ56" s="25">
        <f t="shared" si="17"/>
        <v>16</v>
      </c>
      <c r="AK56" s="29">
        <f t="shared" si="18"/>
        <v>1</v>
      </c>
      <c r="AL56" s="62">
        <v>0</v>
      </c>
      <c r="AM56" s="33">
        <f t="shared" si="19"/>
        <v>7</v>
      </c>
      <c r="AN56" s="63">
        <f t="shared" si="20"/>
        <v>176</v>
      </c>
      <c r="AO56" s="63">
        <f t="shared" si="21"/>
        <v>2</v>
      </c>
      <c r="AP56" s="63">
        <f t="shared" si="22"/>
        <v>8</v>
      </c>
      <c r="AQ56" s="53">
        <f t="shared" si="23"/>
        <v>6</v>
      </c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spans="1:56" ht="22" customHeight="1" x14ac:dyDescent="0.35">
      <c r="A57" s="8" t="s">
        <v>141</v>
      </c>
      <c r="B57" s="8" t="s">
        <v>142</v>
      </c>
      <c r="C57" s="8" t="s">
        <v>104</v>
      </c>
      <c r="D57" s="26" t="s">
        <v>3</v>
      </c>
      <c r="E57" s="26" t="s">
        <v>3</v>
      </c>
      <c r="F57" s="27" t="s">
        <v>7</v>
      </c>
      <c r="G57" s="28" t="s">
        <v>11</v>
      </c>
      <c r="H57" s="26" t="s">
        <v>3</v>
      </c>
      <c r="I57" s="26" t="s">
        <v>3</v>
      </c>
      <c r="J57" s="26" t="s">
        <v>3</v>
      </c>
      <c r="K57" s="22" t="s">
        <v>5</v>
      </c>
      <c r="L57" s="22" t="s">
        <v>5</v>
      </c>
      <c r="M57" s="23" t="s">
        <v>7</v>
      </c>
      <c r="N57" s="24" t="s">
        <v>9</v>
      </c>
      <c r="O57" s="22" t="s">
        <v>5</v>
      </c>
      <c r="P57" s="22" t="s">
        <v>5</v>
      </c>
      <c r="Q57" s="22" t="s">
        <v>5</v>
      </c>
      <c r="R57" s="22" t="s">
        <v>5</v>
      </c>
      <c r="S57" s="22" t="s">
        <v>5</v>
      </c>
      <c r="T57" s="27" t="s">
        <v>7</v>
      </c>
      <c r="U57" s="28" t="s">
        <v>11</v>
      </c>
      <c r="V57" s="26" t="s">
        <v>3</v>
      </c>
      <c r="W57" s="26" t="s">
        <v>3</v>
      </c>
      <c r="X57" s="26" t="s">
        <v>3</v>
      </c>
      <c r="Y57" s="26" t="s">
        <v>3</v>
      </c>
      <c r="Z57" s="26" t="s">
        <v>3</v>
      </c>
      <c r="AA57" s="23" t="s">
        <v>7</v>
      </c>
      <c r="AB57" s="24" t="s">
        <v>9</v>
      </c>
      <c r="AC57" s="26" t="s">
        <v>3</v>
      </c>
      <c r="AD57" s="26" t="s">
        <v>3</v>
      </c>
      <c r="AE57" s="26" t="s">
        <v>3</v>
      </c>
      <c r="AF57" s="26" t="s">
        <v>3</v>
      </c>
      <c r="AG57" s="22" t="s">
        <v>5</v>
      </c>
      <c r="AH57" s="23" t="s">
        <v>7</v>
      </c>
      <c r="AI57" s="8">
        <f t="shared" si="16"/>
        <v>14</v>
      </c>
      <c r="AJ57" s="8">
        <f t="shared" si="17"/>
        <v>8</v>
      </c>
      <c r="AK57" s="29">
        <f t="shared" si="18"/>
        <v>2</v>
      </c>
      <c r="AL57" s="62">
        <v>2</v>
      </c>
      <c r="AM57" s="33">
        <f t="shared" si="19"/>
        <v>17</v>
      </c>
      <c r="AN57" s="63">
        <f t="shared" si="20"/>
        <v>176</v>
      </c>
      <c r="AO57" s="63">
        <f t="shared" si="21"/>
        <v>0</v>
      </c>
      <c r="AP57" s="63">
        <f t="shared" si="22"/>
        <v>0</v>
      </c>
      <c r="AQ57" s="53">
        <f t="shared" si="23"/>
        <v>17</v>
      </c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</row>
    <row r="58" spans="1:56" ht="22" customHeight="1" x14ac:dyDescent="0.35">
      <c r="A58" s="8" t="s">
        <v>143</v>
      </c>
      <c r="B58" s="8" t="s">
        <v>144</v>
      </c>
      <c r="C58" s="8" t="s">
        <v>104</v>
      </c>
      <c r="D58" s="22" t="s">
        <v>5</v>
      </c>
      <c r="E58" s="22" t="s">
        <v>5</v>
      </c>
      <c r="F58" s="23" t="s">
        <v>7</v>
      </c>
      <c r="G58" s="24" t="s">
        <v>9</v>
      </c>
      <c r="H58" s="22" t="s">
        <v>5</v>
      </c>
      <c r="I58" s="22" t="s">
        <v>5</v>
      </c>
      <c r="J58" s="22" t="s">
        <v>5</v>
      </c>
      <c r="K58" s="22" t="s">
        <v>5</v>
      </c>
      <c r="L58" s="22" t="s">
        <v>5</v>
      </c>
      <c r="M58" s="23" t="s">
        <v>7</v>
      </c>
      <c r="N58" s="24" t="s">
        <v>9</v>
      </c>
      <c r="O58" s="22" t="s">
        <v>5</v>
      </c>
      <c r="P58" s="22" t="s">
        <v>5</v>
      </c>
      <c r="Q58" s="22" t="s">
        <v>5</v>
      </c>
      <c r="R58" s="26" t="s">
        <v>3</v>
      </c>
      <c r="S58" s="26" t="s">
        <v>3</v>
      </c>
      <c r="T58" s="27" t="s">
        <v>7</v>
      </c>
      <c r="U58" s="28" t="s">
        <v>11</v>
      </c>
      <c r="V58" s="26" t="s">
        <v>3</v>
      </c>
      <c r="W58" s="26" t="s">
        <v>3</v>
      </c>
      <c r="X58" s="26" t="s">
        <v>3</v>
      </c>
      <c r="Y58" s="26" t="s">
        <v>3</v>
      </c>
      <c r="Z58" s="26" t="s">
        <v>3</v>
      </c>
      <c r="AA58" s="27" t="s">
        <v>7</v>
      </c>
      <c r="AB58" s="28" t="s">
        <v>11</v>
      </c>
      <c r="AC58" s="26" t="s">
        <v>3</v>
      </c>
      <c r="AD58" s="22" t="s">
        <v>5</v>
      </c>
      <c r="AE58" s="22" t="s">
        <v>5</v>
      </c>
      <c r="AF58" s="22" t="s">
        <v>5</v>
      </c>
      <c r="AG58" s="22" t="s">
        <v>5</v>
      </c>
      <c r="AH58" s="23" t="s">
        <v>7</v>
      </c>
      <c r="AI58" s="8">
        <f t="shared" si="16"/>
        <v>8</v>
      </c>
      <c r="AJ58" s="25">
        <f t="shared" si="17"/>
        <v>14</v>
      </c>
      <c r="AK58" s="29">
        <f t="shared" si="18"/>
        <v>2</v>
      </c>
      <c r="AL58" s="62">
        <v>2</v>
      </c>
      <c r="AM58" s="33">
        <f t="shared" si="19"/>
        <v>11</v>
      </c>
      <c r="AN58" s="63">
        <f t="shared" si="20"/>
        <v>176</v>
      </c>
      <c r="AO58" s="63">
        <f t="shared" si="21"/>
        <v>0</v>
      </c>
      <c r="AP58" s="63">
        <f t="shared" si="22"/>
        <v>0</v>
      </c>
      <c r="AQ58" s="53">
        <f t="shared" si="23"/>
        <v>11</v>
      </c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</row>
    <row r="59" spans="1:56" ht="22" customHeight="1" x14ac:dyDescent="0.35">
      <c r="A59" s="8" t="s">
        <v>145</v>
      </c>
      <c r="B59" s="8" t="s">
        <v>146</v>
      </c>
      <c r="C59" s="8" t="s">
        <v>104</v>
      </c>
      <c r="D59" s="22" t="s">
        <v>5</v>
      </c>
      <c r="E59" s="22" t="s">
        <v>5</v>
      </c>
      <c r="F59" s="23" t="s">
        <v>7</v>
      </c>
      <c r="G59" s="24" t="s">
        <v>9</v>
      </c>
      <c r="H59" s="22" t="s">
        <v>5</v>
      </c>
      <c r="I59" s="22" t="s">
        <v>5</v>
      </c>
      <c r="J59" s="22" t="s">
        <v>5</v>
      </c>
      <c r="K59" s="22" t="s">
        <v>5</v>
      </c>
      <c r="L59" s="22" t="s">
        <v>5</v>
      </c>
      <c r="M59" s="23" t="s">
        <v>7</v>
      </c>
      <c r="N59" s="24" t="s">
        <v>9</v>
      </c>
      <c r="O59" s="22" t="s">
        <v>5</v>
      </c>
      <c r="P59" s="22" t="s">
        <v>5</v>
      </c>
      <c r="Q59" s="22" t="s">
        <v>5</v>
      </c>
      <c r="R59" s="22" t="s">
        <v>5</v>
      </c>
      <c r="S59" s="22" t="s">
        <v>5</v>
      </c>
      <c r="T59" s="23" t="s">
        <v>7</v>
      </c>
      <c r="U59" s="24" t="s">
        <v>9</v>
      </c>
      <c r="V59" s="22" t="s">
        <v>5</v>
      </c>
      <c r="W59" s="26" t="s">
        <v>3</v>
      </c>
      <c r="X59" s="26" t="s">
        <v>3</v>
      </c>
      <c r="Y59" s="26" t="s">
        <v>3</v>
      </c>
      <c r="Z59" s="26" t="s">
        <v>3</v>
      </c>
      <c r="AA59" s="23" t="s">
        <v>7</v>
      </c>
      <c r="AB59" s="24" t="s">
        <v>9</v>
      </c>
      <c r="AC59" s="22" t="s">
        <v>5</v>
      </c>
      <c r="AD59" s="22" t="s">
        <v>5</v>
      </c>
      <c r="AE59" s="22" t="s">
        <v>5</v>
      </c>
      <c r="AF59" s="22" t="s">
        <v>5</v>
      </c>
      <c r="AG59" s="26" t="s">
        <v>3</v>
      </c>
      <c r="AH59" s="27" t="s">
        <v>7</v>
      </c>
      <c r="AI59" s="8">
        <f t="shared" si="16"/>
        <v>5</v>
      </c>
      <c r="AJ59" s="25">
        <f t="shared" si="17"/>
        <v>17</v>
      </c>
      <c r="AK59" s="8">
        <f t="shared" si="18"/>
        <v>0</v>
      </c>
      <c r="AL59" s="62">
        <v>1</v>
      </c>
      <c r="AM59" s="33">
        <f t="shared" si="19"/>
        <v>5.5</v>
      </c>
      <c r="AN59" s="63">
        <f t="shared" si="20"/>
        <v>176</v>
      </c>
      <c r="AO59" s="63">
        <f t="shared" si="21"/>
        <v>1</v>
      </c>
      <c r="AP59" s="63">
        <f t="shared" si="22"/>
        <v>4</v>
      </c>
      <c r="AQ59" s="53">
        <f t="shared" si="23"/>
        <v>5</v>
      </c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</row>
    <row r="60" spans="1:56" ht="22" customHeight="1" x14ac:dyDescent="0.35">
      <c r="A60" s="8" t="s">
        <v>147</v>
      </c>
      <c r="B60" s="8" t="s">
        <v>148</v>
      </c>
      <c r="C60" s="8" t="s">
        <v>104</v>
      </c>
      <c r="D60" s="22" t="s">
        <v>5</v>
      </c>
      <c r="E60" s="26" t="s">
        <v>3</v>
      </c>
      <c r="F60" s="27" t="s">
        <v>7</v>
      </c>
      <c r="G60" s="28" t="s">
        <v>11</v>
      </c>
      <c r="H60" s="26" t="s">
        <v>3</v>
      </c>
      <c r="I60" s="26" t="s">
        <v>3</v>
      </c>
      <c r="J60" s="26" t="s">
        <v>3</v>
      </c>
      <c r="K60" s="22" t="s">
        <v>5</v>
      </c>
      <c r="L60" s="22" t="s">
        <v>5</v>
      </c>
      <c r="M60" s="23" t="s">
        <v>7</v>
      </c>
      <c r="N60" s="24" t="s">
        <v>9</v>
      </c>
      <c r="O60" s="22" t="s">
        <v>5</v>
      </c>
      <c r="P60" s="22" t="s">
        <v>5</v>
      </c>
      <c r="Q60" s="22" t="s">
        <v>5</v>
      </c>
      <c r="R60" s="22" t="s">
        <v>5</v>
      </c>
      <c r="S60" s="22" t="s">
        <v>5</v>
      </c>
      <c r="T60" s="23" t="s">
        <v>7</v>
      </c>
      <c r="U60" s="28" t="s">
        <v>11</v>
      </c>
      <c r="V60" s="26" t="s">
        <v>3</v>
      </c>
      <c r="W60" s="26" t="s">
        <v>3</v>
      </c>
      <c r="X60" s="26" t="s">
        <v>3</v>
      </c>
      <c r="Y60" s="26" t="s">
        <v>3</v>
      </c>
      <c r="Z60" s="26" t="s">
        <v>3</v>
      </c>
      <c r="AA60" s="23" t="s">
        <v>7</v>
      </c>
      <c r="AB60" s="24" t="s">
        <v>9</v>
      </c>
      <c r="AC60" s="22" t="s">
        <v>5</v>
      </c>
      <c r="AD60" s="22" t="s">
        <v>5</v>
      </c>
      <c r="AE60" s="22" t="s">
        <v>5</v>
      </c>
      <c r="AF60" s="22" t="s">
        <v>5</v>
      </c>
      <c r="AG60" s="26" t="s">
        <v>3</v>
      </c>
      <c r="AH60" s="27" t="s">
        <v>7</v>
      </c>
      <c r="AI60" s="8">
        <f t="shared" si="16"/>
        <v>10</v>
      </c>
      <c r="AJ60" s="25">
        <f t="shared" si="17"/>
        <v>12</v>
      </c>
      <c r="AK60" s="29">
        <f t="shared" si="18"/>
        <v>2</v>
      </c>
      <c r="AL60" s="62">
        <v>2</v>
      </c>
      <c r="AM60" s="33">
        <f t="shared" si="19"/>
        <v>13</v>
      </c>
      <c r="AN60" s="63">
        <f t="shared" si="20"/>
        <v>176</v>
      </c>
      <c r="AO60" s="63">
        <f t="shared" si="21"/>
        <v>1</v>
      </c>
      <c r="AP60" s="63">
        <f t="shared" si="22"/>
        <v>4</v>
      </c>
      <c r="AQ60" s="53">
        <f t="shared" si="23"/>
        <v>12.5</v>
      </c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</row>
    <row r="61" spans="1:56" ht="22" customHeight="1" x14ac:dyDescent="0.35">
      <c r="A61" s="8" t="s">
        <v>149</v>
      </c>
      <c r="B61" s="8" t="s">
        <v>150</v>
      </c>
      <c r="C61" s="8" t="s">
        <v>104</v>
      </c>
      <c r="D61" s="26" t="s">
        <v>3</v>
      </c>
      <c r="E61" s="26" t="s">
        <v>3</v>
      </c>
      <c r="F61" s="27" t="s">
        <v>7</v>
      </c>
      <c r="G61" s="28" t="s">
        <v>11</v>
      </c>
      <c r="H61" s="26" t="s">
        <v>3</v>
      </c>
      <c r="I61" s="26" t="s">
        <v>3</v>
      </c>
      <c r="J61" s="26" t="s">
        <v>3</v>
      </c>
      <c r="K61" s="22" t="s">
        <v>5</v>
      </c>
      <c r="L61" s="22" t="s">
        <v>5</v>
      </c>
      <c r="M61" s="23" t="s">
        <v>7</v>
      </c>
      <c r="N61" s="28" t="s">
        <v>11</v>
      </c>
      <c r="O61" s="26" t="s">
        <v>3</v>
      </c>
      <c r="P61" s="26" t="s">
        <v>3</v>
      </c>
      <c r="Q61" s="26" t="s">
        <v>3</v>
      </c>
      <c r="R61" s="22" t="s">
        <v>5</v>
      </c>
      <c r="S61" s="22" t="s">
        <v>5</v>
      </c>
      <c r="T61" s="27" t="s">
        <v>7</v>
      </c>
      <c r="U61" s="28" t="s">
        <v>11</v>
      </c>
      <c r="V61" s="26" t="s">
        <v>3</v>
      </c>
      <c r="W61" s="26" t="s">
        <v>3</v>
      </c>
      <c r="X61" s="26" t="s">
        <v>3</v>
      </c>
      <c r="Y61" s="26" t="s">
        <v>3</v>
      </c>
      <c r="Z61" s="26" t="s">
        <v>3</v>
      </c>
      <c r="AA61" s="23" t="s">
        <v>7</v>
      </c>
      <c r="AB61" s="28" t="s">
        <v>11</v>
      </c>
      <c r="AC61" s="22" t="s">
        <v>5</v>
      </c>
      <c r="AD61" s="22" t="s">
        <v>5</v>
      </c>
      <c r="AE61" s="22" t="s">
        <v>5</v>
      </c>
      <c r="AF61" s="22" t="s">
        <v>5</v>
      </c>
      <c r="AG61" s="22" t="s">
        <v>5</v>
      </c>
      <c r="AH61" s="23" t="s">
        <v>7</v>
      </c>
      <c r="AI61" s="8">
        <f t="shared" si="16"/>
        <v>13</v>
      </c>
      <c r="AJ61" s="8">
        <f t="shared" si="17"/>
        <v>9</v>
      </c>
      <c r="AK61" s="29">
        <f t="shared" si="18"/>
        <v>4</v>
      </c>
      <c r="AL61" s="62">
        <v>2</v>
      </c>
      <c r="AM61" s="33">
        <f t="shared" si="19"/>
        <v>18</v>
      </c>
      <c r="AN61" s="63">
        <f t="shared" si="20"/>
        <v>176</v>
      </c>
      <c r="AO61" s="63">
        <f t="shared" si="21"/>
        <v>0</v>
      </c>
      <c r="AP61" s="63">
        <f t="shared" si="22"/>
        <v>0</v>
      </c>
      <c r="AQ61" s="53">
        <f t="shared" si="23"/>
        <v>18</v>
      </c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</row>
    <row r="62" spans="1:56" ht="22" customHeight="1" x14ac:dyDescent="0.35">
      <c r="A62" s="8" t="s">
        <v>151</v>
      </c>
      <c r="B62" s="8" t="s">
        <v>152</v>
      </c>
      <c r="C62" s="8" t="s">
        <v>104</v>
      </c>
      <c r="D62" s="22" t="s">
        <v>5</v>
      </c>
      <c r="E62" s="22" t="s">
        <v>5</v>
      </c>
      <c r="F62" s="23" t="s">
        <v>7</v>
      </c>
      <c r="G62" s="24" t="s">
        <v>9</v>
      </c>
      <c r="H62" s="22" t="s">
        <v>5</v>
      </c>
      <c r="I62" s="22" t="s">
        <v>5</v>
      </c>
      <c r="J62" s="22" t="s">
        <v>5</v>
      </c>
      <c r="K62" s="22" t="s">
        <v>5</v>
      </c>
      <c r="L62" s="22" t="s">
        <v>5</v>
      </c>
      <c r="M62" s="23" t="s">
        <v>7</v>
      </c>
      <c r="N62" s="24" t="s">
        <v>9</v>
      </c>
      <c r="O62" s="22" t="s">
        <v>5</v>
      </c>
      <c r="P62" s="22" t="s">
        <v>5</v>
      </c>
      <c r="Q62" s="22" t="s">
        <v>5</v>
      </c>
      <c r="R62" s="22" t="s">
        <v>5</v>
      </c>
      <c r="S62" s="22" t="s">
        <v>5</v>
      </c>
      <c r="T62" s="27" t="s">
        <v>7</v>
      </c>
      <c r="U62" s="28" t="s">
        <v>11</v>
      </c>
      <c r="V62" s="26" t="s">
        <v>3</v>
      </c>
      <c r="W62" s="26" t="s">
        <v>3</v>
      </c>
      <c r="X62" s="26" t="s">
        <v>3</v>
      </c>
      <c r="Y62" s="26" t="s">
        <v>3</v>
      </c>
      <c r="Z62" s="26" t="s">
        <v>3</v>
      </c>
      <c r="AA62" s="23" t="s">
        <v>7</v>
      </c>
      <c r="AB62" s="24" t="s">
        <v>9</v>
      </c>
      <c r="AC62" s="22" t="s">
        <v>5</v>
      </c>
      <c r="AD62" s="22" t="s">
        <v>5</v>
      </c>
      <c r="AE62" s="22" t="s">
        <v>5</v>
      </c>
      <c r="AF62" s="22" t="s">
        <v>5</v>
      </c>
      <c r="AG62" s="22" t="s">
        <v>5</v>
      </c>
      <c r="AH62" s="23" t="s">
        <v>7</v>
      </c>
      <c r="AI62" s="8">
        <f t="shared" si="16"/>
        <v>5</v>
      </c>
      <c r="AJ62" s="25">
        <f t="shared" si="17"/>
        <v>17</v>
      </c>
      <c r="AK62" s="29">
        <f t="shared" si="18"/>
        <v>1</v>
      </c>
      <c r="AL62" s="62">
        <v>1</v>
      </c>
      <c r="AM62" s="33">
        <f t="shared" si="19"/>
        <v>6.5</v>
      </c>
      <c r="AN62" s="63">
        <f t="shared" si="20"/>
        <v>176</v>
      </c>
      <c r="AO62" s="63">
        <f t="shared" si="21"/>
        <v>0</v>
      </c>
      <c r="AP62" s="63">
        <f t="shared" si="22"/>
        <v>0</v>
      </c>
      <c r="AQ62" s="53">
        <f t="shared" si="23"/>
        <v>6.5</v>
      </c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</row>
    <row r="63" spans="1:56" ht="22" customHeight="1" x14ac:dyDescent="0.35">
      <c r="A63" s="8" t="s">
        <v>153</v>
      </c>
      <c r="B63" s="8" t="s">
        <v>154</v>
      </c>
      <c r="C63" s="8" t="s">
        <v>104</v>
      </c>
      <c r="D63" s="22" t="s">
        <v>5</v>
      </c>
      <c r="E63" s="22" t="s">
        <v>5</v>
      </c>
      <c r="F63" s="27" t="s">
        <v>7</v>
      </c>
      <c r="G63" s="28" t="s">
        <v>11</v>
      </c>
      <c r="H63" s="26" t="s">
        <v>3</v>
      </c>
      <c r="I63" s="26" t="s">
        <v>3</v>
      </c>
      <c r="J63" s="26" t="s">
        <v>3</v>
      </c>
      <c r="K63" s="26" t="s">
        <v>3</v>
      </c>
      <c r="L63" s="26" t="s">
        <v>3</v>
      </c>
      <c r="M63" s="27" t="s">
        <v>7</v>
      </c>
      <c r="N63" s="28" t="s">
        <v>11</v>
      </c>
      <c r="O63" s="26" t="s">
        <v>3</v>
      </c>
      <c r="P63" s="26" t="s">
        <v>3</v>
      </c>
      <c r="Q63" s="22" t="s">
        <v>5</v>
      </c>
      <c r="R63" s="22" t="s">
        <v>5</v>
      </c>
      <c r="S63" s="22" t="s">
        <v>5</v>
      </c>
      <c r="T63" s="27" t="s">
        <v>7</v>
      </c>
      <c r="U63" s="28" t="s">
        <v>11</v>
      </c>
      <c r="V63" s="26" t="s">
        <v>3</v>
      </c>
      <c r="W63" s="26" t="s">
        <v>3</v>
      </c>
      <c r="X63" s="26" t="s">
        <v>3</v>
      </c>
      <c r="Y63" s="26" t="s">
        <v>3</v>
      </c>
      <c r="Z63" s="26" t="s">
        <v>3</v>
      </c>
      <c r="AA63" s="23" t="s">
        <v>7</v>
      </c>
      <c r="AB63" s="24" t="s">
        <v>9</v>
      </c>
      <c r="AC63" s="22" t="s">
        <v>5</v>
      </c>
      <c r="AD63" s="26" t="s">
        <v>3</v>
      </c>
      <c r="AE63" s="26" t="s">
        <v>3</v>
      </c>
      <c r="AF63" s="26" t="s">
        <v>3</v>
      </c>
      <c r="AG63" s="26" t="s">
        <v>3</v>
      </c>
      <c r="AH63" s="27" t="s">
        <v>7</v>
      </c>
      <c r="AI63" s="8">
        <f t="shared" si="16"/>
        <v>16</v>
      </c>
      <c r="AJ63" s="8">
        <f t="shared" si="17"/>
        <v>6</v>
      </c>
      <c r="AK63" s="29">
        <f t="shared" si="18"/>
        <v>3</v>
      </c>
      <c r="AL63" s="62">
        <v>4</v>
      </c>
      <c r="AM63" s="33">
        <f t="shared" si="19"/>
        <v>21</v>
      </c>
      <c r="AN63" s="63">
        <f t="shared" si="20"/>
        <v>176</v>
      </c>
      <c r="AO63" s="63">
        <f t="shared" si="21"/>
        <v>0</v>
      </c>
      <c r="AP63" s="63">
        <f t="shared" si="22"/>
        <v>0</v>
      </c>
      <c r="AQ63" s="53">
        <f t="shared" si="23"/>
        <v>21</v>
      </c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</row>
    <row r="64" spans="1:56" ht="22" customHeight="1" x14ac:dyDescent="0.35">
      <c r="A64" s="8" t="s">
        <v>155</v>
      </c>
      <c r="B64" s="8" t="s">
        <v>156</v>
      </c>
      <c r="C64" s="8" t="s">
        <v>104</v>
      </c>
      <c r="D64" s="26" t="s">
        <v>3</v>
      </c>
      <c r="E64" s="26" t="s">
        <v>3</v>
      </c>
      <c r="F64" s="27" t="s">
        <v>7</v>
      </c>
      <c r="G64" s="28" t="s">
        <v>11</v>
      </c>
      <c r="H64" s="26" t="s">
        <v>3</v>
      </c>
      <c r="I64" s="26" t="s">
        <v>3</v>
      </c>
      <c r="J64" s="26" t="s">
        <v>3</v>
      </c>
      <c r="K64" s="22" t="s">
        <v>5</v>
      </c>
      <c r="L64" s="22" t="s">
        <v>5</v>
      </c>
      <c r="M64" s="23" t="s">
        <v>7</v>
      </c>
      <c r="N64" s="24" t="s">
        <v>9</v>
      </c>
      <c r="O64" s="22" t="s">
        <v>5</v>
      </c>
      <c r="P64" s="22" t="s">
        <v>5</v>
      </c>
      <c r="Q64" s="22" t="s">
        <v>5</v>
      </c>
      <c r="R64" s="22" t="s">
        <v>5</v>
      </c>
      <c r="S64" s="22" t="s">
        <v>5</v>
      </c>
      <c r="T64" s="27" t="s">
        <v>7</v>
      </c>
      <c r="U64" s="28" t="s">
        <v>11</v>
      </c>
      <c r="V64" s="26" t="s">
        <v>3</v>
      </c>
      <c r="W64" s="26" t="s">
        <v>3</v>
      </c>
      <c r="X64" s="26" t="s">
        <v>3</v>
      </c>
      <c r="Y64" s="26" t="s">
        <v>3</v>
      </c>
      <c r="Z64" s="26" t="s">
        <v>3</v>
      </c>
      <c r="AA64" s="23" t="s">
        <v>7</v>
      </c>
      <c r="AB64" s="24" t="s">
        <v>9</v>
      </c>
      <c r="AC64" s="26" t="s">
        <v>3</v>
      </c>
      <c r="AD64" s="26" t="s">
        <v>3</v>
      </c>
      <c r="AE64" s="26" t="s">
        <v>3</v>
      </c>
      <c r="AF64" s="26" t="s">
        <v>3</v>
      </c>
      <c r="AG64" s="26" t="s">
        <v>3</v>
      </c>
      <c r="AH64" s="27" t="s">
        <v>7</v>
      </c>
      <c r="AI64" s="8">
        <f t="shared" si="16"/>
        <v>15</v>
      </c>
      <c r="AJ64" s="8">
        <f t="shared" si="17"/>
        <v>7</v>
      </c>
      <c r="AK64" s="29">
        <f t="shared" si="18"/>
        <v>2</v>
      </c>
      <c r="AL64" s="62">
        <v>3</v>
      </c>
      <c r="AM64" s="33">
        <f t="shared" si="19"/>
        <v>18.5</v>
      </c>
      <c r="AN64" s="63">
        <f t="shared" si="20"/>
        <v>176</v>
      </c>
      <c r="AO64" s="63">
        <f t="shared" si="21"/>
        <v>0</v>
      </c>
      <c r="AP64" s="63">
        <f t="shared" si="22"/>
        <v>0</v>
      </c>
      <c r="AQ64" s="53">
        <f t="shared" si="23"/>
        <v>18.5</v>
      </c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</row>
    <row r="65" spans="1:56" ht="22" customHeight="1" x14ac:dyDescent="0.35">
      <c r="A65" s="8" t="s">
        <v>157</v>
      </c>
      <c r="B65" s="8" t="s">
        <v>158</v>
      </c>
      <c r="C65" s="8" t="s">
        <v>104</v>
      </c>
      <c r="D65" s="22" t="s">
        <v>5</v>
      </c>
      <c r="E65" s="22" t="s">
        <v>5</v>
      </c>
      <c r="F65" s="23" t="s">
        <v>7</v>
      </c>
      <c r="G65" s="24" t="s">
        <v>9</v>
      </c>
      <c r="H65" s="22" t="s">
        <v>5</v>
      </c>
      <c r="I65" s="22" t="s">
        <v>5</v>
      </c>
      <c r="J65" s="22" t="s">
        <v>5</v>
      </c>
      <c r="K65" s="22" t="s">
        <v>5</v>
      </c>
      <c r="L65" s="22" t="s">
        <v>5</v>
      </c>
      <c r="M65" s="23" t="s">
        <v>7</v>
      </c>
      <c r="N65" s="24" t="s">
        <v>9</v>
      </c>
      <c r="O65" s="22" t="s">
        <v>5</v>
      </c>
      <c r="P65" s="22" t="s">
        <v>5</v>
      </c>
      <c r="Q65" s="22" t="s">
        <v>5</v>
      </c>
      <c r="R65" s="22" t="s">
        <v>5</v>
      </c>
      <c r="S65" s="22" t="s">
        <v>5</v>
      </c>
      <c r="T65" s="23" t="s">
        <v>7</v>
      </c>
      <c r="U65" s="24" t="s">
        <v>9</v>
      </c>
      <c r="V65" s="22" t="s">
        <v>5</v>
      </c>
      <c r="W65" s="22" t="s">
        <v>5</v>
      </c>
      <c r="X65" s="22" t="s">
        <v>5</v>
      </c>
      <c r="Y65" s="22" t="s">
        <v>5</v>
      </c>
      <c r="Z65" s="22" t="s">
        <v>5</v>
      </c>
      <c r="AA65" s="23" t="s">
        <v>7</v>
      </c>
      <c r="AB65" s="24" t="s">
        <v>9</v>
      </c>
      <c r="AC65" s="22" t="s">
        <v>5</v>
      </c>
      <c r="AD65" s="22" t="s">
        <v>5</v>
      </c>
      <c r="AE65" s="22" t="s">
        <v>5</v>
      </c>
      <c r="AF65" s="22" t="s">
        <v>5</v>
      </c>
      <c r="AG65" s="22" t="s">
        <v>5</v>
      </c>
      <c r="AH65" s="23" t="s">
        <v>7</v>
      </c>
      <c r="AI65" s="8">
        <f t="shared" si="16"/>
        <v>0</v>
      </c>
      <c r="AJ65" s="25">
        <f t="shared" si="17"/>
        <v>22</v>
      </c>
      <c r="AK65" s="8">
        <f t="shared" si="18"/>
        <v>0</v>
      </c>
      <c r="AL65" s="62">
        <v>0</v>
      </c>
      <c r="AM65" s="33">
        <f t="shared" si="19"/>
        <v>0</v>
      </c>
      <c r="AN65" s="63">
        <f t="shared" si="20"/>
        <v>176</v>
      </c>
      <c r="AO65" s="63">
        <f t="shared" si="21"/>
        <v>0</v>
      </c>
      <c r="AP65" s="63">
        <f t="shared" si="22"/>
        <v>0</v>
      </c>
      <c r="AQ65" s="53">
        <f t="shared" si="23"/>
        <v>0</v>
      </c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</row>
    <row r="66" spans="1:56" ht="22" customHeight="1" x14ac:dyDescent="0.35">
      <c r="A66" s="8" t="s">
        <v>159</v>
      </c>
      <c r="B66" s="8" t="s">
        <v>160</v>
      </c>
      <c r="C66" s="8" t="s">
        <v>104</v>
      </c>
      <c r="D66" s="22" t="s">
        <v>5</v>
      </c>
      <c r="E66" s="22" t="s">
        <v>5</v>
      </c>
      <c r="F66" s="23" t="s">
        <v>7</v>
      </c>
      <c r="G66" s="24" t="s">
        <v>9</v>
      </c>
      <c r="H66" s="22" t="s">
        <v>5</v>
      </c>
      <c r="I66" s="22" t="s">
        <v>5</v>
      </c>
      <c r="J66" s="22" t="s">
        <v>5</v>
      </c>
      <c r="K66" s="22" t="s">
        <v>5</v>
      </c>
      <c r="L66" s="22" t="s">
        <v>5</v>
      </c>
      <c r="M66" s="23" t="s">
        <v>7</v>
      </c>
      <c r="N66" s="24" t="s">
        <v>9</v>
      </c>
      <c r="O66" s="22" t="s">
        <v>5</v>
      </c>
      <c r="P66" s="22" t="s">
        <v>5</v>
      </c>
      <c r="Q66" s="22" t="s">
        <v>5</v>
      </c>
      <c r="R66" s="22" t="s">
        <v>5</v>
      </c>
      <c r="S66" s="22" t="s">
        <v>5</v>
      </c>
      <c r="T66" s="23" t="s">
        <v>7</v>
      </c>
      <c r="U66" s="24" t="s">
        <v>9</v>
      </c>
      <c r="V66" s="22" t="s">
        <v>5</v>
      </c>
      <c r="W66" s="22" t="s">
        <v>5</v>
      </c>
      <c r="X66" s="22" t="s">
        <v>5</v>
      </c>
      <c r="Y66" s="22" t="s">
        <v>5</v>
      </c>
      <c r="Z66" s="22" t="s">
        <v>5</v>
      </c>
      <c r="AA66" s="23" t="s">
        <v>7</v>
      </c>
      <c r="AB66" s="24" t="s">
        <v>9</v>
      </c>
      <c r="AC66" s="22" t="s">
        <v>5</v>
      </c>
      <c r="AD66" s="22" t="s">
        <v>5</v>
      </c>
      <c r="AE66" s="22" t="s">
        <v>5</v>
      </c>
      <c r="AF66" s="22" t="s">
        <v>5</v>
      </c>
      <c r="AG66" s="22" t="s">
        <v>5</v>
      </c>
      <c r="AH66" s="23" t="s">
        <v>7</v>
      </c>
      <c r="AI66" s="8">
        <f t="shared" si="16"/>
        <v>0</v>
      </c>
      <c r="AJ66" s="25">
        <f t="shared" si="17"/>
        <v>22</v>
      </c>
      <c r="AK66" s="8">
        <f t="shared" si="18"/>
        <v>0</v>
      </c>
      <c r="AL66" s="62">
        <v>0</v>
      </c>
      <c r="AM66" s="33">
        <f t="shared" si="19"/>
        <v>0</v>
      </c>
      <c r="AN66" s="63">
        <f t="shared" si="20"/>
        <v>176</v>
      </c>
      <c r="AO66" s="63">
        <f t="shared" si="21"/>
        <v>0</v>
      </c>
      <c r="AP66" s="63">
        <f t="shared" si="22"/>
        <v>0</v>
      </c>
      <c r="AQ66" s="53">
        <f t="shared" si="23"/>
        <v>0</v>
      </c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</row>
    <row r="67" spans="1:56" ht="22" customHeight="1" x14ac:dyDescent="0.35">
      <c r="A67" s="8" t="s">
        <v>161</v>
      </c>
      <c r="B67" s="8" t="s">
        <v>162</v>
      </c>
      <c r="C67" s="8" t="s">
        <v>104</v>
      </c>
      <c r="D67" s="22" t="s">
        <v>5</v>
      </c>
      <c r="E67" s="22" t="s">
        <v>5</v>
      </c>
      <c r="F67" s="23" t="s">
        <v>7</v>
      </c>
      <c r="G67" s="24" t="s">
        <v>9</v>
      </c>
      <c r="H67" s="22" t="s">
        <v>5</v>
      </c>
      <c r="I67" s="22" t="s">
        <v>5</v>
      </c>
      <c r="J67" s="22" t="s">
        <v>5</v>
      </c>
      <c r="K67" s="22" t="s">
        <v>5</v>
      </c>
      <c r="L67" s="22" t="s">
        <v>5</v>
      </c>
      <c r="M67" s="23" t="s">
        <v>7</v>
      </c>
      <c r="N67" s="24" t="s">
        <v>9</v>
      </c>
      <c r="O67" s="22" t="s">
        <v>5</v>
      </c>
      <c r="P67" s="22" t="s">
        <v>5</v>
      </c>
      <c r="Q67" s="22" t="s">
        <v>5</v>
      </c>
      <c r="R67" s="22" t="s">
        <v>5</v>
      </c>
      <c r="S67" s="22" t="s">
        <v>5</v>
      </c>
      <c r="T67" s="23" t="s">
        <v>7</v>
      </c>
      <c r="U67" s="24" t="s">
        <v>9</v>
      </c>
      <c r="V67" s="22" t="s">
        <v>5</v>
      </c>
      <c r="W67" s="22" t="s">
        <v>5</v>
      </c>
      <c r="X67" s="22" t="s">
        <v>5</v>
      </c>
      <c r="Y67" s="22" t="s">
        <v>5</v>
      </c>
      <c r="Z67" s="22" t="s">
        <v>5</v>
      </c>
      <c r="AA67" s="23" t="s">
        <v>7</v>
      </c>
      <c r="AB67" s="24" t="s">
        <v>9</v>
      </c>
      <c r="AC67" s="22" t="s">
        <v>5</v>
      </c>
      <c r="AD67" s="22" t="s">
        <v>5</v>
      </c>
      <c r="AE67" s="22" t="s">
        <v>5</v>
      </c>
      <c r="AF67" s="22" t="s">
        <v>5</v>
      </c>
      <c r="AG67" s="22" t="s">
        <v>5</v>
      </c>
      <c r="AH67" s="23" t="s">
        <v>7</v>
      </c>
      <c r="AI67" s="8">
        <f t="shared" si="16"/>
        <v>0</v>
      </c>
      <c r="AJ67" s="25">
        <f t="shared" si="17"/>
        <v>22</v>
      </c>
      <c r="AK67" s="8">
        <f t="shared" si="18"/>
        <v>0</v>
      </c>
      <c r="AL67" s="62">
        <v>0</v>
      </c>
      <c r="AM67" s="33">
        <f t="shared" si="19"/>
        <v>0</v>
      </c>
      <c r="AN67" s="63">
        <f t="shared" si="20"/>
        <v>176</v>
      </c>
      <c r="AO67" s="63">
        <f t="shared" si="21"/>
        <v>0</v>
      </c>
      <c r="AP67" s="63">
        <f t="shared" si="22"/>
        <v>0</v>
      </c>
      <c r="AQ67" s="53">
        <f t="shared" si="23"/>
        <v>0</v>
      </c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</row>
    <row r="68" spans="1:56" ht="22" customHeight="1" x14ac:dyDescent="0.35">
      <c r="A68" s="8" t="s">
        <v>163</v>
      </c>
      <c r="B68" s="8" t="s">
        <v>164</v>
      </c>
      <c r="C68" s="8" t="s">
        <v>104</v>
      </c>
      <c r="D68" s="22" t="s">
        <v>5</v>
      </c>
      <c r="E68" s="22" t="s">
        <v>5</v>
      </c>
      <c r="F68" s="23" t="s">
        <v>7</v>
      </c>
      <c r="G68" s="24" t="s">
        <v>9</v>
      </c>
      <c r="H68" s="22" t="s">
        <v>5</v>
      </c>
      <c r="I68" s="22" t="s">
        <v>5</v>
      </c>
      <c r="J68" s="22" t="s">
        <v>5</v>
      </c>
      <c r="K68" s="22" t="s">
        <v>5</v>
      </c>
      <c r="L68" s="22" t="s">
        <v>5</v>
      </c>
      <c r="M68" s="23" t="s">
        <v>7</v>
      </c>
      <c r="N68" s="24" t="s">
        <v>9</v>
      </c>
      <c r="O68" s="22" t="s">
        <v>5</v>
      </c>
      <c r="P68" s="22" t="s">
        <v>5</v>
      </c>
      <c r="Q68" s="22" t="s">
        <v>5</v>
      </c>
      <c r="R68" s="22" t="s">
        <v>5</v>
      </c>
      <c r="S68" s="22" t="s">
        <v>5</v>
      </c>
      <c r="T68" s="23" t="s">
        <v>7</v>
      </c>
      <c r="U68" s="24" t="s">
        <v>9</v>
      </c>
      <c r="V68" s="22" t="s">
        <v>5</v>
      </c>
      <c r="W68" s="22" t="s">
        <v>5</v>
      </c>
      <c r="X68" s="22" t="s">
        <v>5</v>
      </c>
      <c r="Y68" s="22" t="s">
        <v>5</v>
      </c>
      <c r="Z68" s="22" t="s">
        <v>5</v>
      </c>
      <c r="AA68" s="23" t="s">
        <v>7</v>
      </c>
      <c r="AB68" s="24" t="s">
        <v>9</v>
      </c>
      <c r="AC68" s="22" t="s">
        <v>5</v>
      </c>
      <c r="AD68" s="22" t="s">
        <v>5</v>
      </c>
      <c r="AE68" s="22" t="s">
        <v>5</v>
      </c>
      <c r="AF68" s="22" t="s">
        <v>5</v>
      </c>
      <c r="AG68" s="22" t="s">
        <v>5</v>
      </c>
      <c r="AH68" s="23" t="s">
        <v>7</v>
      </c>
      <c r="AI68" s="8">
        <f t="shared" si="16"/>
        <v>0</v>
      </c>
      <c r="AJ68" s="25">
        <f t="shared" si="17"/>
        <v>22</v>
      </c>
      <c r="AK68" s="8">
        <f t="shared" si="18"/>
        <v>0</v>
      </c>
      <c r="AL68" s="62">
        <v>0</v>
      </c>
      <c r="AM68" s="33">
        <f t="shared" si="19"/>
        <v>0</v>
      </c>
      <c r="AN68" s="63">
        <f t="shared" si="20"/>
        <v>176</v>
      </c>
      <c r="AO68" s="63">
        <f t="shared" si="21"/>
        <v>0</v>
      </c>
      <c r="AP68" s="63">
        <f t="shared" si="22"/>
        <v>0</v>
      </c>
      <c r="AQ68" s="53">
        <f t="shared" si="23"/>
        <v>0</v>
      </c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</row>
    <row r="69" spans="1:56" ht="22" customHeight="1" x14ac:dyDescent="0.35">
      <c r="A69" s="8" t="s">
        <v>165</v>
      </c>
      <c r="B69" s="8" t="s">
        <v>166</v>
      </c>
      <c r="C69" s="8" t="s">
        <v>104</v>
      </c>
      <c r="D69" s="22" t="s">
        <v>5</v>
      </c>
      <c r="E69" s="22" t="s">
        <v>5</v>
      </c>
      <c r="F69" s="23" t="s">
        <v>7</v>
      </c>
      <c r="G69" s="24" t="s">
        <v>9</v>
      </c>
      <c r="H69" s="26" t="s">
        <v>3</v>
      </c>
      <c r="I69" s="26" t="s">
        <v>3</v>
      </c>
      <c r="J69" s="26" t="s">
        <v>3</v>
      </c>
      <c r="K69" s="26" t="s">
        <v>3</v>
      </c>
      <c r="L69" s="26" t="s">
        <v>3</v>
      </c>
      <c r="M69" s="27" t="s">
        <v>7</v>
      </c>
      <c r="N69" s="28" t="s">
        <v>11</v>
      </c>
      <c r="O69" s="22" t="s">
        <v>5</v>
      </c>
      <c r="P69" s="22" t="s">
        <v>5</v>
      </c>
      <c r="Q69" s="22" t="s">
        <v>5</v>
      </c>
      <c r="R69" s="22" t="s">
        <v>5</v>
      </c>
      <c r="S69" s="22" t="s">
        <v>5</v>
      </c>
      <c r="T69" s="23" t="s">
        <v>7</v>
      </c>
      <c r="U69" s="28" t="s">
        <v>11</v>
      </c>
      <c r="V69" s="26" t="s">
        <v>3</v>
      </c>
      <c r="W69" s="26" t="s">
        <v>3</v>
      </c>
      <c r="X69" s="26" t="s">
        <v>3</v>
      </c>
      <c r="Y69" s="26" t="s">
        <v>3</v>
      </c>
      <c r="Z69" s="26" t="s">
        <v>3</v>
      </c>
      <c r="AA69" s="23" t="s">
        <v>7</v>
      </c>
      <c r="AB69" s="24" t="s">
        <v>9</v>
      </c>
      <c r="AC69" s="26" t="s">
        <v>3</v>
      </c>
      <c r="AD69" s="26" t="s">
        <v>3</v>
      </c>
      <c r="AE69" s="26" t="s">
        <v>3</v>
      </c>
      <c r="AF69" s="26" t="s">
        <v>3</v>
      </c>
      <c r="AG69" s="26" t="s">
        <v>3</v>
      </c>
      <c r="AH69" s="27" t="s">
        <v>7</v>
      </c>
      <c r="AI69" s="8">
        <f t="shared" si="16"/>
        <v>15</v>
      </c>
      <c r="AJ69" s="8">
        <f t="shared" si="17"/>
        <v>7</v>
      </c>
      <c r="AK69" s="29">
        <f t="shared" si="18"/>
        <v>2</v>
      </c>
      <c r="AL69" s="62">
        <v>2</v>
      </c>
      <c r="AM69" s="33">
        <f t="shared" si="19"/>
        <v>18</v>
      </c>
      <c r="AN69" s="63">
        <f t="shared" si="20"/>
        <v>176</v>
      </c>
      <c r="AO69" s="63">
        <f t="shared" si="21"/>
        <v>1</v>
      </c>
      <c r="AP69" s="63">
        <f t="shared" si="22"/>
        <v>4</v>
      </c>
      <c r="AQ69" s="53">
        <f t="shared" si="23"/>
        <v>17.5</v>
      </c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</row>
    <row r="70" spans="1:56" ht="22" customHeight="1" x14ac:dyDescent="0.35">
      <c r="A70" s="8" t="s">
        <v>167</v>
      </c>
      <c r="B70" s="8" t="s">
        <v>168</v>
      </c>
      <c r="C70" s="8" t="s">
        <v>104</v>
      </c>
      <c r="D70" s="22" t="s">
        <v>5</v>
      </c>
      <c r="E70" s="22" t="s">
        <v>5</v>
      </c>
      <c r="F70" s="23" t="s">
        <v>7</v>
      </c>
      <c r="G70" s="24" t="s">
        <v>9</v>
      </c>
      <c r="H70" s="22" t="s">
        <v>5</v>
      </c>
      <c r="I70" s="22" t="s">
        <v>5</v>
      </c>
      <c r="J70" s="22" t="s">
        <v>5</v>
      </c>
      <c r="K70" s="22" t="s">
        <v>5</v>
      </c>
      <c r="L70" s="22" t="s">
        <v>5</v>
      </c>
      <c r="M70" s="23" t="s">
        <v>7</v>
      </c>
      <c r="N70" s="24" t="s">
        <v>9</v>
      </c>
      <c r="O70" s="22" t="s">
        <v>5</v>
      </c>
      <c r="P70" s="22" t="s">
        <v>5</v>
      </c>
      <c r="Q70" s="22" t="s">
        <v>5</v>
      </c>
      <c r="R70" s="26" t="s">
        <v>3</v>
      </c>
      <c r="S70" s="26" t="s">
        <v>3</v>
      </c>
      <c r="T70" s="27" t="s">
        <v>7</v>
      </c>
      <c r="U70" s="28" t="s">
        <v>11</v>
      </c>
      <c r="V70" s="26" t="s">
        <v>3</v>
      </c>
      <c r="W70" s="26" t="s">
        <v>3</v>
      </c>
      <c r="X70" s="26" t="s">
        <v>3</v>
      </c>
      <c r="Y70" s="26" t="s">
        <v>3</v>
      </c>
      <c r="Z70" s="26" t="s">
        <v>3</v>
      </c>
      <c r="AA70" s="27" t="s">
        <v>7</v>
      </c>
      <c r="AB70" s="28" t="s">
        <v>11</v>
      </c>
      <c r="AC70" s="22" t="s">
        <v>5</v>
      </c>
      <c r="AD70" s="22" t="s">
        <v>5</v>
      </c>
      <c r="AE70" s="22" t="s">
        <v>5</v>
      </c>
      <c r="AF70" s="22" t="s">
        <v>5</v>
      </c>
      <c r="AG70" s="22" t="s">
        <v>5</v>
      </c>
      <c r="AH70" s="23" t="s">
        <v>7</v>
      </c>
      <c r="AI70" s="8">
        <f t="shared" si="16"/>
        <v>7</v>
      </c>
      <c r="AJ70" s="25">
        <f t="shared" si="17"/>
        <v>15</v>
      </c>
      <c r="AK70" s="29">
        <f t="shared" si="18"/>
        <v>2</v>
      </c>
      <c r="AL70" s="62">
        <v>2</v>
      </c>
      <c r="AM70" s="33">
        <f t="shared" si="19"/>
        <v>10</v>
      </c>
      <c r="AN70" s="63">
        <f t="shared" si="20"/>
        <v>176</v>
      </c>
      <c r="AO70" s="63">
        <f t="shared" si="21"/>
        <v>0</v>
      </c>
      <c r="AP70" s="63">
        <f t="shared" si="22"/>
        <v>0</v>
      </c>
      <c r="AQ70" s="53">
        <f t="shared" si="23"/>
        <v>10</v>
      </c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</row>
    <row r="71" spans="1:56" ht="22" customHeight="1" x14ac:dyDescent="0.35">
      <c r="A71" s="8" t="s">
        <v>169</v>
      </c>
      <c r="B71" s="8" t="s">
        <v>170</v>
      </c>
      <c r="C71" s="8" t="s">
        <v>104</v>
      </c>
      <c r="D71" s="22" t="s">
        <v>5</v>
      </c>
      <c r="E71" s="22" t="s">
        <v>5</v>
      </c>
      <c r="F71" s="23" t="s">
        <v>7</v>
      </c>
      <c r="G71" s="24" t="s">
        <v>9</v>
      </c>
      <c r="H71" s="26" t="s">
        <v>3</v>
      </c>
      <c r="I71" s="26" t="s">
        <v>3</v>
      </c>
      <c r="J71" s="26" t="s">
        <v>3</v>
      </c>
      <c r="K71" s="22" t="s">
        <v>5</v>
      </c>
      <c r="L71" s="22" t="s">
        <v>5</v>
      </c>
      <c r="M71" s="23" t="s">
        <v>7</v>
      </c>
      <c r="N71" s="24" t="s">
        <v>9</v>
      </c>
      <c r="O71" s="26" t="s">
        <v>3</v>
      </c>
      <c r="P71" s="26" t="s">
        <v>3</v>
      </c>
      <c r="Q71" s="26" t="s">
        <v>3</v>
      </c>
      <c r="R71" s="22" t="s">
        <v>5</v>
      </c>
      <c r="S71" s="26" t="s">
        <v>3</v>
      </c>
      <c r="T71" s="27" t="s">
        <v>7</v>
      </c>
      <c r="U71" s="28" t="s">
        <v>11</v>
      </c>
      <c r="V71" s="26" t="s">
        <v>3</v>
      </c>
      <c r="W71" s="26" t="s">
        <v>3</v>
      </c>
      <c r="X71" s="26" t="s">
        <v>3</v>
      </c>
      <c r="Y71" s="26" t="s">
        <v>3</v>
      </c>
      <c r="Z71" s="26" t="s">
        <v>3</v>
      </c>
      <c r="AA71" s="23" t="s">
        <v>7</v>
      </c>
      <c r="AB71" s="24" t="s">
        <v>9</v>
      </c>
      <c r="AC71" s="22" t="s">
        <v>5</v>
      </c>
      <c r="AD71" s="26" t="s">
        <v>3</v>
      </c>
      <c r="AE71" s="26" t="s">
        <v>3</v>
      </c>
      <c r="AF71" s="26" t="s">
        <v>3</v>
      </c>
      <c r="AG71" s="26" t="s">
        <v>3</v>
      </c>
      <c r="AH71" s="27" t="s">
        <v>7</v>
      </c>
      <c r="AI71" s="8">
        <f t="shared" si="16"/>
        <v>16</v>
      </c>
      <c r="AJ71" s="8">
        <f t="shared" si="17"/>
        <v>6</v>
      </c>
      <c r="AK71" s="29">
        <f t="shared" si="18"/>
        <v>1</v>
      </c>
      <c r="AL71" s="62">
        <v>2</v>
      </c>
      <c r="AM71" s="33">
        <f t="shared" si="19"/>
        <v>18</v>
      </c>
      <c r="AN71" s="63">
        <f t="shared" si="20"/>
        <v>176</v>
      </c>
      <c r="AO71" s="63">
        <f t="shared" si="21"/>
        <v>1</v>
      </c>
      <c r="AP71" s="63">
        <f t="shared" si="22"/>
        <v>4</v>
      </c>
      <c r="AQ71" s="53">
        <f t="shared" si="23"/>
        <v>17.5</v>
      </c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</row>
    <row r="72" spans="1:56" ht="22" customHeight="1" x14ac:dyDescent="0.35">
      <c r="A72" s="8" t="s">
        <v>171</v>
      </c>
      <c r="B72" s="8" t="s">
        <v>172</v>
      </c>
      <c r="C72" s="8" t="s">
        <v>104</v>
      </c>
      <c r="D72" s="26" t="s">
        <v>3</v>
      </c>
      <c r="E72" s="22" t="s">
        <v>5</v>
      </c>
      <c r="F72" s="23" t="s">
        <v>7</v>
      </c>
      <c r="G72" s="24" t="s">
        <v>9</v>
      </c>
      <c r="H72" s="22" t="s">
        <v>5</v>
      </c>
      <c r="I72" s="22" t="s">
        <v>5</v>
      </c>
      <c r="J72" s="22" t="s">
        <v>5</v>
      </c>
      <c r="K72" s="22" t="s">
        <v>5</v>
      </c>
      <c r="L72" s="22" t="s">
        <v>5</v>
      </c>
      <c r="M72" s="23" t="s">
        <v>7</v>
      </c>
      <c r="N72" s="24" t="s">
        <v>9</v>
      </c>
      <c r="O72" s="22" t="s">
        <v>5</v>
      </c>
      <c r="P72" s="22" t="s">
        <v>5</v>
      </c>
      <c r="Q72" s="22" t="s">
        <v>5</v>
      </c>
      <c r="R72" s="22" t="s">
        <v>5</v>
      </c>
      <c r="S72" s="22" t="s">
        <v>5</v>
      </c>
      <c r="T72" s="23" t="s">
        <v>7</v>
      </c>
      <c r="U72" s="28" t="s">
        <v>11</v>
      </c>
      <c r="V72" s="26" t="s">
        <v>3</v>
      </c>
      <c r="W72" s="22" t="s">
        <v>5</v>
      </c>
      <c r="X72" s="22" t="s">
        <v>5</v>
      </c>
      <c r="Y72" s="22" t="s">
        <v>5</v>
      </c>
      <c r="Z72" s="22" t="s">
        <v>5</v>
      </c>
      <c r="AA72" s="23" t="s">
        <v>7</v>
      </c>
      <c r="AB72" s="24" t="s">
        <v>9</v>
      </c>
      <c r="AC72" s="26" t="s">
        <v>3</v>
      </c>
      <c r="AD72" s="26" t="s">
        <v>3</v>
      </c>
      <c r="AE72" s="22" t="s">
        <v>5</v>
      </c>
      <c r="AF72" s="22" t="s">
        <v>5</v>
      </c>
      <c r="AG72" s="22" t="s">
        <v>5</v>
      </c>
      <c r="AH72" s="27" t="s">
        <v>7</v>
      </c>
      <c r="AI72" s="8">
        <f t="shared" si="16"/>
        <v>4</v>
      </c>
      <c r="AJ72" s="25">
        <f t="shared" si="17"/>
        <v>18</v>
      </c>
      <c r="AK72" s="29">
        <f t="shared" si="18"/>
        <v>1</v>
      </c>
      <c r="AL72" s="62">
        <v>1</v>
      </c>
      <c r="AM72" s="33">
        <f t="shared" si="19"/>
        <v>5.5</v>
      </c>
      <c r="AN72" s="63">
        <f t="shared" si="20"/>
        <v>176</v>
      </c>
      <c r="AO72" s="63">
        <f t="shared" si="21"/>
        <v>0</v>
      </c>
      <c r="AP72" s="63">
        <f t="shared" si="22"/>
        <v>0</v>
      </c>
      <c r="AQ72" s="53">
        <f t="shared" si="23"/>
        <v>5.5</v>
      </c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</row>
    <row r="73" spans="1:56" ht="22" customHeight="1" x14ac:dyDescent="0.35">
      <c r="A73" s="8" t="s">
        <v>173</v>
      </c>
      <c r="B73" s="8" t="s">
        <v>174</v>
      </c>
      <c r="C73" s="8" t="s">
        <v>104</v>
      </c>
      <c r="D73" s="26" t="s">
        <v>3</v>
      </c>
      <c r="E73" s="26" t="s">
        <v>3</v>
      </c>
      <c r="F73" s="27" t="s">
        <v>7</v>
      </c>
      <c r="G73" s="28" t="s">
        <v>11</v>
      </c>
      <c r="H73" s="26" t="s">
        <v>3</v>
      </c>
      <c r="I73" s="26" t="s">
        <v>3</v>
      </c>
      <c r="J73" s="26" t="s">
        <v>3</v>
      </c>
      <c r="K73" s="22" t="s">
        <v>5</v>
      </c>
      <c r="L73" s="22" t="s">
        <v>5</v>
      </c>
      <c r="M73" s="27" t="s">
        <v>7</v>
      </c>
      <c r="N73" s="24" t="s">
        <v>9</v>
      </c>
      <c r="O73" s="22" t="s">
        <v>5</v>
      </c>
      <c r="P73" s="22" t="s">
        <v>5</v>
      </c>
      <c r="Q73" s="22" t="s">
        <v>5</v>
      </c>
      <c r="R73" s="22" t="s">
        <v>5</v>
      </c>
      <c r="S73" s="22" t="s">
        <v>5</v>
      </c>
      <c r="T73" s="27" t="s">
        <v>7</v>
      </c>
      <c r="U73" s="28" t="s">
        <v>11</v>
      </c>
      <c r="V73" s="26" t="s">
        <v>3</v>
      </c>
      <c r="W73" s="26" t="s">
        <v>3</v>
      </c>
      <c r="X73" s="26" t="s">
        <v>3</v>
      </c>
      <c r="Y73" s="26" t="s">
        <v>3</v>
      </c>
      <c r="Z73" s="26" t="s">
        <v>3</v>
      </c>
      <c r="AA73" s="23" t="s">
        <v>7</v>
      </c>
      <c r="AB73" s="28" t="s">
        <v>11</v>
      </c>
      <c r="AC73" s="26" t="s">
        <v>3</v>
      </c>
      <c r="AD73" s="26" t="s">
        <v>3</v>
      </c>
      <c r="AE73" s="26" t="s">
        <v>3</v>
      </c>
      <c r="AF73" s="26" t="s">
        <v>3</v>
      </c>
      <c r="AG73" s="26" t="s">
        <v>3</v>
      </c>
      <c r="AH73" s="27" t="s">
        <v>7</v>
      </c>
      <c r="AI73" s="8">
        <f t="shared" si="16"/>
        <v>15</v>
      </c>
      <c r="AJ73" s="8">
        <f t="shared" si="17"/>
        <v>7</v>
      </c>
      <c r="AK73" s="29">
        <f t="shared" si="18"/>
        <v>3</v>
      </c>
      <c r="AL73" s="62">
        <v>4</v>
      </c>
      <c r="AM73" s="33">
        <f t="shared" si="19"/>
        <v>20</v>
      </c>
      <c r="AN73" s="63">
        <f t="shared" si="20"/>
        <v>176</v>
      </c>
      <c r="AO73" s="63">
        <f t="shared" si="21"/>
        <v>0</v>
      </c>
      <c r="AP73" s="63">
        <f t="shared" si="22"/>
        <v>0</v>
      </c>
      <c r="AQ73" s="53">
        <f t="shared" si="23"/>
        <v>20</v>
      </c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</row>
    <row r="74" spans="1:56" ht="22" customHeight="1" x14ac:dyDescent="0.35">
      <c r="A74" s="8" t="s">
        <v>175</v>
      </c>
      <c r="B74" s="8" t="s">
        <v>176</v>
      </c>
      <c r="C74" s="8" t="s">
        <v>104</v>
      </c>
      <c r="D74" s="22" t="s">
        <v>5</v>
      </c>
      <c r="E74" s="22" t="s">
        <v>5</v>
      </c>
      <c r="F74" s="23" t="s">
        <v>7</v>
      </c>
      <c r="G74" s="24" t="s">
        <v>9</v>
      </c>
      <c r="H74" s="22" t="s">
        <v>5</v>
      </c>
      <c r="I74" s="22" t="s">
        <v>5</v>
      </c>
      <c r="J74" s="22" t="s">
        <v>5</v>
      </c>
      <c r="K74" s="22" t="s">
        <v>5</v>
      </c>
      <c r="L74" s="22" t="s">
        <v>5</v>
      </c>
      <c r="M74" s="23" t="s">
        <v>7</v>
      </c>
      <c r="N74" s="24" t="s">
        <v>9</v>
      </c>
      <c r="O74" s="22" t="s">
        <v>5</v>
      </c>
      <c r="P74" s="22" t="s">
        <v>5</v>
      </c>
      <c r="Q74" s="22" t="s">
        <v>5</v>
      </c>
      <c r="R74" s="22" t="s">
        <v>5</v>
      </c>
      <c r="S74" s="22" t="s">
        <v>5</v>
      </c>
      <c r="T74" s="23" t="s">
        <v>7</v>
      </c>
      <c r="U74" s="24" t="s">
        <v>9</v>
      </c>
      <c r="V74" s="22" t="s">
        <v>5</v>
      </c>
      <c r="W74" s="26" t="s">
        <v>3</v>
      </c>
      <c r="X74" s="26" t="s">
        <v>3</v>
      </c>
      <c r="Y74" s="26" t="s">
        <v>3</v>
      </c>
      <c r="Z74" s="26" t="s">
        <v>3</v>
      </c>
      <c r="AA74" s="23" t="s">
        <v>7</v>
      </c>
      <c r="AB74" s="24" t="s">
        <v>9</v>
      </c>
      <c r="AC74" s="26" t="s">
        <v>3</v>
      </c>
      <c r="AD74" s="26" t="s">
        <v>3</v>
      </c>
      <c r="AE74" s="26" t="s">
        <v>3</v>
      </c>
      <c r="AF74" s="26" t="s">
        <v>3</v>
      </c>
      <c r="AG74" s="26" t="s">
        <v>3</v>
      </c>
      <c r="AH74" s="27" t="s">
        <v>7</v>
      </c>
      <c r="AI74" s="8">
        <f t="shared" si="16"/>
        <v>9</v>
      </c>
      <c r="AJ74" s="25">
        <f t="shared" si="17"/>
        <v>13</v>
      </c>
      <c r="AK74" s="8">
        <f t="shared" si="18"/>
        <v>0</v>
      </c>
      <c r="AL74" s="62">
        <v>1</v>
      </c>
      <c r="AM74" s="33">
        <f t="shared" si="19"/>
        <v>9.5</v>
      </c>
      <c r="AN74" s="63">
        <f t="shared" si="20"/>
        <v>176</v>
      </c>
      <c r="AO74" s="63">
        <f t="shared" si="21"/>
        <v>1</v>
      </c>
      <c r="AP74" s="63">
        <f t="shared" si="22"/>
        <v>4</v>
      </c>
      <c r="AQ74" s="53">
        <f t="shared" si="23"/>
        <v>9</v>
      </c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</row>
    <row r="75" spans="1:56" x14ac:dyDescent="0.35"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</row>
    <row r="76" spans="1:56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</row>
    <row r="77" spans="1:56" ht="22" customHeight="1" x14ac:dyDescent="0.35">
      <c r="A77" s="8" t="s">
        <v>178</v>
      </c>
      <c r="B77" s="8" t="s">
        <v>179</v>
      </c>
      <c r="C77" s="8" t="s">
        <v>180</v>
      </c>
      <c r="D77" s="22" t="s">
        <v>5</v>
      </c>
      <c r="E77" s="22" t="s">
        <v>5</v>
      </c>
      <c r="F77" s="23" t="s">
        <v>7</v>
      </c>
      <c r="G77" s="24" t="s">
        <v>9</v>
      </c>
      <c r="H77" s="22" t="s">
        <v>5</v>
      </c>
      <c r="I77" s="22" t="s">
        <v>5</v>
      </c>
      <c r="J77" s="22" t="s">
        <v>5</v>
      </c>
      <c r="K77" s="22" t="s">
        <v>5</v>
      </c>
      <c r="L77" s="22" t="s">
        <v>5</v>
      </c>
      <c r="M77" s="23" t="s">
        <v>7</v>
      </c>
      <c r="N77" s="24" t="s">
        <v>9</v>
      </c>
      <c r="O77" s="22" t="s">
        <v>5</v>
      </c>
      <c r="P77" s="22" t="s">
        <v>5</v>
      </c>
      <c r="Q77" s="22" t="s">
        <v>5</v>
      </c>
      <c r="R77" s="22" t="s">
        <v>5</v>
      </c>
      <c r="S77" s="22" t="s">
        <v>5</v>
      </c>
      <c r="T77" s="23" t="s">
        <v>7</v>
      </c>
      <c r="U77" s="24" t="s">
        <v>9</v>
      </c>
      <c r="V77" s="22" t="s">
        <v>5</v>
      </c>
      <c r="W77" s="22" t="s">
        <v>5</v>
      </c>
      <c r="X77" s="22" t="s">
        <v>5</v>
      </c>
      <c r="Y77" s="22" t="s">
        <v>5</v>
      </c>
      <c r="Z77" s="22" t="s">
        <v>5</v>
      </c>
      <c r="AA77" s="23" t="s">
        <v>7</v>
      </c>
      <c r="AB77" s="24" t="s">
        <v>9</v>
      </c>
      <c r="AC77" s="26" t="s">
        <v>3</v>
      </c>
      <c r="AD77" s="26" t="s">
        <v>3</v>
      </c>
      <c r="AE77" s="26" t="s">
        <v>3</v>
      </c>
      <c r="AF77" s="22" t="s">
        <v>5</v>
      </c>
      <c r="AG77" s="26" t="s">
        <v>3</v>
      </c>
      <c r="AH77" s="27" t="s">
        <v>7</v>
      </c>
      <c r="AI77" s="8">
        <f t="shared" ref="AI77:AI82" si="24">COUNTIF(D77:AH77,"ON")</f>
        <v>4</v>
      </c>
      <c r="AJ77" s="25">
        <f t="shared" ref="AJ77:AJ82" si="25">COUNTIF(D77:AH77,"OFF")</f>
        <v>18</v>
      </c>
      <c r="AK77" s="8">
        <f t="shared" ref="AK77:AK82" si="26">COUNTIF(D77:AH77,"OT")</f>
        <v>0</v>
      </c>
      <c r="AL77" s="62">
        <v>1</v>
      </c>
      <c r="AM77" s="33">
        <f t="shared" ref="AM77:AM82" si="27">AI77+AK77+AL77*0.5</f>
        <v>4.5</v>
      </c>
      <c r="AN77" s="63">
        <f t="shared" ref="AN77:AN82" si="28">NETWORKDAYS(DATE(2025,5,1),EOMONTH(DATE(2025,5,1),0))*8</f>
        <v>176</v>
      </c>
      <c r="AO77" s="63">
        <f t="shared" ref="AO77:AO82" si="29">MAX(0,COUNTIF(E77,"ON")+COUNTIF(L77,"ON")+COUNTIF(S77,"ON")+COUNTIF(Z77,"ON")+COUNTIF(AG77,"ON")-AL77)</f>
        <v>0</v>
      </c>
      <c r="AP77" s="63">
        <f t="shared" ref="AP77:AP82" si="30">AO77*$AP$2</f>
        <v>0</v>
      </c>
      <c r="AQ77" s="53">
        <f t="shared" ref="AQ77:AQ82" si="31">AM77-AP77/8</f>
        <v>4.5</v>
      </c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</row>
    <row r="78" spans="1:56" ht="22" customHeight="1" x14ac:dyDescent="0.35">
      <c r="A78" s="8" t="s">
        <v>181</v>
      </c>
      <c r="B78" s="8" t="s">
        <v>182</v>
      </c>
      <c r="C78" s="8" t="s">
        <v>180</v>
      </c>
      <c r="D78" s="26" t="s">
        <v>3</v>
      </c>
      <c r="E78" s="26" t="s">
        <v>3</v>
      </c>
      <c r="F78" s="27" t="s">
        <v>7</v>
      </c>
      <c r="G78" s="28" t="s">
        <v>11</v>
      </c>
      <c r="H78" s="26" t="s">
        <v>3</v>
      </c>
      <c r="I78" s="22" t="s">
        <v>5</v>
      </c>
      <c r="J78" s="22" t="s">
        <v>5</v>
      </c>
      <c r="K78" s="26" t="s">
        <v>3</v>
      </c>
      <c r="L78" s="26" t="s">
        <v>3</v>
      </c>
      <c r="M78" s="27" t="s">
        <v>7</v>
      </c>
      <c r="N78" s="28" t="s">
        <v>11</v>
      </c>
      <c r="O78" s="26" t="s">
        <v>3</v>
      </c>
      <c r="P78" s="26" t="s">
        <v>3</v>
      </c>
      <c r="Q78" s="26" t="s">
        <v>3</v>
      </c>
      <c r="R78" s="26" t="s">
        <v>3</v>
      </c>
      <c r="S78" s="26" t="s">
        <v>3</v>
      </c>
      <c r="T78" s="27" t="s">
        <v>7</v>
      </c>
      <c r="U78" s="28" t="s">
        <v>11</v>
      </c>
      <c r="V78" s="26" t="s">
        <v>3</v>
      </c>
      <c r="W78" s="26" t="s">
        <v>3</v>
      </c>
      <c r="X78" s="26" t="s">
        <v>3</v>
      </c>
      <c r="Y78" s="26" t="s">
        <v>3</v>
      </c>
      <c r="Z78" s="22" t="s">
        <v>5</v>
      </c>
      <c r="AA78" s="23" t="s">
        <v>7</v>
      </c>
      <c r="AB78" s="24" t="s">
        <v>9</v>
      </c>
      <c r="AC78" s="26" t="s">
        <v>3</v>
      </c>
      <c r="AD78" s="26" t="s">
        <v>3</v>
      </c>
      <c r="AE78" s="26" t="s">
        <v>3</v>
      </c>
      <c r="AF78" s="26" t="s">
        <v>3</v>
      </c>
      <c r="AG78" s="26" t="s">
        <v>3</v>
      </c>
      <c r="AH78" s="27" t="s">
        <v>7</v>
      </c>
      <c r="AI78" s="8">
        <f t="shared" si="24"/>
        <v>19</v>
      </c>
      <c r="AJ78" s="8">
        <f t="shared" si="25"/>
        <v>3</v>
      </c>
      <c r="AK78" s="29">
        <f t="shared" si="26"/>
        <v>3</v>
      </c>
      <c r="AL78" s="62">
        <v>4</v>
      </c>
      <c r="AM78" s="33">
        <f t="shared" si="27"/>
        <v>24</v>
      </c>
      <c r="AN78" s="63">
        <f t="shared" si="28"/>
        <v>176</v>
      </c>
      <c r="AO78" s="63">
        <f t="shared" si="29"/>
        <v>0</v>
      </c>
      <c r="AP78" s="63">
        <f t="shared" si="30"/>
        <v>0</v>
      </c>
      <c r="AQ78" s="53">
        <f t="shared" si="31"/>
        <v>24</v>
      </c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</row>
    <row r="79" spans="1:56" ht="22" customHeight="1" x14ac:dyDescent="0.35">
      <c r="A79" s="8" t="s">
        <v>183</v>
      </c>
      <c r="B79" s="8" t="s">
        <v>184</v>
      </c>
      <c r="C79" s="8" t="s">
        <v>180</v>
      </c>
      <c r="D79" s="22" t="s">
        <v>5</v>
      </c>
      <c r="E79" s="22" t="s">
        <v>5</v>
      </c>
      <c r="F79" s="23" t="s">
        <v>7</v>
      </c>
      <c r="G79" s="24" t="s">
        <v>9</v>
      </c>
      <c r="H79" s="22" t="s">
        <v>5</v>
      </c>
      <c r="I79" s="22" t="s">
        <v>5</v>
      </c>
      <c r="J79" s="22" t="s">
        <v>5</v>
      </c>
      <c r="K79" s="22" t="s">
        <v>5</v>
      </c>
      <c r="L79" s="22" t="s">
        <v>5</v>
      </c>
      <c r="M79" s="23" t="s">
        <v>7</v>
      </c>
      <c r="N79" s="24" t="s">
        <v>9</v>
      </c>
      <c r="O79" s="22" t="s">
        <v>5</v>
      </c>
      <c r="P79" s="22" t="s">
        <v>5</v>
      </c>
      <c r="Q79" s="22" t="s">
        <v>5</v>
      </c>
      <c r="R79" s="22" t="s">
        <v>5</v>
      </c>
      <c r="S79" s="22" t="s">
        <v>5</v>
      </c>
      <c r="T79" s="23" t="s">
        <v>7</v>
      </c>
      <c r="U79" s="24" t="s">
        <v>9</v>
      </c>
      <c r="V79" s="22" t="s">
        <v>5</v>
      </c>
      <c r="W79" s="22" t="s">
        <v>5</v>
      </c>
      <c r="X79" s="22" t="s">
        <v>5</v>
      </c>
      <c r="Y79" s="22" t="s">
        <v>5</v>
      </c>
      <c r="Z79" s="22" t="s">
        <v>5</v>
      </c>
      <c r="AA79" s="23" t="s">
        <v>7</v>
      </c>
      <c r="AB79" s="24" t="s">
        <v>9</v>
      </c>
      <c r="AC79" s="22" t="s">
        <v>5</v>
      </c>
      <c r="AD79" s="22" t="s">
        <v>5</v>
      </c>
      <c r="AE79" s="22" t="s">
        <v>5</v>
      </c>
      <c r="AF79" s="22" t="s">
        <v>5</v>
      </c>
      <c r="AG79" s="22" t="s">
        <v>5</v>
      </c>
      <c r="AH79" s="23" t="s">
        <v>7</v>
      </c>
      <c r="AI79" s="8">
        <f t="shared" si="24"/>
        <v>0</v>
      </c>
      <c r="AJ79" s="25">
        <f t="shared" si="25"/>
        <v>22</v>
      </c>
      <c r="AK79" s="8">
        <f t="shared" si="26"/>
        <v>0</v>
      </c>
      <c r="AL79" s="62">
        <v>0</v>
      </c>
      <c r="AM79" s="33">
        <f t="shared" si="27"/>
        <v>0</v>
      </c>
      <c r="AN79" s="63">
        <f t="shared" si="28"/>
        <v>176</v>
      </c>
      <c r="AO79" s="63">
        <f t="shared" si="29"/>
        <v>0</v>
      </c>
      <c r="AP79" s="63">
        <f t="shared" si="30"/>
        <v>0</v>
      </c>
      <c r="AQ79" s="53">
        <f t="shared" si="31"/>
        <v>0</v>
      </c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</row>
    <row r="80" spans="1:56" ht="22" customHeight="1" x14ac:dyDescent="0.35">
      <c r="A80" s="8" t="s">
        <v>185</v>
      </c>
      <c r="B80" s="8" t="s">
        <v>186</v>
      </c>
      <c r="C80" s="8" t="s">
        <v>180</v>
      </c>
      <c r="D80" s="22" t="s">
        <v>5</v>
      </c>
      <c r="E80" s="22" t="s">
        <v>5</v>
      </c>
      <c r="F80" s="23" t="s">
        <v>7</v>
      </c>
      <c r="G80" s="24" t="s">
        <v>9</v>
      </c>
      <c r="H80" s="22" t="s">
        <v>5</v>
      </c>
      <c r="I80" s="22" t="s">
        <v>5</v>
      </c>
      <c r="J80" s="22" t="s">
        <v>5</v>
      </c>
      <c r="K80" s="22" t="s">
        <v>5</v>
      </c>
      <c r="L80" s="22" t="s">
        <v>5</v>
      </c>
      <c r="M80" s="23" t="s">
        <v>7</v>
      </c>
      <c r="N80" s="24" t="s">
        <v>9</v>
      </c>
      <c r="O80" s="22" t="s">
        <v>5</v>
      </c>
      <c r="P80" s="22" t="s">
        <v>5</v>
      </c>
      <c r="Q80" s="22" t="s">
        <v>5</v>
      </c>
      <c r="R80" s="22" t="s">
        <v>5</v>
      </c>
      <c r="S80" s="22" t="s">
        <v>5</v>
      </c>
      <c r="T80" s="23" t="s">
        <v>7</v>
      </c>
      <c r="U80" s="24" t="s">
        <v>9</v>
      </c>
      <c r="V80" s="22" t="s">
        <v>5</v>
      </c>
      <c r="W80" s="22" t="s">
        <v>5</v>
      </c>
      <c r="X80" s="22" t="s">
        <v>5</v>
      </c>
      <c r="Y80" s="22" t="s">
        <v>5</v>
      </c>
      <c r="Z80" s="22" t="s">
        <v>5</v>
      </c>
      <c r="AA80" s="23" t="s">
        <v>7</v>
      </c>
      <c r="AB80" s="24" t="s">
        <v>9</v>
      </c>
      <c r="AC80" s="22" t="s">
        <v>5</v>
      </c>
      <c r="AD80" s="22" t="s">
        <v>5</v>
      </c>
      <c r="AE80" s="22" t="s">
        <v>5</v>
      </c>
      <c r="AF80" s="22" t="s">
        <v>5</v>
      </c>
      <c r="AG80" s="22" t="s">
        <v>5</v>
      </c>
      <c r="AH80" s="23" t="s">
        <v>7</v>
      </c>
      <c r="AI80" s="8">
        <f t="shared" si="24"/>
        <v>0</v>
      </c>
      <c r="AJ80" s="25">
        <f t="shared" si="25"/>
        <v>22</v>
      </c>
      <c r="AK80" s="8">
        <f t="shared" si="26"/>
        <v>0</v>
      </c>
      <c r="AL80" s="62">
        <v>0</v>
      </c>
      <c r="AM80" s="33">
        <f t="shared" si="27"/>
        <v>0</v>
      </c>
      <c r="AN80" s="63">
        <f t="shared" si="28"/>
        <v>176</v>
      </c>
      <c r="AO80" s="63">
        <f t="shared" si="29"/>
        <v>0</v>
      </c>
      <c r="AP80" s="63">
        <f t="shared" si="30"/>
        <v>0</v>
      </c>
      <c r="AQ80" s="53">
        <f t="shared" si="31"/>
        <v>0</v>
      </c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</row>
    <row r="81" spans="1:56" ht="22" customHeight="1" x14ac:dyDescent="0.35">
      <c r="A81" s="8" t="s">
        <v>187</v>
      </c>
      <c r="B81" s="8" t="s">
        <v>188</v>
      </c>
      <c r="C81" s="8" t="s">
        <v>180</v>
      </c>
      <c r="D81" s="26" t="s">
        <v>3</v>
      </c>
      <c r="E81" s="26" t="s">
        <v>3</v>
      </c>
      <c r="F81" s="27" t="s">
        <v>7</v>
      </c>
      <c r="G81" s="28" t="s">
        <v>11</v>
      </c>
      <c r="H81" s="26" t="s">
        <v>3</v>
      </c>
      <c r="I81" s="26" t="s">
        <v>3</v>
      </c>
      <c r="J81" s="26" t="s">
        <v>3</v>
      </c>
      <c r="K81" s="26" t="s">
        <v>3</v>
      </c>
      <c r="L81" s="22" t="s">
        <v>5</v>
      </c>
      <c r="M81" s="23" t="s">
        <v>7</v>
      </c>
      <c r="N81" s="24" t="s">
        <v>9</v>
      </c>
      <c r="O81" s="26" t="s">
        <v>3</v>
      </c>
      <c r="P81" s="26" t="s">
        <v>3</v>
      </c>
      <c r="Q81" s="26" t="s">
        <v>3</v>
      </c>
      <c r="R81" s="26" t="s">
        <v>3</v>
      </c>
      <c r="S81" s="26" t="s">
        <v>3</v>
      </c>
      <c r="T81" s="23" t="s">
        <v>7</v>
      </c>
      <c r="U81" s="28" t="s">
        <v>11</v>
      </c>
      <c r="V81" s="26" t="s">
        <v>3</v>
      </c>
      <c r="W81" s="26" t="s">
        <v>3</v>
      </c>
      <c r="X81" s="26" t="s">
        <v>3</v>
      </c>
      <c r="Y81" s="26" t="s">
        <v>3</v>
      </c>
      <c r="Z81" s="26" t="s">
        <v>3</v>
      </c>
      <c r="AA81" s="27" t="s">
        <v>7</v>
      </c>
      <c r="AB81" s="28" t="s">
        <v>11</v>
      </c>
      <c r="AC81" s="26" t="s">
        <v>3</v>
      </c>
      <c r="AD81" s="22" t="s">
        <v>5</v>
      </c>
      <c r="AE81" s="26" t="s">
        <v>3</v>
      </c>
      <c r="AF81" s="26" t="s">
        <v>3</v>
      </c>
      <c r="AG81" s="26" t="s">
        <v>3</v>
      </c>
      <c r="AH81" s="27" t="s">
        <v>7</v>
      </c>
      <c r="AI81" s="8">
        <f t="shared" si="24"/>
        <v>20</v>
      </c>
      <c r="AJ81" s="8">
        <f t="shared" si="25"/>
        <v>2</v>
      </c>
      <c r="AK81" s="29">
        <f t="shared" si="26"/>
        <v>3</v>
      </c>
      <c r="AL81" s="62">
        <v>3</v>
      </c>
      <c r="AM81" s="33">
        <f t="shared" si="27"/>
        <v>24.5</v>
      </c>
      <c r="AN81" s="63">
        <f t="shared" si="28"/>
        <v>176</v>
      </c>
      <c r="AO81" s="63">
        <f t="shared" si="29"/>
        <v>1</v>
      </c>
      <c r="AP81" s="63">
        <f t="shared" si="30"/>
        <v>4</v>
      </c>
      <c r="AQ81" s="53">
        <f t="shared" si="31"/>
        <v>24</v>
      </c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</row>
    <row r="82" spans="1:56" ht="22" customHeight="1" x14ac:dyDescent="0.35">
      <c r="A82" s="8" t="s">
        <v>189</v>
      </c>
      <c r="B82" s="8" t="s">
        <v>190</v>
      </c>
      <c r="C82" s="8" t="s">
        <v>180</v>
      </c>
      <c r="D82" s="26" t="s">
        <v>3</v>
      </c>
      <c r="E82" s="22" t="s">
        <v>5</v>
      </c>
      <c r="F82" s="23" t="s">
        <v>7</v>
      </c>
      <c r="G82" s="24" t="s">
        <v>9</v>
      </c>
      <c r="H82" s="22" t="s">
        <v>5</v>
      </c>
      <c r="I82" s="26" t="s">
        <v>3</v>
      </c>
      <c r="J82" s="26" t="s">
        <v>3</v>
      </c>
      <c r="K82" s="26" t="s">
        <v>3</v>
      </c>
      <c r="L82" s="26" t="s">
        <v>3</v>
      </c>
      <c r="M82" s="27" t="s">
        <v>7</v>
      </c>
      <c r="N82" s="28" t="s">
        <v>11</v>
      </c>
      <c r="O82" s="26" t="s">
        <v>3</v>
      </c>
      <c r="P82" s="26" t="s">
        <v>3</v>
      </c>
      <c r="Q82" s="26" t="s">
        <v>3</v>
      </c>
      <c r="R82" s="26" t="s">
        <v>3</v>
      </c>
      <c r="S82" s="26" t="s">
        <v>3</v>
      </c>
      <c r="T82" s="27" t="s">
        <v>7</v>
      </c>
      <c r="U82" s="28" t="s">
        <v>11</v>
      </c>
      <c r="V82" s="22" t="s">
        <v>5</v>
      </c>
      <c r="W82" s="22" t="s">
        <v>5</v>
      </c>
      <c r="X82" s="26" t="s">
        <v>3</v>
      </c>
      <c r="Y82" s="26" t="s">
        <v>3</v>
      </c>
      <c r="Z82" s="26" t="s">
        <v>3</v>
      </c>
      <c r="AA82" s="27" t="s">
        <v>7</v>
      </c>
      <c r="AB82" s="28" t="s">
        <v>11</v>
      </c>
      <c r="AC82" s="26" t="s">
        <v>3</v>
      </c>
      <c r="AD82" s="26" t="s">
        <v>3</v>
      </c>
      <c r="AE82" s="26" t="s">
        <v>3</v>
      </c>
      <c r="AF82" s="26" t="s">
        <v>3</v>
      </c>
      <c r="AG82" s="26" t="s">
        <v>3</v>
      </c>
      <c r="AH82" s="27" t="s">
        <v>7</v>
      </c>
      <c r="AI82" s="8">
        <f t="shared" si="24"/>
        <v>18</v>
      </c>
      <c r="AJ82" s="8">
        <f t="shared" si="25"/>
        <v>4</v>
      </c>
      <c r="AK82" s="29">
        <f t="shared" si="26"/>
        <v>3</v>
      </c>
      <c r="AL82" s="62">
        <v>4</v>
      </c>
      <c r="AM82" s="33">
        <f t="shared" si="27"/>
        <v>23</v>
      </c>
      <c r="AN82" s="63">
        <f t="shared" si="28"/>
        <v>176</v>
      </c>
      <c r="AO82" s="63">
        <f t="shared" si="29"/>
        <v>0</v>
      </c>
      <c r="AP82" s="63">
        <f t="shared" si="30"/>
        <v>0</v>
      </c>
      <c r="AQ82" s="53">
        <f t="shared" si="31"/>
        <v>23</v>
      </c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</row>
    <row r="83" spans="1:56" x14ac:dyDescent="0.35"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</row>
    <row r="84" spans="1:56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</row>
    <row r="85" spans="1:56" ht="22" customHeight="1" x14ac:dyDescent="0.35">
      <c r="A85" s="8" t="s">
        <v>192</v>
      </c>
      <c r="B85" s="8" t="s">
        <v>193</v>
      </c>
      <c r="C85" s="8" t="s">
        <v>194</v>
      </c>
      <c r="D85" s="26" t="s">
        <v>3</v>
      </c>
      <c r="E85" s="22" t="s">
        <v>5</v>
      </c>
      <c r="F85" s="23" t="s">
        <v>7</v>
      </c>
      <c r="G85" s="24" t="s">
        <v>9</v>
      </c>
      <c r="H85" s="22" t="s">
        <v>5</v>
      </c>
      <c r="I85" s="26" t="s">
        <v>3</v>
      </c>
      <c r="J85" s="26" t="s">
        <v>3</v>
      </c>
      <c r="K85" s="26" t="s">
        <v>3</v>
      </c>
      <c r="L85" s="26" t="s">
        <v>3</v>
      </c>
      <c r="M85" s="23" t="s">
        <v>7</v>
      </c>
      <c r="N85" s="24" t="s">
        <v>9</v>
      </c>
      <c r="O85" s="26" t="s">
        <v>3</v>
      </c>
      <c r="P85" s="22" t="s">
        <v>5</v>
      </c>
      <c r="Q85" s="22" t="s">
        <v>5</v>
      </c>
      <c r="R85" s="22" t="s">
        <v>5</v>
      </c>
      <c r="S85" s="26" t="s">
        <v>3</v>
      </c>
      <c r="T85" s="23" t="s">
        <v>7</v>
      </c>
      <c r="U85" s="24" t="s">
        <v>9</v>
      </c>
      <c r="V85" s="26" t="s">
        <v>3</v>
      </c>
      <c r="W85" s="26" t="s">
        <v>3</v>
      </c>
      <c r="X85" s="26" t="s">
        <v>3</v>
      </c>
      <c r="Y85" s="26" t="s">
        <v>3</v>
      </c>
      <c r="Z85" s="26" t="s">
        <v>3</v>
      </c>
      <c r="AA85" s="23" t="s">
        <v>7</v>
      </c>
      <c r="AB85" s="24" t="s">
        <v>9</v>
      </c>
      <c r="AC85" s="26" t="s">
        <v>3</v>
      </c>
      <c r="AD85" s="26" t="s">
        <v>3</v>
      </c>
      <c r="AE85" s="26" t="s">
        <v>3</v>
      </c>
      <c r="AF85" s="26" t="s">
        <v>3</v>
      </c>
      <c r="AG85" s="26" t="s">
        <v>3</v>
      </c>
      <c r="AH85" s="23" t="s">
        <v>7</v>
      </c>
      <c r="AI85" s="8">
        <f>COUNTIF(D85:AH85,"ON")</f>
        <v>17</v>
      </c>
      <c r="AJ85" s="8">
        <f>COUNTIF(D85:AH85,"OFF")</f>
        <v>5</v>
      </c>
      <c r="AK85" s="8">
        <f>COUNTIF(D85:AH85,"OT")</f>
        <v>0</v>
      </c>
      <c r="AL85" s="62">
        <v>0</v>
      </c>
      <c r="AM85" s="33">
        <f>AI85+AK85+AL85*0.5</f>
        <v>17</v>
      </c>
      <c r="AN85" s="63">
        <f>NETWORKDAYS(DATE(2025,5,1),EOMONTH(DATE(2025,5,1),0))*8</f>
        <v>176</v>
      </c>
      <c r="AO85" s="63">
        <f>MAX(0,COUNTIF(E85,"ON")+COUNTIF(L85,"ON")+COUNTIF(S85,"ON")+COUNTIF(Z85,"ON")+COUNTIF(AG85,"ON")-AL85)</f>
        <v>4</v>
      </c>
      <c r="AP85" s="63">
        <f>AO85*$AP$2</f>
        <v>16</v>
      </c>
      <c r="AQ85" s="53">
        <f>AM85-AP85/8</f>
        <v>15</v>
      </c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</row>
    <row r="86" spans="1:56" ht="22" customHeight="1" x14ac:dyDescent="0.35">
      <c r="A86" s="8" t="s">
        <v>195</v>
      </c>
      <c r="B86" s="8" t="s">
        <v>196</v>
      </c>
      <c r="C86" s="8" t="s">
        <v>194</v>
      </c>
      <c r="D86" s="22" t="s">
        <v>5</v>
      </c>
      <c r="E86" s="22" t="s">
        <v>5</v>
      </c>
      <c r="F86" s="23" t="s">
        <v>7</v>
      </c>
      <c r="G86" s="24" t="s">
        <v>9</v>
      </c>
      <c r="H86" s="22" t="s">
        <v>5</v>
      </c>
      <c r="I86" s="22" t="s">
        <v>5</v>
      </c>
      <c r="J86" s="22" t="s">
        <v>5</v>
      </c>
      <c r="K86" s="22" t="s">
        <v>5</v>
      </c>
      <c r="L86" s="22" t="s">
        <v>5</v>
      </c>
      <c r="M86" s="23" t="s">
        <v>7</v>
      </c>
      <c r="N86" s="24" t="s">
        <v>9</v>
      </c>
      <c r="O86" s="22" t="s">
        <v>5</v>
      </c>
      <c r="P86" s="26" t="s">
        <v>3</v>
      </c>
      <c r="Q86" s="26" t="s">
        <v>3</v>
      </c>
      <c r="R86" s="26" t="s">
        <v>3</v>
      </c>
      <c r="S86" s="26" t="s">
        <v>3</v>
      </c>
      <c r="T86" s="27" t="s">
        <v>7</v>
      </c>
      <c r="U86" s="28" t="s">
        <v>11</v>
      </c>
      <c r="V86" s="26" t="s">
        <v>3</v>
      </c>
      <c r="W86" s="26" t="s">
        <v>3</v>
      </c>
      <c r="X86" s="26" t="s">
        <v>3</v>
      </c>
      <c r="Y86" s="26" t="s">
        <v>3</v>
      </c>
      <c r="Z86" s="26" t="s">
        <v>3</v>
      </c>
      <c r="AA86" s="23" t="s">
        <v>7</v>
      </c>
      <c r="AB86" s="24" t="s">
        <v>9</v>
      </c>
      <c r="AC86" s="22" t="s">
        <v>5</v>
      </c>
      <c r="AD86" s="26" t="s">
        <v>3</v>
      </c>
      <c r="AE86" s="26" t="s">
        <v>3</v>
      </c>
      <c r="AF86" s="26" t="s">
        <v>3</v>
      </c>
      <c r="AG86" s="26" t="s">
        <v>3</v>
      </c>
      <c r="AH86" s="27" t="s">
        <v>7</v>
      </c>
      <c r="AI86" s="8">
        <f>COUNTIF(D86:AH86,"ON")</f>
        <v>13</v>
      </c>
      <c r="AJ86" s="8">
        <f>COUNTIF(D86:AH86,"OFF")</f>
        <v>9</v>
      </c>
      <c r="AK86" s="29">
        <f>COUNTIF(D86:AH86,"OT")</f>
        <v>1</v>
      </c>
      <c r="AL86" s="62">
        <v>2</v>
      </c>
      <c r="AM86" s="33">
        <f>AI86+AK86+AL86*0.5</f>
        <v>15</v>
      </c>
      <c r="AN86" s="63">
        <f>NETWORKDAYS(DATE(2025,5,1),EOMONTH(DATE(2025,5,1),0))*8</f>
        <v>176</v>
      </c>
      <c r="AO86" s="63">
        <f>MAX(0,COUNTIF(E86,"ON")+COUNTIF(L86,"ON")+COUNTIF(S86,"ON")+COUNTIF(Z86,"ON")+COUNTIF(AG86,"ON")-AL86)</f>
        <v>1</v>
      </c>
      <c r="AP86" s="63">
        <f>AO86*$AP$2</f>
        <v>4</v>
      </c>
      <c r="AQ86" s="53">
        <f>AM86-AP86/8</f>
        <v>14.5</v>
      </c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</row>
    <row r="87" spans="1:56" ht="22" customHeight="1" x14ac:dyDescent="0.35">
      <c r="A87" s="8" t="s">
        <v>197</v>
      </c>
      <c r="B87" s="8" t="s">
        <v>198</v>
      </c>
      <c r="C87" s="8" t="s">
        <v>194</v>
      </c>
      <c r="D87" s="22" t="s">
        <v>5</v>
      </c>
      <c r="E87" s="22" t="s">
        <v>5</v>
      </c>
      <c r="F87" s="23" t="s">
        <v>7</v>
      </c>
      <c r="G87" s="24" t="s">
        <v>9</v>
      </c>
      <c r="H87" s="22" t="s">
        <v>5</v>
      </c>
      <c r="I87" s="22" t="s">
        <v>5</v>
      </c>
      <c r="J87" s="22" t="s">
        <v>5</v>
      </c>
      <c r="K87" s="26" t="s">
        <v>3</v>
      </c>
      <c r="L87" s="22" t="s">
        <v>5</v>
      </c>
      <c r="M87" s="23" t="s">
        <v>7</v>
      </c>
      <c r="N87" s="24" t="s">
        <v>9</v>
      </c>
      <c r="O87" s="26" t="s">
        <v>3</v>
      </c>
      <c r="P87" s="26" t="s">
        <v>3</v>
      </c>
      <c r="Q87" s="26" t="s">
        <v>3</v>
      </c>
      <c r="R87" s="26" t="s">
        <v>3</v>
      </c>
      <c r="S87" s="26" t="s">
        <v>3</v>
      </c>
      <c r="T87" s="23" t="s">
        <v>7</v>
      </c>
      <c r="U87" s="24" t="s">
        <v>9</v>
      </c>
      <c r="V87" s="26" t="s">
        <v>3</v>
      </c>
      <c r="W87" s="26" t="s">
        <v>3</v>
      </c>
      <c r="X87" s="26" t="s">
        <v>3</v>
      </c>
      <c r="Y87" s="26" t="s">
        <v>3</v>
      </c>
      <c r="Z87" s="26" t="s">
        <v>3</v>
      </c>
      <c r="AA87" s="27" t="s">
        <v>7</v>
      </c>
      <c r="AB87" s="24" t="s">
        <v>9</v>
      </c>
      <c r="AC87" s="26" t="s">
        <v>3</v>
      </c>
      <c r="AD87" s="26" t="s">
        <v>3</v>
      </c>
      <c r="AE87" s="26" t="s">
        <v>3</v>
      </c>
      <c r="AF87" s="26" t="s">
        <v>3</v>
      </c>
      <c r="AG87" s="26" t="s">
        <v>3</v>
      </c>
      <c r="AH87" s="23" t="s">
        <v>7</v>
      </c>
      <c r="AI87" s="8">
        <f>COUNTIF(D87:AH87,"ON")</f>
        <v>16</v>
      </c>
      <c r="AJ87" s="8">
        <f>COUNTIF(D87:AH87,"OFF")</f>
        <v>6</v>
      </c>
      <c r="AK87" s="8">
        <f>COUNTIF(D87:AH87,"OT")</f>
        <v>0</v>
      </c>
      <c r="AL87" s="62">
        <v>1</v>
      </c>
      <c r="AM87" s="33">
        <f>AI87+AK87+AL87*0.5</f>
        <v>16.5</v>
      </c>
      <c r="AN87" s="63">
        <f>NETWORKDAYS(DATE(2025,5,1),EOMONTH(DATE(2025,5,1),0))*8</f>
        <v>176</v>
      </c>
      <c r="AO87" s="63">
        <f>MAX(0,COUNTIF(E87,"ON")+COUNTIF(L87,"ON")+COUNTIF(S87,"ON")+COUNTIF(Z87,"ON")+COUNTIF(AG87,"ON")-AL87)</f>
        <v>2</v>
      </c>
      <c r="AP87" s="63">
        <f>AO87*$AP$2</f>
        <v>8</v>
      </c>
      <c r="AQ87" s="53">
        <f>AM87-AP87/8</f>
        <v>15.5</v>
      </c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</row>
    <row r="88" spans="1:56" ht="22" customHeight="1" x14ac:dyDescent="0.35">
      <c r="A88" s="8" t="s">
        <v>199</v>
      </c>
      <c r="B88" s="8" t="s">
        <v>200</v>
      </c>
      <c r="C88" s="8" t="s">
        <v>194</v>
      </c>
      <c r="D88" s="26" t="s">
        <v>3</v>
      </c>
      <c r="E88" s="22" t="s">
        <v>5</v>
      </c>
      <c r="F88" s="23" t="s">
        <v>7</v>
      </c>
      <c r="G88" s="24" t="s">
        <v>9</v>
      </c>
      <c r="H88" s="26" t="s">
        <v>3</v>
      </c>
      <c r="I88" s="26" t="s">
        <v>3</v>
      </c>
      <c r="J88" s="26" t="s">
        <v>3</v>
      </c>
      <c r="K88" s="26" t="s">
        <v>3</v>
      </c>
      <c r="L88" s="26" t="s">
        <v>3</v>
      </c>
      <c r="M88" s="27" t="s">
        <v>7</v>
      </c>
      <c r="N88" s="24" t="s">
        <v>9</v>
      </c>
      <c r="O88" s="22" t="s">
        <v>5</v>
      </c>
      <c r="P88" s="26" t="s">
        <v>3</v>
      </c>
      <c r="Q88" s="26" t="s">
        <v>3</v>
      </c>
      <c r="R88" s="26" t="s">
        <v>3</v>
      </c>
      <c r="S88" s="26" t="s">
        <v>3</v>
      </c>
      <c r="T88" s="23" t="s">
        <v>7</v>
      </c>
      <c r="U88" s="24" t="s">
        <v>9</v>
      </c>
      <c r="V88" s="26" t="s">
        <v>3</v>
      </c>
      <c r="W88" s="26" t="s">
        <v>3</v>
      </c>
      <c r="X88" s="26" t="s">
        <v>3</v>
      </c>
      <c r="Y88" s="26" t="s">
        <v>3</v>
      </c>
      <c r="Z88" s="26" t="s">
        <v>3</v>
      </c>
      <c r="AA88" s="23" t="s">
        <v>7</v>
      </c>
      <c r="AB88" s="28" t="s">
        <v>11</v>
      </c>
      <c r="AC88" s="26" t="s">
        <v>3</v>
      </c>
      <c r="AD88" s="26" t="s">
        <v>3</v>
      </c>
      <c r="AE88" s="26" t="s">
        <v>3</v>
      </c>
      <c r="AF88" s="26" t="s">
        <v>3</v>
      </c>
      <c r="AG88" s="26" t="s">
        <v>3</v>
      </c>
      <c r="AH88" s="23" t="s">
        <v>7</v>
      </c>
      <c r="AI88" s="8">
        <f>COUNTIF(D88:AH88,"ON")</f>
        <v>20</v>
      </c>
      <c r="AJ88" s="8">
        <f>COUNTIF(D88:AH88,"OFF")</f>
        <v>2</v>
      </c>
      <c r="AK88" s="29">
        <f>COUNTIF(D88:AH88,"OT")</f>
        <v>1</v>
      </c>
      <c r="AL88" s="62">
        <v>1</v>
      </c>
      <c r="AM88" s="33">
        <f>AI88+AK88+AL88*0.5</f>
        <v>21.5</v>
      </c>
      <c r="AN88" s="63">
        <f>NETWORKDAYS(DATE(2025,5,1),EOMONTH(DATE(2025,5,1),0))*8</f>
        <v>176</v>
      </c>
      <c r="AO88" s="63">
        <f>MAX(0,COUNTIF(E88,"ON")+COUNTIF(L88,"ON")+COUNTIF(S88,"ON")+COUNTIF(Z88,"ON")+COUNTIF(AG88,"ON")-AL88)</f>
        <v>3</v>
      </c>
      <c r="AP88" s="63">
        <f>AO88*$AP$2</f>
        <v>12</v>
      </c>
      <c r="AQ88" s="53">
        <f>AM88-AP88/8</f>
        <v>20</v>
      </c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</row>
    <row r="89" spans="1:56" ht="22" customHeight="1" x14ac:dyDescent="0.35">
      <c r="A89" s="8" t="s">
        <v>201</v>
      </c>
      <c r="B89" s="8" t="s">
        <v>202</v>
      </c>
      <c r="C89" s="8" t="s">
        <v>194</v>
      </c>
      <c r="D89" s="26" t="s">
        <v>3</v>
      </c>
      <c r="E89" s="26" t="s">
        <v>3</v>
      </c>
      <c r="F89" s="27" t="s">
        <v>7</v>
      </c>
      <c r="G89" s="28" t="s">
        <v>11</v>
      </c>
      <c r="H89" s="22" t="s">
        <v>5</v>
      </c>
      <c r="I89" s="22" t="s">
        <v>5</v>
      </c>
      <c r="J89" s="22" t="s">
        <v>5</v>
      </c>
      <c r="K89" s="22" t="s">
        <v>5</v>
      </c>
      <c r="L89" s="22" t="s">
        <v>5</v>
      </c>
      <c r="M89" s="23" t="s">
        <v>7</v>
      </c>
      <c r="N89" s="24" t="s">
        <v>9</v>
      </c>
      <c r="O89" s="22" t="s">
        <v>5</v>
      </c>
      <c r="P89" s="22" t="s">
        <v>5</v>
      </c>
      <c r="Q89" s="22" t="s">
        <v>5</v>
      </c>
      <c r="R89" s="22" t="s">
        <v>5</v>
      </c>
      <c r="S89" s="22" t="s">
        <v>5</v>
      </c>
      <c r="T89" s="23" t="s">
        <v>7</v>
      </c>
      <c r="U89" s="24" t="s">
        <v>9</v>
      </c>
      <c r="V89" s="22" t="s">
        <v>5</v>
      </c>
      <c r="W89" s="22" t="s">
        <v>5</v>
      </c>
      <c r="X89" s="22" t="s">
        <v>5</v>
      </c>
      <c r="Y89" s="22" t="s">
        <v>5</v>
      </c>
      <c r="Z89" s="22" t="s">
        <v>5</v>
      </c>
      <c r="AA89" s="23" t="s">
        <v>7</v>
      </c>
      <c r="AB89" s="24" t="s">
        <v>9</v>
      </c>
      <c r="AC89" s="22" t="s">
        <v>5</v>
      </c>
      <c r="AD89" s="22" t="s">
        <v>5</v>
      </c>
      <c r="AE89" s="22" t="s">
        <v>5</v>
      </c>
      <c r="AF89" s="22" t="s">
        <v>5</v>
      </c>
      <c r="AG89" s="22" t="s">
        <v>5</v>
      </c>
      <c r="AH89" s="23" t="s">
        <v>7</v>
      </c>
      <c r="AI89" s="8">
        <f>COUNTIF(D89:AH89,"ON")</f>
        <v>2</v>
      </c>
      <c r="AJ89" s="25">
        <f>COUNTIF(D89:AH89,"OFF")</f>
        <v>20</v>
      </c>
      <c r="AK89" s="29">
        <f>COUNTIF(D89:AH89,"OT")</f>
        <v>1</v>
      </c>
      <c r="AL89" s="62">
        <v>1</v>
      </c>
      <c r="AM89" s="33">
        <f>AI89+AK89+AL89*0.5</f>
        <v>3.5</v>
      </c>
      <c r="AN89" s="63">
        <f>NETWORKDAYS(DATE(2025,5,1),EOMONTH(DATE(2025,5,1),0))*8</f>
        <v>176</v>
      </c>
      <c r="AO89" s="63">
        <f>MAX(0,COUNTIF(E89,"ON")+COUNTIF(L89,"ON")+COUNTIF(S89,"ON")+COUNTIF(Z89,"ON")+COUNTIF(AG89,"ON")-AL89)</f>
        <v>0</v>
      </c>
      <c r="AP89" s="63">
        <f>AO89*$AP$2</f>
        <v>0</v>
      </c>
      <c r="AQ89" s="53">
        <f>AM89-AP89/8</f>
        <v>3.5</v>
      </c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</row>
    <row r="90" spans="1:56" x14ac:dyDescent="0.35"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</row>
    <row r="91" spans="1:56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</row>
    <row r="92" spans="1:56" ht="22" customHeight="1" x14ac:dyDescent="0.35">
      <c r="A92" s="8" t="s">
        <v>204</v>
      </c>
      <c r="B92" s="8" t="s">
        <v>205</v>
      </c>
      <c r="C92" s="8" t="s">
        <v>206</v>
      </c>
      <c r="D92" s="22" t="s">
        <v>5</v>
      </c>
      <c r="E92" s="22" t="s">
        <v>5</v>
      </c>
      <c r="F92" s="23" t="s">
        <v>7</v>
      </c>
      <c r="G92" s="24" t="s">
        <v>9</v>
      </c>
      <c r="H92" s="22" t="s">
        <v>5</v>
      </c>
      <c r="I92" s="26" t="s">
        <v>3</v>
      </c>
      <c r="J92" s="26" t="s">
        <v>3</v>
      </c>
      <c r="K92" s="26" t="s">
        <v>3</v>
      </c>
      <c r="L92" s="26" t="s">
        <v>3</v>
      </c>
      <c r="M92" s="23" t="s">
        <v>7</v>
      </c>
      <c r="N92" s="24" t="s">
        <v>9</v>
      </c>
      <c r="O92" s="26" t="s">
        <v>3</v>
      </c>
      <c r="P92" s="26" t="s">
        <v>3</v>
      </c>
      <c r="Q92" s="26" t="s">
        <v>3</v>
      </c>
      <c r="R92" s="26" t="s">
        <v>3</v>
      </c>
      <c r="S92" s="26" t="s">
        <v>3</v>
      </c>
      <c r="T92" s="23" t="s">
        <v>7</v>
      </c>
      <c r="U92" s="24" t="s">
        <v>9</v>
      </c>
      <c r="V92" s="26" t="s">
        <v>3</v>
      </c>
      <c r="W92" s="26" t="s">
        <v>3</v>
      </c>
      <c r="X92" s="22" t="s">
        <v>5</v>
      </c>
      <c r="Y92" s="26" t="s">
        <v>3</v>
      </c>
      <c r="Z92" s="26" t="s">
        <v>3</v>
      </c>
      <c r="AA92" s="23" t="s">
        <v>7</v>
      </c>
      <c r="AB92" s="24" t="s">
        <v>9</v>
      </c>
      <c r="AC92" s="26" t="s">
        <v>3</v>
      </c>
      <c r="AD92" s="26" t="s">
        <v>3</v>
      </c>
      <c r="AE92" s="26" t="s">
        <v>3</v>
      </c>
      <c r="AF92" s="26" t="s">
        <v>3</v>
      </c>
      <c r="AG92" s="26" t="s">
        <v>3</v>
      </c>
      <c r="AH92" s="23" t="s">
        <v>7</v>
      </c>
      <c r="AI92" s="8">
        <f>COUNTIF(D92:AH92,"ON")</f>
        <v>18</v>
      </c>
      <c r="AJ92" s="8">
        <f>COUNTIF(D92:AH92,"OFF")</f>
        <v>4</v>
      </c>
      <c r="AK92" s="8">
        <f>COUNTIF(D92:AH92,"OT")</f>
        <v>0</v>
      </c>
      <c r="AL92" s="62">
        <v>0</v>
      </c>
      <c r="AM92" s="33">
        <f>AI92+AK92+AL92*0.5</f>
        <v>18</v>
      </c>
      <c r="AN92" s="63">
        <f>NETWORKDAYS(DATE(2025,5,1),EOMONTH(DATE(2025,5,1),0))*8</f>
        <v>176</v>
      </c>
      <c r="AO92" s="63">
        <f>MAX(0,COUNTIF(E92,"ON")+COUNTIF(L92,"ON")+COUNTIF(S92,"ON")+COUNTIF(Z92,"ON")+COUNTIF(AG92,"ON")-AL92)</f>
        <v>4</v>
      </c>
      <c r="AP92" s="63">
        <f>AO92*$AP$2</f>
        <v>16</v>
      </c>
      <c r="AQ92" s="53">
        <f>AM92-AP92/8</f>
        <v>16</v>
      </c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</row>
    <row r="93" spans="1:56" ht="22" customHeight="1" x14ac:dyDescent="0.35">
      <c r="A93" s="8" t="s">
        <v>207</v>
      </c>
      <c r="B93" s="8" t="s">
        <v>208</v>
      </c>
      <c r="C93" s="8" t="s">
        <v>206</v>
      </c>
      <c r="D93" s="26" t="s">
        <v>3</v>
      </c>
      <c r="E93" s="22" t="s">
        <v>5</v>
      </c>
      <c r="F93" s="23" t="s">
        <v>7</v>
      </c>
      <c r="G93" s="24" t="s">
        <v>9</v>
      </c>
      <c r="H93" s="22" t="s">
        <v>5</v>
      </c>
      <c r="I93" s="22" t="s">
        <v>5</v>
      </c>
      <c r="J93" s="22" t="s">
        <v>5</v>
      </c>
      <c r="K93" s="22" t="s">
        <v>5</v>
      </c>
      <c r="L93" s="22" t="s">
        <v>5</v>
      </c>
      <c r="M93" s="23" t="s">
        <v>7</v>
      </c>
      <c r="N93" s="24" t="s">
        <v>9</v>
      </c>
      <c r="O93" s="22" t="s">
        <v>5</v>
      </c>
      <c r="P93" s="22" t="s">
        <v>5</v>
      </c>
      <c r="Q93" s="22" t="s">
        <v>5</v>
      </c>
      <c r="R93" s="26" t="s">
        <v>3</v>
      </c>
      <c r="S93" s="26" t="s">
        <v>3</v>
      </c>
      <c r="T93" s="27" t="s">
        <v>7</v>
      </c>
      <c r="U93" s="24" t="s">
        <v>9</v>
      </c>
      <c r="V93" s="26" t="s">
        <v>3</v>
      </c>
      <c r="W93" s="26" t="s">
        <v>3</v>
      </c>
      <c r="X93" s="26" t="s">
        <v>3</v>
      </c>
      <c r="Y93" s="26" t="s">
        <v>3</v>
      </c>
      <c r="Z93" s="26" t="s">
        <v>3</v>
      </c>
      <c r="AA93" s="23" t="s">
        <v>7</v>
      </c>
      <c r="AB93" s="24" t="s">
        <v>9</v>
      </c>
      <c r="AC93" s="26" t="s">
        <v>3</v>
      </c>
      <c r="AD93" s="26" t="s">
        <v>3</v>
      </c>
      <c r="AE93" s="26" t="s">
        <v>3</v>
      </c>
      <c r="AF93" s="26" t="s">
        <v>3</v>
      </c>
      <c r="AG93" s="26" t="s">
        <v>3</v>
      </c>
      <c r="AH93" s="23" t="s">
        <v>7</v>
      </c>
      <c r="AI93" s="8">
        <f>COUNTIF(D93:AH93,"ON")</f>
        <v>13</v>
      </c>
      <c r="AJ93" s="8">
        <f>COUNTIF(D93:AH93,"OFF")</f>
        <v>9</v>
      </c>
      <c r="AK93" s="8">
        <f>COUNTIF(D93:AH93,"OT")</f>
        <v>0</v>
      </c>
      <c r="AL93" s="62">
        <v>1</v>
      </c>
      <c r="AM93" s="33">
        <f>AI93+AK93+AL93*0.5</f>
        <v>13.5</v>
      </c>
      <c r="AN93" s="63">
        <f>NETWORKDAYS(DATE(2025,5,1),EOMONTH(DATE(2025,5,1),0))*8</f>
        <v>176</v>
      </c>
      <c r="AO93" s="63">
        <f>MAX(0,COUNTIF(E93,"ON")+COUNTIF(L93,"ON")+COUNTIF(S93,"ON")+COUNTIF(Z93,"ON")+COUNTIF(AG93,"ON")-AL93)</f>
        <v>2</v>
      </c>
      <c r="AP93" s="63">
        <f>AO93*$AP$2</f>
        <v>8</v>
      </c>
      <c r="AQ93" s="53">
        <f>AM93-AP93/8</f>
        <v>12.5</v>
      </c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</row>
    <row r="94" spans="1:56" ht="22" customHeight="1" x14ac:dyDescent="0.35">
      <c r="A94" s="8" t="s">
        <v>209</v>
      </c>
      <c r="B94" s="8" t="s">
        <v>210</v>
      </c>
      <c r="C94" s="8" t="s">
        <v>206</v>
      </c>
      <c r="D94" s="26" t="s">
        <v>3</v>
      </c>
      <c r="E94" s="26" t="s">
        <v>3</v>
      </c>
      <c r="F94" s="27" t="s">
        <v>7</v>
      </c>
      <c r="G94" s="24" t="s">
        <v>9</v>
      </c>
      <c r="H94" s="26" t="s">
        <v>3</v>
      </c>
      <c r="I94" s="26" t="s">
        <v>3</v>
      </c>
      <c r="J94" s="26" t="s">
        <v>3</v>
      </c>
      <c r="K94" s="26" t="s">
        <v>3</v>
      </c>
      <c r="L94" s="22" t="s">
        <v>5</v>
      </c>
      <c r="M94" s="23" t="s">
        <v>7</v>
      </c>
      <c r="N94" s="24" t="s">
        <v>9</v>
      </c>
      <c r="O94" s="22" t="s">
        <v>5</v>
      </c>
      <c r="P94" s="26" t="s">
        <v>3</v>
      </c>
      <c r="Q94" s="26" t="s">
        <v>3</v>
      </c>
      <c r="R94" s="26" t="s">
        <v>3</v>
      </c>
      <c r="S94" s="26" t="s">
        <v>3</v>
      </c>
      <c r="T94" s="23" t="s">
        <v>7</v>
      </c>
      <c r="U94" s="24" t="s">
        <v>9</v>
      </c>
      <c r="V94" s="26" t="s">
        <v>3</v>
      </c>
      <c r="W94" s="26" t="s">
        <v>3</v>
      </c>
      <c r="X94" s="26" t="s">
        <v>3</v>
      </c>
      <c r="Y94" s="26" t="s">
        <v>3</v>
      </c>
      <c r="Z94" s="26" t="s">
        <v>3</v>
      </c>
      <c r="AA94" s="23" t="s">
        <v>7</v>
      </c>
      <c r="AB94" s="24" t="s">
        <v>9</v>
      </c>
      <c r="AC94" s="26" t="s">
        <v>3</v>
      </c>
      <c r="AD94" s="26" t="s">
        <v>3</v>
      </c>
      <c r="AE94" s="26" t="s">
        <v>3</v>
      </c>
      <c r="AF94" s="26" t="s">
        <v>3</v>
      </c>
      <c r="AG94" s="26" t="s">
        <v>3</v>
      </c>
      <c r="AH94" s="27" t="s">
        <v>7</v>
      </c>
      <c r="AI94" s="8">
        <f>COUNTIF(D94:AH94,"ON")</f>
        <v>20</v>
      </c>
      <c r="AJ94" s="8">
        <f>COUNTIF(D94:AH94,"OFF")</f>
        <v>2</v>
      </c>
      <c r="AK94" s="8">
        <f>COUNTIF(D94:AH94,"OT")</f>
        <v>0</v>
      </c>
      <c r="AL94" s="62">
        <v>2</v>
      </c>
      <c r="AM94" s="33">
        <f>AI94+AK94+AL94*0.5</f>
        <v>21</v>
      </c>
      <c r="AN94" s="63">
        <f>NETWORKDAYS(DATE(2025,5,1),EOMONTH(DATE(2025,5,1),0))*8</f>
        <v>176</v>
      </c>
      <c r="AO94" s="63">
        <f>MAX(0,COUNTIF(E94,"ON")+COUNTIF(L94,"ON")+COUNTIF(S94,"ON")+COUNTIF(Z94,"ON")+COUNTIF(AG94,"ON")-AL94)</f>
        <v>2</v>
      </c>
      <c r="AP94" s="63">
        <f>AO94*$AP$2</f>
        <v>8</v>
      </c>
      <c r="AQ94" s="53">
        <f>AM94-AP94/8</f>
        <v>20</v>
      </c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</row>
    <row r="95" spans="1:56" ht="22" customHeight="1" x14ac:dyDescent="0.35">
      <c r="A95" s="8" t="s">
        <v>211</v>
      </c>
      <c r="B95" s="8" t="s">
        <v>212</v>
      </c>
      <c r="C95" s="8" t="s">
        <v>206</v>
      </c>
      <c r="D95" s="26" t="s">
        <v>3</v>
      </c>
      <c r="E95" s="22" t="s">
        <v>5</v>
      </c>
      <c r="F95" s="23" t="s">
        <v>7</v>
      </c>
      <c r="G95" s="24" t="s">
        <v>9</v>
      </c>
      <c r="H95" s="22" t="s">
        <v>5</v>
      </c>
      <c r="I95" s="26" t="s">
        <v>3</v>
      </c>
      <c r="J95" s="26" t="s">
        <v>3</v>
      </c>
      <c r="K95" s="26" t="s">
        <v>3</v>
      </c>
      <c r="L95" s="26" t="s">
        <v>3</v>
      </c>
      <c r="M95" s="27" t="s">
        <v>7</v>
      </c>
      <c r="N95" s="24" t="s">
        <v>9</v>
      </c>
      <c r="O95" s="26" t="s">
        <v>3</v>
      </c>
      <c r="P95" s="26" t="s">
        <v>3</v>
      </c>
      <c r="Q95" s="26" t="s">
        <v>3</v>
      </c>
      <c r="R95" s="26" t="s">
        <v>3</v>
      </c>
      <c r="S95" s="26" t="s">
        <v>3</v>
      </c>
      <c r="T95" s="23" t="s">
        <v>7</v>
      </c>
      <c r="U95" s="24" t="s">
        <v>9</v>
      </c>
      <c r="V95" s="26" t="s">
        <v>3</v>
      </c>
      <c r="W95" s="26" t="s">
        <v>3</v>
      </c>
      <c r="X95" s="26" t="s">
        <v>3</v>
      </c>
      <c r="Y95" s="26" t="s">
        <v>3</v>
      </c>
      <c r="Z95" s="26" t="s">
        <v>3</v>
      </c>
      <c r="AA95" s="27" t="s">
        <v>7</v>
      </c>
      <c r="AB95" s="24" t="s">
        <v>9</v>
      </c>
      <c r="AC95" s="26" t="s">
        <v>3</v>
      </c>
      <c r="AD95" s="26" t="s">
        <v>3</v>
      </c>
      <c r="AE95" s="26" t="s">
        <v>3</v>
      </c>
      <c r="AF95" s="26" t="s">
        <v>3</v>
      </c>
      <c r="AG95" s="26" t="s">
        <v>3</v>
      </c>
      <c r="AH95" s="23" t="s">
        <v>7</v>
      </c>
      <c r="AI95" s="8">
        <f>COUNTIF(D95:AH95,"ON")</f>
        <v>20</v>
      </c>
      <c r="AJ95" s="8">
        <f>COUNTIF(D95:AH95,"OFF")</f>
        <v>2</v>
      </c>
      <c r="AK95" s="8">
        <f>COUNTIF(D95:AH95,"OT")</f>
        <v>0</v>
      </c>
      <c r="AL95" s="62">
        <v>2</v>
      </c>
      <c r="AM95" s="33">
        <f>AI95+AK95+AL95*0.5</f>
        <v>21</v>
      </c>
      <c r="AN95" s="63">
        <f>NETWORKDAYS(DATE(2025,5,1),EOMONTH(DATE(2025,5,1),0))*8</f>
        <v>176</v>
      </c>
      <c r="AO95" s="63">
        <f>MAX(0,COUNTIF(E95,"ON")+COUNTIF(L95,"ON")+COUNTIF(S95,"ON")+COUNTIF(Z95,"ON")+COUNTIF(AG95,"ON")-AL95)</f>
        <v>2</v>
      </c>
      <c r="AP95" s="63">
        <f>AO95*$AP$2</f>
        <v>8</v>
      </c>
      <c r="AQ95" s="53">
        <f>AM95-AP95/8</f>
        <v>20</v>
      </c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</row>
    <row r="96" spans="1:56" x14ac:dyDescent="0.35"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</row>
    <row r="97" spans="1:56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</row>
    <row r="98" spans="1:56" ht="22" customHeight="1" x14ac:dyDescent="0.35">
      <c r="A98" s="8" t="s">
        <v>214</v>
      </c>
      <c r="B98" s="8" t="s">
        <v>215</v>
      </c>
      <c r="C98" s="8" t="s">
        <v>216</v>
      </c>
      <c r="D98" s="26" t="s">
        <v>3</v>
      </c>
      <c r="E98" s="22" t="s">
        <v>5</v>
      </c>
      <c r="F98" s="23" t="s">
        <v>7</v>
      </c>
      <c r="G98" s="24" t="s">
        <v>9</v>
      </c>
      <c r="H98" s="22" t="s">
        <v>5</v>
      </c>
      <c r="I98" s="22" t="s">
        <v>5</v>
      </c>
      <c r="J98" s="26" t="s">
        <v>3</v>
      </c>
      <c r="K98" s="22" t="s">
        <v>5</v>
      </c>
      <c r="L98" s="26" t="s">
        <v>3</v>
      </c>
      <c r="M98" s="23" t="s">
        <v>7</v>
      </c>
      <c r="N98" s="24" t="s">
        <v>9</v>
      </c>
      <c r="O98" s="26" t="s">
        <v>3</v>
      </c>
      <c r="P98" s="26" t="s">
        <v>3</v>
      </c>
      <c r="Q98" s="26" t="s">
        <v>3</v>
      </c>
      <c r="R98" s="26" t="s">
        <v>3</v>
      </c>
      <c r="S98" s="26" t="s">
        <v>3</v>
      </c>
      <c r="T98" s="27" t="s">
        <v>7</v>
      </c>
      <c r="U98" s="24" t="s">
        <v>9</v>
      </c>
      <c r="V98" s="26" t="s">
        <v>3</v>
      </c>
      <c r="W98" s="26" t="s">
        <v>3</v>
      </c>
      <c r="X98" s="26" t="s">
        <v>3</v>
      </c>
      <c r="Y98" s="26" t="s">
        <v>3</v>
      </c>
      <c r="Z98" s="26" t="s">
        <v>3</v>
      </c>
      <c r="AA98" s="27" t="s">
        <v>7</v>
      </c>
      <c r="AB98" s="24" t="s">
        <v>9</v>
      </c>
      <c r="AC98" s="26" t="s">
        <v>3</v>
      </c>
      <c r="AD98" s="26" t="s">
        <v>3</v>
      </c>
      <c r="AE98" s="26" t="s">
        <v>3</v>
      </c>
      <c r="AF98" s="26" t="s">
        <v>3</v>
      </c>
      <c r="AG98" s="26" t="s">
        <v>3</v>
      </c>
      <c r="AH98" s="23" t="s">
        <v>7</v>
      </c>
      <c r="AI98" s="8">
        <f t="shared" ref="AI98:AI111" si="32">COUNTIF(D98:AH98,"ON")</f>
        <v>18</v>
      </c>
      <c r="AJ98" s="8">
        <f t="shared" ref="AJ98:AJ111" si="33">COUNTIF(D98:AH98,"OFF")</f>
        <v>4</v>
      </c>
      <c r="AK98" s="8">
        <f t="shared" ref="AK98:AK111" si="34">COUNTIF(D98:AH98,"OT")</f>
        <v>0</v>
      </c>
      <c r="AL98" s="62">
        <v>2</v>
      </c>
      <c r="AM98" s="33">
        <f t="shared" ref="AM98:AM111" si="35">AI98+AK98+AL98*0.5</f>
        <v>19</v>
      </c>
      <c r="AN98" s="63">
        <f t="shared" ref="AN98:AN111" si="36">NETWORKDAYS(DATE(2025,5,1),EOMONTH(DATE(2025,5,1),0))*8</f>
        <v>176</v>
      </c>
      <c r="AO98" s="63">
        <f t="shared" ref="AO98:AO111" si="37">MAX(0,COUNTIF(E98,"ON")+COUNTIF(L98,"ON")+COUNTIF(S98,"ON")+COUNTIF(Z98,"ON")+COUNTIF(AG98,"ON")-AL98)</f>
        <v>2</v>
      </c>
      <c r="AP98" s="63">
        <f t="shared" ref="AP98:AP111" si="38">AO98*$AP$2</f>
        <v>8</v>
      </c>
      <c r="AQ98" s="53">
        <f t="shared" ref="AQ98:AQ111" si="39">AM98-AP98/8</f>
        <v>18</v>
      </c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</row>
    <row r="99" spans="1:56" ht="22" customHeight="1" x14ac:dyDescent="0.35">
      <c r="A99" s="8" t="s">
        <v>217</v>
      </c>
      <c r="B99" s="8" t="s">
        <v>218</v>
      </c>
      <c r="C99" s="8" t="s">
        <v>216</v>
      </c>
      <c r="D99" s="26" t="s">
        <v>3</v>
      </c>
      <c r="E99" s="22" t="s">
        <v>5</v>
      </c>
      <c r="F99" s="23" t="s">
        <v>7</v>
      </c>
      <c r="G99" s="24" t="s">
        <v>9</v>
      </c>
      <c r="H99" s="22" t="s">
        <v>5</v>
      </c>
      <c r="I99" s="22" t="s">
        <v>5</v>
      </c>
      <c r="J99" s="26" t="s">
        <v>3</v>
      </c>
      <c r="K99" s="26" t="s">
        <v>3</v>
      </c>
      <c r="L99" s="26" t="s">
        <v>3</v>
      </c>
      <c r="M99" s="23" t="s">
        <v>7</v>
      </c>
      <c r="N99" s="24" t="s">
        <v>9</v>
      </c>
      <c r="O99" s="22" t="s">
        <v>5</v>
      </c>
      <c r="P99" s="26" t="s">
        <v>3</v>
      </c>
      <c r="Q99" s="26" t="s">
        <v>3</v>
      </c>
      <c r="R99" s="26" t="s">
        <v>3</v>
      </c>
      <c r="S99" s="26" t="s">
        <v>3</v>
      </c>
      <c r="T99" s="23" t="s">
        <v>7</v>
      </c>
      <c r="U99" s="24" t="s">
        <v>9</v>
      </c>
      <c r="V99" s="26" t="s">
        <v>3</v>
      </c>
      <c r="W99" s="26" t="s">
        <v>3</v>
      </c>
      <c r="X99" s="26" t="s">
        <v>3</v>
      </c>
      <c r="Y99" s="26" t="s">
        <v>3</v>
      </c>
      <c r="Z99" s="26" t="s">
        <v>3</v>
      </c>
      <c r="AA99" s="27" t="s">
        <v>7</v>
      </c>
      <c r="AB99" s="24" t="s">
        <v>9</v>
      </c>
      <c r="AC99" s="26" t="s">
        <v>3</v>
      </c>
      <c r="AD99" s="26" t="s">
        <v>3</v>
      </c>
      <c r="AE99" s="26" t="s">
        <v>3</v>
      </c>
      <c r="AF99" s="26" t="s">
        <v>3</v>
      </c>
      <c r="AG99" s="26" t="s">
        <v>3</v>
      </c>
      <c r="AH99" s="23" t="s">
        <v>7</v>
      </c>
      <c r="AI99" s="8">
        <f t="shared" si="32"/>
        <v>18</v>
      </c>
      <c r="AJ99" s="8">
        <f t="shared" si="33"/>
        <v>4</v>
      </c>
      <c r="AK99" s="8">
        <f t="shared" si="34"/>
        <v>0</v>
      </c>
      <c r="AL99" s="62">
        <v>1</v>
      </c>
      <c r="AM99" s="33">
        <f t="shared" si="35"/>
        <v>18.5</v>
      </c>
      <c r="AN99" s="63">
        <f t="shared" si="36"/>
        <v>176</v>
      </c>
      <c r="AO99" s="63">
        <f t="shared" si="37"/>
        <v>3</v>
      </c>
      <c r="AP99" s="63">
        <f t="shared" si="38"/>
        <v>12</v>
      </c>
      <c r="AQ99" s="53">
        <f t="shared" si="39"/>
        <v>17</v>
      </c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</row>
    <row r="100" spans="1:56" ht="22" customHeight="1" x14ac:dyDescent="0.35">
      <c r="A100" s="8" t="s">
        <v>219</v>
      </c>
      <c r="B100" s="8" t="s">
        <v>220</v>
      </c>
      <c r="C100" s="8" t="s">
        <v>216</v>
      </c>
      <c r="D100" s="26" t="s">
        <v>3</v>
      </c>
      <c r="E100" s="22" t="s">
        <v>5</v>
      </c>
      <c r="F100" s="23" t="s">
        <v>7</v>
      </c>
      <c r="G100" s="24" t="s">
        <v>9</v>
      </c>
      <c r="H100" s="22" t="s">
        <v>5</v>
      </c>
      <c r="I100" s="22" t="s">
        <v>5</v>
      </c>
      <c r="J100" s="26" t="s">
        <v>3</v>
      </c>
      <c r="K100" s="26" t="s">
        <v>3</v>
      </c>
      <c r="L100" s="26" t="s">
        <v>3</v>
      </c>
      <c r="M100" s="23" t="s">
        <v>7</v>
      </c>
      <c r="N100" s="24" t="s">
        <v>9</v>
      </c>
      <c r="O100" s="26" t="s">
        <v>3</v>
      </c>
      <c r="P100" s="26" t="s">
        <v>3</v>
      </c>
      <c r="Q100" s="26" t="s">
        <v>3</v>
      </c>
      <c r="R100" s="26" t="s">
        <v>3</v>
      </c>
      <c r="S100" s="26" t="s">
        <v>3</v>
      </c>
      <c r="T100" s="23" t="s">
        <v>7</v>
      </c>
      <c r="U100" s="24" t="s">
        <v>9</v>
      </c>
      <c r="V100" s="26" t="s">
        <v>3</v>
      </c>
      <c r="W100" s="26" t="s">
        <v>3</v>
      </c>
      <c r="X100" s="26" t="s">
        <v>3</v>
      </c>
      <c r="Y100" s="26" t="s">
        <v>3</v>
      </c>
      <c r="Z100" s="26" t="s">
        <v>3</v>
      </c>
      <c r="AA100" s="23" t="s">
        <v>7</v>
      </c>
      <c r="AB100" s="24" t="s">
        <v>9</v>
      </c>
      <c r="AC100" s="22" t="s">
        <v>5</v>
      </c>
      <c r="AD100" s="22" t="s">
        <v>5</v>
      </c>
      <c r="AE100" s="26" t="s">
        <v>3</v>
      </c>
      <c r="AF100" s="26" t="s">
        <v>3</v>
      </c>
      <c r="AG100" s="26" t="s">
        <v>3</v>
      </c>
      <c r="AH100" s="23" t="s">
        <v>7</v>
      </c>
      <c r="AI100" s="8">
        <f t="shared" si="32"/>
        <v>17</v>
      </c>
      <c r="AJ100" s="8">
        <f t="shared" si="33"/>
        <v>5</v>
      </c>
      <c r="AK100" s="8">
        <f t="shared" si="34"/>
        <v>0</v>
      </c>
      <c r="AL100" s="62">
        <v>0</v>
      </c>
      <c r="AM100" s="33">
        <f t="shared" si="35"/>
        <v>17</v>
      </c>
      <c r="AN100" s="63">
        <f t="shared" si="36"/>
        <v>176</v>
      </c>
      <c r="AO100" s="63">
        <f t="shared" si="37"/>
        <v>4</v>
      </c>
      <c r="AP100" s="63">
        <f t="shared" si="38"/>
        <v>16</v>
      </c>
      <c r="AQ100" s="53">
        <f t="shared" si="39"/>
        <v>15</v>
      </c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</row>
    <row r="101" spans="1:56" ht="22" customHeight="1" x14ac:dyDescent="0.35">
      <c r="A101" s="8" t="s">
        <v>221</v>
      </c>
      <c r="B101" s="8" t="s">
        <v>222</v>
      </c>
      <c r="C101" s="8" t="s">
        <v>216</v>
      </c>
      <c r="D101" s="26" t="s">
        <v>3</v>
      </c>
      <c r="E101" s="22" t="s">
        <v>5</v>
      </c>
      <c r="F101" s="23" t="s">
        <v>7</v>
      </c>
      <c r="G101" s="24" t="s">
        <v>9</v>
      </c>
      <c r="H101" s="22" t="s">
        <v>5</v>
      </c>
      <c r="I101" s="22" t="s">
        <v>5</v>
      </c>
      <c r="J101" s="26" t="s">
        <v>3</v>
      </c>
      <c r="K101" s="26" t="s">
        <v>3</v>
      </c>
      <c r="L101" s="26" t="s">
        <v>3</v>
      </c>
      <c r="M101" s="23" t="s">
        <v>7</v>
      </c>
      <c r="N101" s="24" t="s">
        <v>9</v>
      </c>
      <c r="O101" s="26" t="s">
        <v>3</v>
      </c>
      <c r="P101" s="26" t="s">
        <v>3</v>
      </c>
      <c r="Q101" s="26" t="s">
        <v>3</v>
      </c>
      <c r="R101" s="26" t="s">
        <v>3</v>
      </c>
      <c r="S101" s="26" t="s">
        <v>3</v>
      </c>
      <c r="T101" s="23" t="s">
        <v>7</v>
      </c>
      <c r="U101" s="24" t="s">
        <v>9</v>
      </c>
      <c r="V101" s="26" t="s">
        <v>3</v>
      </c>
      <c r="W101" s="26" t="s">
        <v>3</v>
      </c>
      <c r="X101" s="26" t="s">
        <v>3</v>
      </c>
      <c r="Y101" s="26" t="s">
        <v>3</v>
      </c>
      <c r="Z101" s="26" t="s">
        <v>3</v>
      </c>
      <c r="AA101" s="23" t="s">
        <v>7</v>
      </c>
      <c r="AB101" s="24" t="s">
        <v>9</v>
      </c>
      <c r="AC101" s="26" t="s">
        <v>3</v>
      </c>
      <c r="AD101" s="26" t="s">
        <v>3</v>
      </c>
      <c r="AE101" s="26" t="s">
        <v>3</v>
      </c>
      <c r="AF101" s="26" t="s">
        <v>3</v>
      </c>
      <c r="AG101" s="26" t="s">
        <v>3</v>
      </c>
      <c r="AH101" s="23" t="s">
        <v>7</v>
      </c>
      <c r="AI101" s="8">
        <f t="shared" si="32"/>
        <v>19</v>
      </c>
      <c r="AJ101" s="8">
        <f t="shared" si="33"/>
        <v>3</v>
      </c>
      <c r="AK101" s="8">
        <f t="shared" si="34"/>
        <v>0</v>
      </c>
      <c r="AL101" s="62">
        <v>0</v>
      </c>
      <c r="AM101" s="33">
        <f t="shared" si="35"/>
        <v>19</v>
      </c>
      <c r="AN101" s="63">
        <f t="shared" si="36"/>
        <v>176</v>
      </c>
      <c r="AO101" s="63">
        <f t="shared" si="37"/>
        <v>4</v>
      </c>
      <c r="AP101" s="63">
        <f t="shared" si="38"/>
        <v>16</v>
      </c>
      <c r="AQ101" s="53">
        <f t="shared" si="39"/>
        <v>17</v>
      </c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</row>
    <row r="102" spans="1:56" ht="22" customHeight="1" x14ac:dyDescent="0.35">
      <c r="A102" s="8" t="s">
        <v>223</v>
      </c>
      <c r="B102" s="8" t="s">
        <v>224</v>
      </c>
      <c r="C102" s="8" t="s">
        <v>216</v>
      </c>
      <c r="D102" s="22" t="s">
        <v>5</v>
      </c>
      <c r="E102" s="22" t="s">
        <v>5</v>
      </c>
      <c r="F102" s="23" t="s">
        <v>7</v>
      </c>
      <c r="G102" s="24" t="s">
        <v>9</v>
      </c>
      <c r="H102" s="22" t="s">
        <v>5</v>
      </c>
      <c r="I102" s="22" t="s">
        <v>5</v>
      </c>
      <c r="J102" s="22" t="s">
        <v>5</v>
      </c>
      <c r="K102" s="22" t="s">
        <v>5</v>
      </c>
      <c r="L102" s="22" t="s">
        <v>5</v>
      </c>
      <c r="M102" s="23" t="s">
        <v>7</v>
      </c>
      <c r="N102" s="24" t="s">
        <v>9</v>
      </c>
      <c r="O102" s="22" t="s">
        <v>5</v>
      </c>
      <c r="P102" s="22" t="s">
        <v>5</v>
      </c>
      <c r="Q102" s="22" t="s">
        <v>5</v>
      </c>
      <c r="R102" s="22" t="s">
        <v>5</v>
      </c>
      <c r="S102" s="22" t="s">
        <v>5</v>
      </c>
      <c r="T102" s="23" t="s">
        <v>7</v>
      </c>
      <c r="U102" s="24" t="s">
        <v>9</v>
      </c>
      <c r="V102" s="22" t="s">
        <v>5</v>
      </c>
      <c r="W102" s="22" t="s">
        <v>5</v>
      </c>
      <c r="X102" s="22" t="s">
        <v>5</v>
      </c>
      <c r="Y102" s="22" t="s">
        <v>5</v>
      </c>
      <c r="Z102" s="22" t="s">
        <v>5</v>
      </c>
      <c r="AA102" s="23" t="s">
        <v>7</v>
      </c>
      <c r="AB102" s="24" t="s">
        <v>9</v>
      </c>
      <c r="AC102" s="22" t="s">
        <v>5</v>
      </c>
      <c r="AD102" s="22" t="s">
        <v>5</v>
      </c>
      <c r="AE102" s="22" t="s">
        <v>5</v>
      </c>
      <c r="AF102" s="22" t="s">
        <v>5</v>
      </c>
      <c r="AG102" s="22" t="s">
        <v>5</v>
      </c>
      <c r="AH102" s="23" t="s">
        <v>7</v>
      </c>
      <c r="AI102" s="8">
        <f t="shared" si="32"/>
        <v>0</v>
      </c>
      <c r="AJ102" s="25">
        <f t="shared" si="33"/>
        <v>22</v>
      </c>
      <c r="AK102" s="8">
        <f t="shared" si="34"/>
        <v>0</v>
      </c>
      <c r="AL102" s="62">
        <v>0</v>
      </c>
      <c r="AM102" s="33">
        <f t="shared" si="35"/>
        <v>0</v>
      </c>
      <c r="AN102" s="63">
        <f t="shared" si="36"/>
        <v>176</v>
      </c>
      <c r="AO102" s="63">
        <f t="shared" si="37"/>
        <v>0</v>
      </c>
      <c r="AP102" s="63">
        <f t="shared" si="38"/>
        <v>0</v>
      </c>
      <c r="AQ102" s="53">
        <f t="shared" si="39"/>
        <v>0</v>
      </c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</row>
    <row r="103" spans="1:56" ht="22" customHeight="1" x14ac:dyDescent="0.35">
      <c r="A103" s="8" t="s">
        <v>225</v>
      </c>
      <c r="B103" s="8" t="s">
        <v>226</v>
      </c>
      <c r="C103" s="8" t="s">
        <v>216</v>
      </c>
      <c r="D103" s="22" t="s">
        <v>5</v>
      </c>
      <c r="E103" s="22" t="s">
        <v>5</v>
      </c>
      <c r="F103" s="23" t="s">
        <v>7</v>
      </c>
      <c r="G103" s="24" t="s">
        <v>9</v>
      </c>
      <c r="H103" s="22" t="s">
        <v>5</v>
      </c>
      <c r="I103" s="22" t="s">
        <v>5</v>
      </c>
      <c r="J103" s="22" t="s">
        <v>5</v>
      </c>
      <c r="K103" s="22" t="s">
        <v>5</v>
      </c>
      <c r="L103" s="22" t="s">
        <v>5</v>
      </c>
      <c r="M103" s="23" t="s">
        <v>7</v>
      </c>
      <c r="N103" s="24" t="s">
        <v>9</v>
      </c>
      <c r="O103" s="22" t="s">
        <v>5</v>
      </c>
      <c r="P103" s="22" t="s">
        <v>5</v>
      </c>
      <c r="Q103" s="22" t="s">
        <v>5</v>
      </c>
      <c r="R103" s="22" t="s">
        <v>5</v>
      </c>
      <c r="S103" s="22" t="s">
        <v>5</v>
      </c>
      <c r="T103" s="23" t="s">
        <v>7</v>
      </c>
      <c r="U103" s="24" t="s">
        <v>9</v>
      </c>
      <c r="V103" s="22" t="s">
        <v>5</v>
      </c>
      <c r="W103" s="22" t="s">
        <v>5</v>
      </c>
      <c r="X103" s="22" t="s">
        <v>5</v>
      </c>
      <c r="Y103" s="22" t="s">
        <v>5</v>
      </c>
      <c r="Z103" s="22" t="s">
        <v>5</v>
      </c>
      <c r="AA103" s="23" t="s">
        <v>7</v>
      </c>
      <c r="AB103" s="24" t="s">
        <v>9</v>
      </c>
      <c r="AC103" s="22" t="s">
        <v>5</v>
      </c>
      <c r="AD103" s="22" t="s">
        <v>5</v>
      </c>
      <c r="AE103" s="22" t="s">
        <v>5</v>
      </c>
      <c r="AF103" s="22" t="s">
        <v>5</v>
      </c>
      <c r="AG103" s="22" t="s">
        <v>5</v>
      </c>
      <c r="AH103" s="23" t="s">
        <v>7</v>
      </c>
      <c r="AI103" s="8">
        <f t="shared" si="32"/>
        <v>0</v>
      </c>
      <c r="AJ103" s="25">
        <f t="shared" si="33"/>
        <v>22</v>
      </c>
      <c r="AK103" s="8">
        <f t="shared" si="34"/>
        <v>0</v>
      </c>
      <c r="AL103" s="62">
        <v>0</v>
      </c>
      <c r="AM103" s="33">
        <f t="shared" si="35"/>
        <v>0</v>
      </c>
      <c r="AN103" s="63">
        <f t="shared" si="36"/>
        <v>176</v>
      </c>
      <c r="AO103" s="63">
        <f t="shared" si="37"/>
        <v>0</v>
      </c>
      <c r="AP103" s="63">
        <f t="shared" si="38"/>
        <v>0</v>
      </c>
      <c r="AQ103" s="53">
        <f t="shared" si="39"/>
        <v>0</v>
      </c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</row>
    <row r="104" spans="1:56" ht="22" customHeight="1" x14ac:dyDescent="0.35">
      <c r="A104" s="8" t="s">
        <v>227</v>
      </c>
      <c r="B104" s="8" t="s">
        <v>228</v>
      </c>
      <c r="C104" s="8" t="s">
        <v>216</v>
      </c>
      <c r="D104" s="26" t="s">
        <v>3</v>
      </c>
      <c r="E104" s="22" t="s">
        <v>5</v>
      </c>
      <c r="F104" s="23" t="s">
        <v>7</v>
      </c>
      <c r="G104" s="24" t="s">
        <v>9</v>
      </c>
      <c r="H104" s="22" t="s">
        <v>5</v>
      </c>
      <c r="I104" s="22" t="s">
        <v>5</v>
      </c>
      <c r="J104" s="26" t="s">
        <v>3</v>
      </c>
      <c r="K104" s="26" t="s">
        <v>3</v>
      </c>
      <c r="L104" s="26" t="s">
        <v>3</v>
      </c>
      <c r="M104" s="23" t="s">
        <v>7</v>
      </c>
      <c r="N104" s="24" t="s">
        <v>9</v>
      </c>
      <c r="O104" s="26" t="s">
        <v>3</v>
      </c>
      <c r="P104" s="26" t="s">
        <v>3</v>
      </c>
      <c r="Q104" s="26" t="s">
        <v>3</v>
      </c>
      <c r="R104" s="26" t="s">
        <v>3</v>
      </c>
      <c r="S104" s="26" t="s">
        <v>3</v>
      </c>
      <c r="T104" s="23" t="s">
        <v>7</v>
      </c>
      <c r="U104" s="24" t="s">
        <v>9</v>
      </c>
      <c r="V104" s="26" t="s">
        <v>3</v>
      </c>
      <c r="W104" s="26" t="s">
        <v>3</v>
      </c>
      <c r="X104" s="26" t="s">
        <v>3</v>
      </c>
      <c r="Y104" s="26" t="s">
        <v>3</v>
      </c>
      <c r="Z104" s="26" t="s">
        <v>3</v>
      </c>
      <c r="AA104" s="23" t="s">
        <v>7</v>
      </c>
      <c r="AB104" s="24" t="s">
        <v>9</v>
      </c>
      <c r="AC104" s="26" t="s">
        <v>3</v>
      </c>
      <c r="AD104" s="26" t="s">
        <v>3</v>
      </c>
      <c r="AE104" s="26" t="s">
        <v>3</v>
      </c>
      <c r="AF104" s="26" t="s">
        <v>3</v>
      </c>
      <c r="AG104" s="26" t="s">
        <v>3</v>
      </c>
      <c r="AH104" s="23" t="s">
        <v>7</v>
      </c>
      <c r="AI104" s="8">
        <f t="shared" si="32"/>
        <v>19</v>
      </c>
      <c r="AJ104" s="8">
        <f t="shared" si="33"/>
        <v>3</v>
      </c>
      <c r="AK104" s="8">
        <f t="shared" si="34"/>
        <v>0</v>
      </c>
      <c r="AL104" s="62">
        <v>0</v>
      </c>
      <c r="AM104" s="33">
        <f t="shared" si="35"/>
        <v>19</v>
      </c>
      <c r="AN104" s="63">
        <f t="shared" si="36"/>
        <v>176</v>
      </c>
      <c r="AO104" s="63">
        <f t="shared" si="37"/>
        <v>4</v>
      </c>
      <c r="AP104" s="63">
        <f t="shared" si="38"/>
        <v>16</v>
      </c>
      <c r="AQ104" s="53">
        <f t="shared" si="39"/>
        <v>17</v>
      </c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</row>
    <row r="105" spans="1:56" ht="22" customHeight="1" x14ac:dyDescent="0.35">
      <c r="A105" s="8" t="s">
        <v>229</v>
      </c>
      <c r="B105" s="8" t="s">
        <v>230</v>
      </c>
      <c r="C105" s="8" t="s">
        <v>216</v>
      </c>
      <c r="D105" s="26" t="s">
        <v>3</v>
      </c>
      <c r="E105" s="22" t="s">
        <v>5</v>
      </c>
      <c r="F105" s="23" t="s">
        <v>7</v>
      </c>
      <c r="G105" s="24" t="s">
        <v>9</v>
      </c>
      <c r="H105" s="22" t="s">
        <v>5</v>
      </c>
      <c r="I105" s="22" t="s">
        <v>5</v>
      </c>
      <c r="J105" s="26" t="s">
        <v>3</v>
      </c>
      <c r="K105" s="26" t="s">
        <v>3</v>
      </c>
      <c r="L105" s="22" t="s">
        <v>5</v>
      </c>
      <c r="M105" s="23" t="s">
        <v>7</v>
      </c>
      <c r="N105" s="24" t="s">
        <v>9</v>
      </c>
      <c r="O105" s="22" t="s">
        <v>5</v>
      </c>
      <c r="P105" s="26" t="s">
        <v>3</v>
      </c>
      <c r="Q105" s="26" t="s">
        <v>3</v>
      </c>
      <c r="R105" s="26" t="s">
        <v>3</v>
      </c>
      <c r="S105" s="26" t="s">
        <v>3</v>
      </c>
      <c r="T105" s="23" t="s">
        <v>7</v>
      </c>
      <c r="U105" s="24" t="s">
        <v>9</v>
      </c>
      <c r="V105" s="26" t="s">
        <v>3</v>
      </c>
      <c r="W105" s="26" t="s">
        <v>3</v>
      </c>
      <c r="X105" s="26" t="s">
        <v>3</v>
      </c>
      <c r="Y105" s="26" t="s">
        <v>3</v>
      </c>
      <c r="Z105" s="26" t="s">
        <v>3</v>
      </c>
      <c r="AA105" s="27" t="s">
        <v>7</v>
      </c>
      <c r="AB105" s="24" t="s">
        <v>9</v>
      </c>
      <c r="AC105" s="26" t="s">
        <v>3</v>
      </c>
      <c r="AD105" s="22" t="s">
        <v>5</v>
      </c>
      <c r="AE105" s="22" t="s">
        <v>5</v>
      </c>
      <c r="AF105" s="22" t="s">
        <v>5</v>
      </c>
      <c r="AG105" s="26" t="s">
        <v>3</v>
      </c>
      <c r="AH105" s="27" t="s">
        <v>7</v>
      </c>
      <c r="AI105" s="8">
        <f t="shared" si="32"/>
        <v>14</v>
      </c>
      <c r="AJ105" s="8">
        <f t="shared" si="33"/>
        <v>8</v>
      </c>
      <c r="AK105" s="8">
        <f t="shared" si="34"/>
        <v>0</v>
      </c>
      <c r="AL105" s="62">
        <v>2</v>
      </c>
      <c r="AM105" s="33">
        <f t="shared" si="35"/>
        <v>15</v>
      </c>
      <c r="AN105" s="63">
        <f t="shared" si="36"/>
        <v>176</v>
      </c>
      <c r="AO105" s="63">
        <f t="shared" si="37"/>
        <v>1</v>
      </c>
      <c r="AP105" s="63">
        <f t="shared" si="38"/>
        <v>4</v>
      </c>
      <c r="AQ105" s="53">
        <f t="shared" si="39"/>
        <v>14.5</v>
      </c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</row>
    <row r="106" spans="1:56" ht="22" customHeight="1" x14ac:dyDescent="0.35">
      <c r="A106" s="8" t="s">
        <v>231</v>
      </c>
      <c r="B106" s="8" t="s">
        <v>232</v>
      </c>
      <c r="C106" s="8" t="s">
        <v>216</v>
      </c>
      <c r="D106" s="26" t="s">
        <v>3</v>
      </c>
      <c r="E106" s="22" t="s">
        <v>5</v>
      </c>
      <c r="F106" s="23" t="s">
        <v>7</v>
      </c>
      <c r="G106" s="24" t="s">
        <v>9</v>
      </c>
      <c r="H106" s="22" t="s">
        <v>5</v>
      </c>
      <c r="I106" s="22" t="s">
        <v>5</v>
      </c>
      <c r="J106" s="22" t="s">
        <v>5</v>
      </c>
      <c r="K106" s="26" t="s">
        <v>3</v>
      </c>
      <c r="L106" s="26" t="s">
        <v>3</v>
      </c>
      <c r="M106" s="27" t="s">
        <v>7</v>
      </c>
      <c r="N106" s="28" t="s">
        <v>11</v>
      </c>
      <c r="O106" s="26" t="s">
        <v>3</v>
      </c>
      <c r="P106" s="26" t="s">
        <v>3</v>
      </c>
      <c r="Q106" s="26" t="s">
        <v>3</v>
      </c>
      <c r="R106" s="26" t="s">
        <v>3</v>
      </c>
      <c r="S106" s="26" t="s">
        <v>3</v>
      </c>
      <c r="T106" s="27" t="s">
        <v>7</v>
      </c>
      <c r="U106" s="24" t="s">
        <v>9</v>
      </c>
      <c r="V106" s="26" t="s">
        <v>3</v>
      </c>
      <c r="W106" s="26" t="s">
        <v>3</v>
      </c>
      <c r="X106" s="26" t="s">
        <v>3</v>
      </c>
      <c r="Y106" s="26" t="s">
        <v>3</v>
      </c>
      <c r="Z106" s="26" t="s">
        <v>3</v>
      </c>
      <c r="AA106" s="23" t="s">
        <v>7</v>
      </c>
      <c r="AB106" s="24" t="s">
        <v>9</v>
      </c>
      <c r="AC106" s="26" t="s">
        <v>3</v>
      </c>
      <c r="AD106" s="26" t="s">
        <v>3</v>
      </c>
      <c r="AE106" s="22" t="s">
        <v>5</v>
      </c>
      <c r="AF106" s="22" t="s">
        <v>5</v>
      </c>
      <c r="AG106" s="26" t="s">
        <v>3</v>
      </c>
      <c r="AH106" s="27" t="s">
        <v>7</v>
      </c>
      <c r="AI106" s="8">
        <f t="shared" si="32"/>
        <v>16</v>
      </c>
      <c r="AJ106" s="8">
        <f t="shared" si="33"/>
        <v>6</v>
      </c>
      <c r="AK106" s="29">
        <f t="shared" si="34"/>
        <v>1</v>
      </c>
      <c r="AL106" s="62">
        <v>3</v>
      </c>
      <c r="AM106" s="33">
        <f t="shared" si="35"/>
        <v>18.5</v>
      </c>
      <c r="AN106" s="63">
        <f t="shared" si="36"/>
        <v>176</v>
      </c>
      <c r="AO106" s="63">
        <f t="shared" si="37"/>
        <v>1</v>
      </c>
      <c r="AP106" s="63">
        <f t="shared" si="38"/>
        <v>4</v>
      </c>
      <c r="AQ106" s="53">
        <f t="shared" si="39"/>
        <v>18</v>
      </c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</row>
    <row r="107" spans="1:56" ht="22" customHeight="1" x14ac:dyDescent="0.35">
      <c r="A107" s="8" t="s">
        <v>233</v>
      </c>
      <c r="B107" s="8" t="s">
        <v>234</v>
      </c>
      <c r="C107" s="8" t="s">
        <v>216</v>
      </c>
      <c r="D107" s="26" t="s">
        <v>3</v>
      </c>
      <c r="E107" s="22" t="s">
        <v>5</v>
      </c>
      <c r="F107" s="23" t="s">
        <v>7</v>
      </c>
      <c r="G107" s="24" t="s">
        <v>9</v>
      </c>
      <c r="H107" s="22" t="s">
        <v>5</v>
      </c>
      <c r="I107" s="22" t="s">
        <v>5</v>
      </c>
      <c r="J107" s="26" t="s">
        <v>3</v>
      </c>
      <c r="K107" s="26" t="s">
        <v>3</v>
      </c>
      <c r="L107" s="26" t="s">
        <v>3</v>
      </c>
      <c r="M107" s="23" t="s">
        <v>7</v>
      </c>
      <c r="N107" s="24" t="s">
        <v>9</v>
      </c>
      <c r="O107" s="26" t="s">
        <v>3</v>
      </c>
      <c r="P107" s="26" t="s">
        <v>3</v>
      </c>
      <c r="Q107" s="26" t="s">
        <v>3</v>
      </c>
      <c r="R107" s="26" t="s">
        <v>3</v>
      </c>
      <c r="S107" s="26" t="s">
        <v>3</v>
      </c>
      <c r="T107" s="23" t="s">
        <v>7</v>
      </c>
      <c r="U107" s="24" t="s">
        <v>9</v>
      </c>
      <c r="V107" s="26" t="s">
        <v>3</v>
      </c>
      <c r="W107" s="26" t="s">
        <v>3</v>
      </c>
      <c r="X107" s="26" t="s">
        <v>3</v>
      </c>
      <c r="Y107" s="26" t="s">
        <v>3</v>
      </c>
      <c r="Z107" s="26" t="s">
        <v>3</v>
      </c>
      <c r="AA107" s="27" t="s">
        <v>7</v>
      </c>
      <c r="AB107" s="24" t="s">
        <v>9</v>
      </c>
      <c r="AC107" s="26" t="s">
        <v>3</v>
      </c>
      <c r="AD107" s="26" t="s">
        <v>3</v>
      </c>
      <c r="AE107" s="26" t="s">
        <v>3</v>
      </c>
      <c r="AF107" s="26" t="s">
        <v>3</v>
      </c>
      <c r="AG107" s="26" t="s">
        <v>3</v>
      </c>
      <c r="AH107" s="23" t="s">
        <v>7</v>
      </c>
      <c r="AI107" s="8">
        <f t="shared" si="32"/>
        <v>19</v>
      </c>
      <c r="AJ107" s="8">
        <f t="shared" si="33"/>
        <v>3</v>
      </c>
      <c r="AK107" s="8">
        <f t="shared" si="34"/>
        <v>0</v>
      </c>
      <c r="AL107" s="62">
        <v>1</v>
      </c>
      <c r="AM107" s="33">
        <f t="shared" si="35"/>
        <v>19.5</v>
      </c>
      <c r="AN107" s="63">
        <f t="shared" si="36"/>
        <v>176</v>
      </c>
      <c r="AO107" s="63">
        <f t="shared" si="37"/>
        <v>3</v>
      </c>
      <c r="AP107" s="63">
        <f t="shared" si="38"/>
        <v>12</v>
      </c>
      <c r="AQ107" s="53">
        <f t="shared" si="39"/>
        <v>18</v>
      </c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</row>
    <row r="108" spans="1:56" ht="22" customHeight="1" x14ac:dyDescent="0.35">
      <c r="A108" s="8" t="s">
        <v>235</v>
      </c>
      <c r="B108" s="8" t="s">
        <v>236</v>
      </c>
      <c r="C108" s="8" t="s">
        <v>216</v>
      </c>
      <c r="D108" s="26" t="s">
        <v>3</v>
      </c>
      <c r="E108" s="22" t="s">
        <v>5</v>
      </c>
      <c r="F108" s="23" t="s">
        <v>7</v>
      </c>
      <c r="G108" s="24" t="s">
        <v>9</v>
      </c>
      <c r="H108" s="22" t="s">
        <v>5</v>
      </c>
      <c r="I108" s="22" t="s">
        <v>5</v>
      </c>
      <c r="J108" s="26" t="s">
        <v>3</v>
      </c>
      <c r="K108" s="26" t="s">
        <v>3</v>
      </c>
      <c r="L108" s="26" t="s">
        <v>3</v>
      </c>
      <c r="M108" s="27" t="s">
        <v>7</v>
      </c>
      <c r="N108" s="28" t="s">
        <v>11</v>
      </c>
      <c r="O108" s="26" t="s">
        <v>3</v>
      </c>
      <c r="P108" s="26" t="s">
        <v>3</v>
      </c>
      <c r="Q108" s="26" t="s">
        <v>3</v>
      </c>
      <c r="R108" s="26" t="s">
        <v>3</v>
      </c>
      <c r="S108" s="26" t="s">
        <v>3</v>
      </c>
      <c r="T108" s="23" t="s">
        <v>7</v>
      </c>
      <c r="U108" s="24" t="s">
        <v>9</v>
      </c>
      <c r="V108" s="26" t="s">
        <v>3</v>
      </c>
      <c r="W108" s="26" t="s">
        <v>3</v>
      </c>
      <c r="X108" s="26" t="s">
        <v>3</v>
      </c>
      <c r="Y108" s="26" t="s">
        <v>3</v>
      </c>
      <c r="Z108" s="26" t="s">
        <v>3</v>
      </c>
      <c r="AA108" s="23" t="s">
        <v>7</v>
      </c>
      <c r="AB108" s="24" t="s">
        <v>9</v>
      </c>
      <c r="AC108" s="26" t="s">
        <v>3</v>
      </c>
      <c r="AD108" s="26" t="s">
        <v>3</v>
      </c>
      <c r="AE108" s="26" t="s">
        <v>3</v>
      </c>
      <c r="AF108" s="26" t="s">
        <v>3</v>
      </c>
      <c r="AG108" s="26" t="s">
        <v>3</v>
      </c>
      <c r="AH108" s="27" t="s">
        <v>7</v>
      </c>
      <c r="AI108" s="8">
        <f t="shared" si="32"/>
        <v>19</v>
      </c>
      <c r="AJ108" s="8">
        <f t="shared" si="33"/>
        <v>3</v>
      </c>
      <c r="AK108" s="29">
        <f t="shared" si="34"/>
        <v>1</v>
      </c>
      <c r="AL108" s="62">
        <v>2</v>
      </c>
      <c r="AM108" s="33">
        <f t="shared" si="35"/>
        <v>21</v>
      </c>
      <c r="AN108" s="63">
        <f t="shared" si="36"/>
        <v>176</v>
      </c>
      <c r="AO108" s="63">
        <f t="shared" si="37"/>
        <v>2</v>
      </c>
      <c r="AP108" s="63">
        <f t="shared" si="38"/>
        <v>8</v>
      </c>
      <c r="AQ108" s="53">
        <f t="shared" si="39"/>
        <v>20</v>
      </c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</row>
    <row r="109" spans="1:56" ht="22" customHeight="1" x14ac:dyDescent="0.35">
      <c r="A109" s="8" t="s">
        <v>237</v>
      </c>
      <c r="B109" s="8" t="s">
        <v>238</v>
      </c>
      <c r="C109" s="8" t="s">
        <v>216</v>
      </c>
      <c r="D109" s="26" t="s">
        <v>3</v>
      </c>
      <c r="E109" s="22" t="s">
        <v>5</v>
      </c>
      <c r="F109" s="23" t="s">
        <v>7</v>
      </c>
      <c r="G109" s="24" t="s">
        <v>9</v>
      </c>
      <c r="H109" s="22" t="s">
        <v>5</v>
      </c>
      <c r="I109" s="22" t="s">
        <v>5</v>
      </c>
      <c r="J109" s="26" t="s">
        <v>3</v>
      </c>
      <c r="K109" s="26" t="s">
        <v>3</v>
      </c>
      <c r="L109" s="26" t="s">
        <v>3</v>
      </c>
      <c r="M109" s="23" t="s">
        <v>7</v>
      </c>
      <c r="N109" s="24" t="s">
        <v>9</v>
      </c>
      <c r="O109" s="26" t="s">
        <v>3</v>
      </c>
      <c r="P109" s="26" t="s">
        <v>3</v>
      </c>
      <c r="Q109" s="26" t="s">
        <v>3</v>
      </c>
      <c r="R109" s="26" t="s">
        <v>3</v>
      </c>
      <c r="S109" s="26" t="s">
        <v>3</v>
      </c>
      <c r="T109" s="27" t="s">
        <v>7</v>
      </c>
      <c r="U109" s="24" t="s">
        <v>9</v>
      </c>
      <c r="V109" s="26" t="s">
        <v>3</v>
      </c>
      <c r="W109" s="26" t="s">
        <v>3</v>
      </c>
      <c r="X109" s="26" t="s">
        <v>3</v>
      </c>
      <c r="Y109" s="26" t="s">
        <v>3</v>
      </c>
      <c r="Z109" s="22" t="s">
        <v>5</v>
      </c>
      <c r="AA109" s="27" t="s">
        <v>7</v>
      </c>
      <c r="AB109" s="24" t="s">
        <v>9</v>
      </c>
      <c r="AC109" s="26" t="s">
        <v>3</v>
      </c>
      <c r="AD109" s="26" t="s">
        <v>3</v>
      </c>
      <c r="AE109" s="26" t="s">
        <v>3</v>
      </c>
      <c r="AF109" s="26" t="s">
        <v>3</v>
      </c>
      <c r="AG109" s="22" t="s">
        <v>5</v>
      </c>
      <c r="AH109" s="23" t="s">
        <v>7</v>
      </c>
      <c r="AI109" s="8">
        <f t="shared" si="32"/>
        <v>17</v>
      </c>
      <c r="AJ109" s="8">
        <f t="shared" si="33"/>
        <v>5</v>
      </c>
      <c r="AK109" s="8">
        <f t="shared" si="34"/>
        <v>0</v>
      </c>
      <c r="AL109" s="62">
        <v>2</v>
      </c>
      <c r="AM109" s="33">
        <f t="shared" si="35"/>
        <v>18</v>
      </c>
      <c r="AN109" s="63">
        <f t="shared" si="36"/>
        <v>176</v>
      </c>
      <c r="AO109" s="63">
        <f t="shared" si="37"/>
        <v>0</v>
      </c>
      <c r="AP109" s="63">
        <f t="shared" si="38"/>
        <v>0</v>
      </c>
      <c r="AQ109" s="53">
        <f t="shared" si="39"/>
        <v>18</v>
      </c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</row>
    <row r="110" spans="1:56" ht="22" customHeight="1" x14ac:dyDescent="0.35">
      <c r="A110" s="8" t="s">
        <v>239</v>
      </c>
      <c r="B110" s="8" t="s">
        <v>240</v>
      </c>
      <c r="C110" s="8" t="s">
        <v>216</v>
      </c>
      <c r="D110" s="26" t="s">
        <v>3</v>
      </c>
      <c r="E110" s="22" t="s">
        <v>5</v>
      </c>
      <c r="F110" s="23" t="s">
        <v>7</v>
      </c>
      <c r="G110" s="24" t="s">
        <v>9</v>
      </c>
      <c r="H110" s="22" t="s">
        <v>5</v>
      </c>
      <c r="I110" s="22" t="s">
        <v>5</v>
      </c>
      <c r="J110" s="26" t="s">
        <v>3</v>
      </c>
      <c r="K110" s="26" t="s">
        <v>3</v>
      </c>
      <c r="L110" s="26" t="s">
        <v>3</v>
      </c>
      <c r="M110" s="23" t="s">
        <v>7</v>
      </c>
      <c r="N110" s="24" t="s">
        <v>9</v>
      </c>
      <c r="O110" s="26" t="s">
        <v>3</v>
      </c>
      <c r="P110" s="26" t="s">
        <v>3</v>
      </c>
      <c r="Q110" s="26" t="s">
        <v>3</v>
      </c>
      <c r="R110" s="26" t="s">
        <v>3</v>
      </c>
      <c r="S110" s="26" t="s">
        <v>3</v>
      </c>
      <c r="T110" s="23" t="s">
        <v>7</v>
      </c>
      <c r="U110" s="24" t="s">
        <v>9</v>
      </c>
      <c r="V110" s="26" t="s">
        <v>3</v>
      </c>
      <c r="W110" s="26" t="s">
        <v>3</v>
      </c>
      <c r="X110" s="26" t="s">
        <v>3</v>
      </c>
      <c r="Y110" s="26" t="s">
        <v>3</v>
      </c>
      <c r="Z110" s="22" t="s">
        <v>5</v>
      </c>
      <c r="AA110" s="27" t="s">
        <v>7</v>
      </c>
      <c r="AB110" s="24" t="s">
        <v>9</v>
      </c>
      <c r="AC110" s="26" t="s">
        <v>3</v>
      </c>
      <c r="AD110" s="26" t="s">
        <v>3</v>
      </c>
      <c r="AE110" s="26" t="s">
        <v>3</v>
      </c>
      <c r="AF110" s="26" t="s">
        <v>3</v>
      </c>
      <c r="AG110" s="26" t="s">
        <v>3</v>
      </c>
      <c r="AH110" s="23" t="s">
        <v>7</v>
      </c>
      <c r="AI110" s="8">
        <f t="shared" si="32"/>
        <v>18</v>
      </c>
      <c r="AJ110" s="8">
        <f t="shared" si="33"/>
        <v>4</v>
      </c>
      <c r="AK110" s="8">
        <f t="shared" si="34"/>
        <v>0</v>
      </c>
      <c r="AL110" s="62">
        <v>1</v>
      </c>
      <c r="AM110" s="33">
        <f t="shared" si="35"/>
        <v>18.5</v>
      </c>
      <c r="AN110" s="63">
        <f t="shared" si="36"/>
        <v>176</v>
      </c>
      <c r="AO110" s="63">
        <f t="shared" si="37"/>
        <v>2</v>
      </c>
      <c r="AP110" s="63">
        <f t="shared" si="38"/>
        <v>8</v>
      </c>
      <c r="AQ110" s="53">
        <f t="shared" si="39"/>
        <v>17.5</v>
      </c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</row>
    <row r="111" spans="1:56" ht="22" customHeight="1" x14ac:dyDescent="0.35">
      <c r="A111" s="8" t="s">
        <v>241</v>
      </c>
      <c r="B111" s="8" t="s">
        <v>242</v>
      </c>
      <c r="C111" s="8" t="s">
        <v>216</v>
      </c>
      <c r="D111" s="26" t="s">
        <v>3</v>
      </c>
      <c r="E111" s="22" t="s">
        <v>5</v>
      </c>
      <c r="F111" s="23" t="s">
        <v>7</v>
      </c>
      <c r="G111" s="24" t="s">
        <v>9</v>
      </c>
      <c r="H111" s="22" t="s">
        <v>5</v>
      </c>
      <c r="I111" s="22" t="s">
        <v>5</v>
      </c>
      <c r="J111" s="26" t="s">
        <v>3</v>
      </c>
      <c r="K111" s="26" t="s">
        <v>3</v>
      </c>
      <c r="L111" s="26" t="s">
        <v>3</v>
      </c>
      <c r="M111" s="23" t="s">
        <v>7</v>
      </c>
      <c r="N111" s="24" t="s">
        <v>9</v>
      </c>
      <c r="O111" s="26" t="s">
        <v>3</v>
      </c>
      <c r="P111" s="26" t="s">
        <v>3</v>
      </c>
      <c r="Q111" s="26" t="s">
        <v>3</v>
      </c>
      <c r="R111" s="26" t="s">
        <v>3</v>
      </c>
      <c r="S111" s="26" t="s">
        <v>3</v>
      </c>
      <c r="T111" s="23" t="s">
        <v>7</v>
      </c>
      <c r="U111" s="24" t="s">
        <v>9</v>
      </c>
      <c r="V111" s="26" t="s">
        <v>3</v>
      </c>
      <c r="W111" s="26" t="s">
        <v>3</v>
      </c>
      <c r="X111" s="26" t="s">
        <v>3</v>
      </c>
      <c r="Y111" s="26" t="s">
        <v>3</v>
      </c>
      <c r="Z111" s="26" t="s">
        <v>3</v>
      </c>
      <c r="AA111" s="23" t="s">
        <v>7</v>
      </c>
      <c r="AB111" s="24" t="s">
        <v>9</v>
      </c>
      <c r="AC111" s="26" t="s">
        <v>3</v>
      </c>
      <c r="AD111" s="26" t="s">
        <v>3</v>
      </c>
      <c r="AE111" s="26" t="s">
        <v>3</v>
      </c>
      <c r="AF111" s="26" t="s">
        <v>3</v>
      </c>
      <c r="AG111" s="26" t="s">
        <v>3</v>
      </c>
      <c r="AH111" s="23" t="s">
        <v>7</v>
      </c>
      <c r="AI111" s="8">
        <f t="shared" si="32"/>
        <v>19</v>
      </c>
      <c r="AJ111" s="8">
        <f t="shared" si="33"/>
        <v>3</v>
      </c>
      <c r="AK111" s="8">
        <f t="shared" si="34"/>
        <v>0</v>
      </c>
      <c r="AL111" s="62">
        <v>0</v>
      </c>
      <c r="AM111" s="33">
        <f t="shared" si="35"/>
        <v>19</v>
      </c>
      <c r="AN111" s="63">
        <f t="shared" si="36"/>
        <v>176</v>
      </c>
      <c r="AO111" s="63">
        <f t="shared" si="37"/>
        <v>4</v>
      </c>
      <c r="AP111" s="63">
        <f t="shared" si="38"/>
        <v>16</v>
      </c>
      <c r="AQ111" s="53">
        <f t="shared" si="39"/>
        <v>17</v>
      </c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</row>
    <row r="112" spans="1:56" x14ac:dyDescent="0.35"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</row>
    <row r="113" spans="1:56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</row>
    <row r="114" spans="1:56" ht="22" customHeight="1" x14ac:dyDescent="0.35">
      <c r="A114" s="8" t="s">
        <v>244</v>
      </c>
      <c r="B114" s="8" t="s">
        <v>245</v>
      </c>
      <c r="C114" s="8" t="s">
        <v>354</v>
      </c>
      <c r="D114" s="26" t="s">
        <v>3</v>
      </c>
      <c r="E114" s="22" t="s">
        <v>5</v>
      </c>
      <c r="F114" s="23" t="s">
        <v>7</v>
      </c>
      <c r="G114" s="24" t="s">
        <v>9</v>
      </c>
      <c r="H114" s="22" t="s">
        <v>5</v>
      </c>
      <c r="I114" s="22" t="s">
        <v>5</v>
      </c>
      <c r="J114" s="22" t="s">
        <v>5</v>
      </c>
      <c r="K114" s="22" t="s">
        <v>5</v>
      </c>
      <c r="L114" s="22" t="s">
        <v>5</v>
      </c>
      <c r="M114" s="23" t="s">
        <v>7</v>
      </c>
      <c r="N114" s="24" t="s">
        <v>9</v>
      </c>
      <c r="O114" s="22" t="s">
        <v>5</v>
      </c>
      <c r="P114" s="22" t="s">
        <v>5</v>
      </c>
      <c r="Q114" s="22" t="s">
        <v>5</v>
      </c>
      <c r="R114" s="22" t="s">
        <v>5</v>
      </c>
      <c r="S114" s="22" t="s">
        <v>5</v>
      </c>
      <c r="T114" s="23" t="s">
        <v>7</v>
      </c>
      <c r="U114" s="24" t="s">
        <v>9</v>
      </c>
      <c r="V114" s="22" t="s">
        <v>5</v>
      </c>
      <c r="W114" s="22" t="s">
        <v>5</v>
      </c>
      <c r="X114" s="22" t="s">
        <v>5</v>
      </c>
      <c r="Y114" s="22" t="s">
        <v>5</v>
      </c>
      <c r="Z114" s="22" t="s">
        <v>5</v>
      </c>
      <c r="AA114" s="23" t="s">
        <v>7</v>
      </c>
      <c r="AB114" s="24" t="s">
        <v>9</v>
      </c>
      <c r="AC114" s="22" t="s">
        <v>5</v>
      </c>
      <c r="AD114" s="22" t="s">
        <v>5</v>
      </c>
      <c r="AE114" s="22" t="s">
        <v>5</v>
      </c>
      <c r="AF114" s="22" t="s">
        <v>5</v>
      </c>
      <c r="AG114" s="22" t="s">
        <v>5</v>
      </c>
      <c r="AH114" s="23" t="s">
        <v>7</v>
      </c>
      <c r="AI114" s="8">
        <f>COUNTIF(D114:AH114,"ON")</f>
        <v>1</v>
      </c>
      <c r="AJ114" s="25">
        <f>COUNTIF(D114:AH114,"OFF")</f>
        <v>21</v>
      </c>
      <c r="AK114" s="8">
        <f>COUNTIF(D114:AH114,"OT")</f>
        <v>0</v>
      </c>
      <c r="AL114" s="62">
        <v>0</v>
      </c>
      <c r="AM114" s="33">
        <f>AI114+AK114+AL114*0.5</f>
        <v>1</v>
      </c>
      <c r="AN114" s="63">
        <f>NETWORKDAYS(DATE(2025,5,1),EOMONTH(DATE(2025,5,1),0))*8</f>
        <v>176</v>
      </c>
      <c r="AO114" s="63">
        <f>MAX(0,COUNTIF(E114,"ON")+COUNTIF(L114,"ON")+COUNTIF(S114,"ON")+COUNTIF(Z114,"ON")+COUNTIF(AG114,"ON")-AL114)</f>
        <v>0</v>
      </c>
      <c r="AP114" s="63">
        <f>AO114*$AP$2</f>
        <v>0</v>
      </c>
      <c r="AQ114" s="53">
        <f>AM114-AP114/8</f>
        <v>1</v>
      </c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</row>
    <row r="115" spans="1:56" ht="22" customHeight="1" x14ac:dyDescent="0.35">
      <c r="A115" s="8" t="s">
        <v>247</v>
      </c>
      <c r="B115" s="8" t="s">
        <v>248</v>
      </c>
      <c r="C115" s="8" t="s">
        <v>354</v>
      </c>
      <c r="D115" s="22" t="s">
        <v>5</v>
      </c>
      <c r="E115" s="22" t="s">
        <v>5</v>
      </c>
      <c r="F115" s="23" t="s">
        <v>7</v>
      </c>
      <c r="G115" s="24" t="s">
        <v>9</v>
      </c>
      <c r="H115" s="22" t="s">
        <v>5</v>
      </c>
      <c r="I115" s="22" t="s">
        <v>5</v>
      </c>
      <c r="J115" s="22" t="s">
        <v>5</v>
      </c>
      <c r="K115" s="22" t="s">
        <v>5</v>
      </c>
      <c r="L115" s="22" t="s">
        <v>5</v>
      </c>
      <c r="M115" s="23" t="s">
        <v>7</v>
      </c>
      <c r="N115" s="24" t="s">
        <v>9</v>
      </c>
      <c r="O115" s="22" t="s">
        <v>5</v>
      </c>
      <c r="P115" s="22" t="s">
        <v>5</v>
      </c>
      <c r="Q115" s="22" t="s">
        <v>5</v>
      </c>
      <c r="R115" s="22" t="s">
        <v>5</v>
      </c>
      <c r="S115" s="22" t="s">
        <v>5</v>
      </c>
      <c r="T115" s="23" t="s">
        <v>7</v>
      </c>
      <c r="U115" s="24" t="s">
        <v>9</v>
      </c>
      <c r="V115" s="22" t="s">
        <v>5</v>
      </c>
      <c r="W115" s="22" t="s">
        <v>5</v>
      </c>
      <c r="X115" s="22" t="s">
        <v>5</v>
      </c>
      <c r="Y115" s="22" t="s">
        <v>5</v>
      </c>
      <c r="Z115" s="22" t="s">
        <v>5</v>
      </c>
      <c r="AA115" s="23" t="s">
        <v>7</v>
      </c>
      <c r="AB115" s="24" t="s">
        <v>9</v>
      </c>
      <c r="AC115" s="22" t="s">
        <v>5</v>
      </c>
      <c r="AD115" s="22" t="s">
        <v>5</v>
      </c>
      <c r="AE115" s="22" t="s">
        <v>5</v>
      </c>
      <c r="AF115" s="22" t="s">
        <v>5</v>
      </c>
      <c r="AG115" s="22" t="s">
        <v>5</v>
      </c>
      <c r="AH115" s="23" t="s">
        <v>7</v>
      </c>
      <c r="AI115" s="8">
        <f>COUNTIF(D115:AH115,"ON")</f>
        <v>0</v>
      </c>
      <c r="AJ115" s="25">
        <f>COUNTIF(D115:AH115,"OFF")</f>
        <v>22</v>
      </c>
      <c r="AK115" s="8">
        <f>COUNTIF(D115:AH115,"OT")</f>
        <v>0</v>
      </c>
      <c r="AL115" s="62">
        <v>0</v>
      </c>
      <c r="AM115" s="33">
        <f>AI115+AK115+AL115*0.5</f>
        <v>0</v>
      </c>
      <c r="AN115" s="63">
        <f>NETWORKDAYS(DATE(2025,5,1),EOMONTH(DATE(2025,5,1),0))*8</f>
        <v>176</v>
      </c>
      <c r="AO115" s="63">
        <f>MAX(0,COUNTIF(E115,"ON")+COUNTIF(L115,"ON")+COUNTIF(S115,"ON")+COUNTIF(Z115,"ON")+COUNTIF(AG115,"ON")-AL115)</f>
        <v>0</v>
      </c>
      <c r="AP115" s="63">
        <f>AO115*$AP$2</f>
        <v>0</v>
      </c>
      <c r="AQ115" s="53">
        <f>AM115-AP115/8</f>
        <v>0</v>
      </c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</row>
    <row r="116" spans="1:56" ht="22" customHeight="1" x14ac:dyDescent="0.35">
      <c r="A116" s="8" t="s">
        <v>249</v>
      </c>
      <c r="B116" s="8" t="s">
        <v>250</v>
      </c>
      <c r="C116" s="8" t="s">
        <v>354</v>
      </c>
      <c r="D116" s="22" t="s">
        <v>5</v>
      </c>
      <c r="E116" s="26" t="s">
        <v>3</v>
      </c>
      <c r="F116" s="27" t="s">
        <v>7</v>
      </c>
      <c r="G116" s="28" t="s">
        <v>11</v>
      </c>
      <c r="H116" s="26" t="s">
        <v>3</v>
      </c>
      <c r="I116" s="26" t="s">
        <v>3</v>
      </c>
      <c r="J116" s="26" t="s">
        <v>3</v>
      </c>
      <c r="K116" s="26" t="s">
        <v>3</v>
      </c>
      <c r="L116" s="26" t="s">
        <v>3</v>
      </c>
      <c r="M116" s="27" t="s">
        <v>7</v>
      </c>
      <c r="N116" s="28" t="s">
        <v>11</v>
      </c>
      <c r="O116" s="26" t="s">
        <v>3</v>
      </c>
      <c r="P116" s="26" t="s">
        <v>3</v>
      </c>
      <c r="Q116" s="26" t="s">
        <v>3</v>
      </c>
      <c r="R116" s="26" t="s">
        <v>3</v>
      </c>
      <c r="S116" s="26" t="s">
        <v>3</v>
      </c>
      <c r="T116" s="27" t="s">
        <v>7</v>
      </c>
      <c r="U116" s="28" t="s">
        <v>11</v>
      </c>
      <c r="V116" s="26" t="s">
        <v>3</v>
      </c>
      <c r="W116" s="26" t="s">
        <v>3</v>
      </c>
      <c r="X116" s="26" t="s">
        <v>3</v>
      </c>
      <c r="Y116" s="26" t="s">
        <v>3</v>
      </c>
      <c r="Z116" s="26" t="s">
        <v>3</v>
      </c>
      <c r="AA116" s="27" t="s">
        <v>7</v>
      </c>
      <c r="AB116" s="28" t="s">
        <v>11</v>
      </c>
      <c r="AC116" s="26" t="s">
        <v>3</v>
      </c>
      <c r="AD116" s="26" t="s">
        <v>3</v>
      </c>
      <c r="AE116" s="26" t="s">
        <v>3</v>
      </c>
      <c r="AF116" s="26" t="s">
        <v>3</v>
      </c>
      <c r="AG116" s="26" t="s">
        <v>3</v>
      </c>
      <c r="AH116" s="27" t="s">
        <v>7</v>
      </c>
      <c r="AI116" s="8">
        <f>COUNTIF(D116:AH116,"ON")</f>
        <v>21</v>
      </c>
      <c r="AJ116" s="8">
        <f>COUNTIF(D116:AH116,"OFF")</f>
        <v>1</v>
      </c>
      <c r="AK116" s="29">
        <f>COUNTIF(D116:AH116,"OT")</f>
        <v>4</v>
      </c>
      <c r="AL116" s="62">
        <v>5</v>
      </c>
      <c r="AM116" s="33">
        <f>AI116+AK116+AL116*0.5</f>
        <v>27.5</v>
      </c>
      <c r="AN116" s="63">
        <f>NETWORKDAYS(DATE(2025,5,1),EOMONTH(DATE(2025,5,1),0))*8</f>
        <v>176</v>
      </c>
      <c r="AO116" s="63">
        <f>MAX(0,COUNTIF(E116,"ON")+COUNTIF(L116,"ON")+COUNTIF(S116,"ON")+COUNTIF(Z116,"ON")+COUNTIF(AG116,"ON")-AL116)</f>
        <v>0</v>
      </c>
      <c r="AP116" s="63">
        <f>AO116*$AP$2</f>
        <v>0</v>
      </c>
      <c r="AQ116" s="53">
        <f>AM116-AP116/8</f>
        <v>27.5</v>
      </c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</row>
    <row r="117" spans="1:56" x14ac:dyDescent="0.35"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</row>
    <row r="118" spans="1:56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</row>
    <row r="119" spans="1:56" ht="22" customHeight="1" x14ac:dyDescent="0.35">
      <c r="A119" s="8" t="s">
        <v>252</v>
      </c>
      <c r="B119" s="8" t="s">
        <v>253</v>
      </c>
      <c r="C119" s="8" t="s">
        <v>254</v>
      </c>
      <c r="D119" s="22" t="s">
        <v>5</v>
      </c>
      <c r="E119" s="22" t="s">
        <v>5</v>
      </c>
      <c r="F119" s="23" t="s">
        <v>7</v>
      </c>
      <c r="G119" s="24" t="s">
        <v>9</v>
      </c>
      <c r="H119" s="22" t="s">
        <v>5</v>
      </c>
      <c r="I119" s="22" t="s">
        <v>5</v>
      </c>
      <c r="J119" s="22" t="s">
        <v>5</v>
      </c>
      <c r="K119" s="22" t="s">
        <v>5</v>
      </c>
      <c r="L119" s="22" t="s">
        <v>5</v>
      </c>
      <c r="M119" s="23" t="s">
        <v>7</v>
      </c>
      <c r="N119" s="24" t="s">
        <v>9</v>
      </c>
      <c r="O119" s="22" t="s">
        <v>5</v>
      </c>
      <c r="P119" s="22" t="s">
        <v>5</v>
      </c>
      <c r="Q119" s="22" t="s">
        <v>5</v>
      </c>
      <c r="R119" s="22" t="s">
        <v>5</v>
      </c>
      <c r="S119" s="22" t="s">
        <v>5</v>
      </c>
      <c r="T119" s="23" t="s">
        <v>7</v>
      </c>
      <c r="U119" s="24" t="s">
        <v>9</v>
      </c>
      <c r="V119" s="22" t="s">
        <v>5</v>
      </c>
      <c r="W119" s="22" t="s">
        <v>5</v>
      </c>
      <c r="X119" s="22" t="s">
        <v>5</v>
      </c>
      <c r="Y119" s="22" t="s">
        <v>5</v>
      </c>
      <c r="Z119" s="22" t="s">
        <v>5</v>
      </c>
      <c r="AA119" s="23" t="s">
        <v>7</v>
      </c>
      <c r="AB119" s="24" t="s">
        <v>9</v>
      </c>
      <c r="AC119" s="22" t="s">
        <v>5</v>
      </c>
      <c r="AD119" s="22" t="s">
        <v>5</v>
      </c>
      <c r="AE119" s="22" t="s">
        <v>5</v>
      </c>
      <c r="AF119" s="22" t="s">
        <v>5</v>
      </c>
      <c r="AG119" s="22" t="s">
        <v>5</v>
      </c>
      <c r="AH119" s="23" t="s">
        <v>7</v>
      </c>
      <c r="AI119" s="8">
        <f t="shared" ref="AI119:AI129" si="40">COUNTIF(D119:AH119,"ON")</f>
        <v>0</v>
      </c>
      <c r="AJ119" s="25">
        <f t="shared" ref="AJ119:AJ129" si="41">COUNTIF(D119:AH119,"OFF")</f>
        <v>22</v>
      </c>
      <c r="AK119" s="8">
        <f t="shared" ref="AK119:AK129" si="42">COUNTIF(D119:AH119,"OT")</f>
        <v>0</v>
      </c>
      <c r="AL119" s="62">
        <v>0</v>
      </c>
      <c r="AM119" s="33">
        <f t="shared" ref="AM119:AM129" si="43">AI119+AK119+AL119*0.5</f>
        <v>0</v>
      </c>
      <c r="AN119" s="63">
        <f t="shared" ref="AN119:AN129" si="44">NETWORKDAYS(DATE(2025,5,1),EOMONTH(DATE(2025,5,1),0))*8</f>
        <v>176</v>
      </c>
      <c r="AO119" s="63">
        <f t="shared" ref="AO119:AO129" si="45">MAX(0,COUNTIF(E119,"ON")+COUNTIF(L119,"ON")+COUNTIF(S119,"ON")+COUNTIF(Z119,"ON")+COUNTIF(AG119,"ON")-AL119)</f>
        <v>0</v>
      </c>
      <c r="AP119" s="63">
        <f t="shared" ref="AP119:AP129" si="46">AO119*$AP$2</f>
        <v>0</v>
      </c>
      <c r="AQ119" s="53">
        <f t="shared" ref="AQ119:AQ129" si="47">AM119-AP119/8</f>
        <v>0</v>
      </c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</row>
    <row r="120" spans="1:56" ht="22" customHeight="1" x14ac:dyDescent="0.35">
      <c r="A120" s="8" t="s">
        <v>255</v>
      </c>
      <c r="B120" s="8" t="s">
        <v>256</v>
      </c>
      <c r="C120" s="8" t="s">
        <v>254</v>
      </c>
      <c r="D120" s="22" t="s">
        <v>5</v>
      </c>
      <c r="E120" s="22" t="s">
        <v>5</v>
      </c>
      <c r="F120" s="23" t="s">
        <v>7</v>
      </c>
      <c r="G120" s="24" t="s">
        <v>9</v>
      </c>
      <c r="H120" s="22" t="s">
        <v>5</v>
      </c>
      <c r="I120" s="22" t="s">
        <v>5</v>
      </c>
      <c r="J120" s="22" t="s">
        <v>5</v>
      </c>
      <c r="K120" s="22" t="s">
        <v>5</v>
      </c>
      <c r="L120" s="22" t="s">
        <v>5</v>
      </c>
      <c r="M120" s="23" t="s">
        <v>7</v>
      </c>
      <c r="N120" s="24" t="s">
        <v>9</v>
      </c>
      <c r="O120" s="22" t="s">
        <v>5</v>
      </c>
      <c r="P120" s="22" t="s">
        <v>5</v>
      </c>
      <c r="Q120" s="22" t="s">
        <v>5</v>
      </c>
      <c r="R120" s="22" t="s">
        <v>5</v>
      </c>
      <c r="S120" s="22" t="s">
        <v>5</v>
      </c>
      <c r="T120" s="23" t="s">
        <v>7</v>
      </c>
      <c r="U120" s="24" t="s">
        <v>9</v>
      </c>
      <c r="V120" s="22" t="s">
        <v>5</v>
      </c>
      <c r="W120" s="22" t="s">
        <v>5</v>
      </c>
      <c r="X120" s="22" t="s">
        <v>5</v>
      </c>
      <c r="Y120" s="22" t="s">
        <v>5</v>
      </c>
      <c r="Z120" s="22" t="s">
        <v>5</v>
      </c>
      <c r="AA120" s="23" t="s">
        <v>7</v>
      </c>
      <c r="AB120" s="24" t="s">
        <v>9</v>
      </c>
      <c r="AC120" s="22" t="s">
        <v>5</v>
      </c>
      <c r="AD120" s="22" t="s">
        <v>5</v>
      </c>
      <c r="AE120" s="22" t="s">
        <v>5</v>
      </c>
      <c r="AF120" s="22" t="s">
        <v>5</v>
      </c>
      <c r="AG120" s="22" t="s">
        <v>5</v>
      </c>
      <c r="AH120" s="23" t="s">
        <v>7</v>
      </c>
      <c r="AI120" s="8">
        <f t="shared" si="40"/>
        <v>0</v>
      </c>
      <c r="AJ120" s="25">
        <f t="shared" si="41"/>
        <v>22</v>
      </c>
      <c r="AK120" s="8">
        <f t="shared" si="42"/>
        <v>0</v>
      </c>
      <c r="AL120" s="62">
        <v>0</v>
      </c>
      <c r="AM120" s="33">
        <f t="shared" si="43"/>
        <v>0</v>
      </c>
      <c r="AN120" s="63">
        <f t="shared" si="44"/>
        <v>176</v>
      </c>
      <c r="AO120" s="63">
        <f t="shared" si="45"/>
        <v>0</v>
      </c>
      <c r="AP120" s="63">
        <f t="shared" si="46"/>
        <v>0</v>
      </c>
      <c r="AQ120" s="53">
        <f t="shared" si="47"/>
        <v>0</v>
      </c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</row>
    <row r="121" spans="1:56" ht="22" customHeight="1" x14ac:dyDescent="0.35">
      <c r="A121" s="8" t="s">
        <v>257</v>
      </c>
      <c r="B121" s="8" t="s">
        <v>258</v>
      </c>
      <c r="C121" s="8" t="s">
        <v>254</v>
      </c>
      <c r="D121" s="22" t="s">
        <v>5</v>
      </c>
      <c r="E121" s="22" t="s">
        <v>5</v>
      </c>
      <c r="F121" s="23" t="s">
        <v>7</v>
      </c>
      <c r="G121" s="24" t="s">
        <v>9</v>
      </c>
      <c r="H121" s="22" t="s">
        <v>5</v>
      </c>
      <c r="I121" s="22" t="s">
        <v>5</v>
      </c>
      <c r="J121" s="22" t="s">
        <v>5</v>
      </c>
      <c r="K121" s="22" t="s">
        <v>5</v>
      </c>
      <c r="L121" s="22" t="s">
        <v>5</v>
      </c>
      <c r="M121" s="23" t="s">
        <v>7</v>
      </c>
      <c r="N121" s="24" t="s">
        <v>9</v>
      </c>
      <c r="O121" s="22" t="s">
        <v>5</v>
      </c>
      <c r="P121" s="22" t="s">
        <v>5</v>
      </c>
      <c r="Q121" s="22" t="s">
        <v>5</v>
      </c>
      <c r="R121" s="22" t="s">
        <v>5</v>
      </c>
      <c r="S121" s="22" t="s">
        <v>5</v>
      </c>
      <c r="T121" s="23" t="s">
        <v>7</v>
      </c>
      <c r="U121" s="24" t="s">
        <v>9</v>
      </c>
      <c r="V121" s="22" t="s">
        <v>5</v>
      </c>
      <c r="W121" s="22" t="s">
        <v>5</v>
      </c>
      <c r="X121" s="22" t="s">
        <v>5</v>
      </c>
      <c r="Y121" s="22" t="s">
        <v>5</v>
      </c>
      <c r="Z121" s="22" t="s">
        <v>5</v>
      </c>
      <c r="AA121" s="23" t="s">
        <v>7</v>
      </c>
      <c r="AB121" s="24" t="s">
        <v>9</v>
      </c>
      <c r="AC121" s="22" t="s">
        <v>5</v>
      </c>
      <c r="AD121" s="22" t="s">
        <v>5</v>
      </c>
      <c r="AE121" s="22" t="s">
        <v>5</v>
      </c>
      <c r="AF121" s="22" t="s">
        <v>5</v>
      </c>
      <c r="AG121" s="22" t="s">
        <v>5</v>
      </c>
      <c r="AH121" s="23" t="s">
        <v>7</v>
      </c>
      <c r="AI121" s="8">
        <f t="shared" si="40"/>
        <v>0</v>
      </c>
      <c r="AJ121" s="25">
        <f t="shared" si="41"/>
        <v>22</v>
      </c>
      <c r="AK121" s="8">
        <f t="shared" si="42"/>
        <v>0</v>
      </c>
      <c r="AL121" s="62">
        <v>0</v>
      </c>
      <c r="AM121" s="33">
        <f t="shared" si="43"/>
        <v>0</v>
      </c>
      <c r="AN121" s="63">
        <f t="shared" si="44"/>
        <v>176</v>
      </c>
      <c r="AO121" s="63">
        <f t="shared" si="45"/>
        <v>0</v>
      </c>
      <c r="AP121" s="63">
        <f t="shared" si="46"/>
        <v>0</v>
      </c>
      <c r="AQ121" s="53">
        <f t="shared" si="47"/>
        <v>0</v>
      </c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</row>
    <row r="122" spans="1:56" ht="22" customHeight="1" x14ac:dyDescent="0.35">
      <c r="A122" s="8" t="s">
        <v>259</v>
      </c>
      <c r="B122" s="8" t="s">
        <v>260</v>
      </c>
      <c r="C122" s="8" t="s">
        <v>254</v>
      </c>
      <c r="D122" s="22" t="s">
        <v>5</v>
      </c>
      <c r="E122" s="22" t="s">
        <v>5</v>
      </c>
      <c r="F122" s="23" t="s">
        <v>7</v>
      </c>
      <c r="G122" s="24" t="s">
        <v>9</v>
      </c>
      <c r="H122" s="22" t="s">
        <v>5</v>
      </c>
      <c r="I122" s="22" t="s">
        <v>5</v>
      </c>
      <c r="J122" s="22" t="s">
        <v>5</v>
      </c>
      <c r="K122" s="22" t="s">
        <v>5</v>
      </c>
      <c r="L122" s="22" t="s">
        <v>5</v>
      </c>
      <c r="M122" s="23" t="s">
        <v>7</v>
      </c>
      <c r="N122" s="24" t="s">
        <v>9</v>
      </c>
      <c r="O122" s="22" t="s">
        <v>5</v>
      </c>
      <c r="P122" s="22" t="s">
        <v>5</v>
      </c>
      <c r="Q122" s="22" t="s">
        <v>5</v>
      </c>
      <c r="R122" s="22" t="s">
        <v>5</v>
      </c>
      <c r="S122" s="22" t="s">
        <v>5</v>
      </c>
      <c r="T122" s="23" t="s">
        <v>7</v>
      </c>
      <c r="U122" s="24" t="s">
        <v>9</v>
      </c>
      <c r="V122" s="22" t="s">
        <v>5</v>
      </c>
      <c r="W122" s="22" t="s">
        <v>5</v>
      </c>
      <c r="X122" s="22" t="s">
        <v>5</v>
      </c>
      <c r="Y122" s="22" t="s">
        <v>5</v>
      </c>
      <c r="Z122" s="22" t="s">
        <v>5</v>
      </c>
      <c r="AA122" s="23" t="s">
        <v>7</v>
      </c>
      <c r="AB122" s="24" t="s">
        <v>9</v>
      </c>
      <c r="AC122" s="22" t="s">
        <v>5</v>
      </c>
      <c r="AD122" s="22" t="s">
        <v>5</v>
      </c>
      <c r="AE122" s="22" t="s">
        <v>5</v>
      </c>
      <c r="AF122" s="22" t="s">
        <v>5</v>
      </c>
      <c r="AG122" s="22" t="s">
        <v>5</v>
      </c>
      <c r="AH122" s="23" t="s">
        <v>7</v>
      </c>
      <c r="AI122" s="8">
        <f t="shared" si="40"/>
        <v>0</v>
      </c>
      <c r="AJ122" s="25">
        <f t="shared" si="41"/>
        <v>22</v>
      </c>
      <c r="AK122" s="8">
        <f t="shared" si="42"/>
        <v>0</v>
      </c>
      <c r="AL122" s="62">
        <v>0</v>
      </c>
      <c r="AM122" s="33">
        <f t="shared" si="43"/>
        <v>0</v>
      </c>
      <c r="AN122" s="63">
        <f t="shared" si="44"/>
        <v>176</v>
      </c>
      <c r="AO122" s="63">
        <f t="shared" si="45"/>
        <v>0</v>
      </c>
      <c r="AP122" s="63">
        <f t="shared" si="46"/>
        <v>0</v>
      </c>
      <c r="AQ122" s="53">
        <f t="shared" si="47"/>
        <v>0</v>
      </c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</row>
    <row r="123" spans="1:56" ht="22" customHeight="1" x14ac:dyDescent="0.35">
      <c r="A123" s="8" t="s">
        <v>261</v>
      </c>
      <c r="B123" s="8" t="s">
        <v>262</v>
      </c>
      <c r="C123" s="8" t="s">
        <v>254</v>
      </c>
      <c r="D123" s="22" t="s">
        <v>5</v>
      </c>
      <c r="E123" s="22" t="s">
        <v>5</v>
      </c>
      <c r="F123" s="23" t="s">
        <v>7</v>
      </c>
      <c r="G123" s="24" t="s">
        <v>9</v>
      </c>
      <c r="H123" s="22" t="s">
        <v>5</v>
      </c>
      <c r="I123" s="22" t="s">
        <v>5</v>
      </c>
      <c r="J123" s="22" t="s">
        <v>5</v>
      </c>
      <c r="K123" s="22" t="s">
        <v>5</v>
      </c>
      <c r="L123" s="22" t="s">
        <v>5</v>
      </c>
      <c r="M123" s="23" t="s">
        <v>7</v>
      </c>
      <c r="N123" s="24" t="s">
        <v>9</v>
      </c>
      <c r="O123" s="22" t="s">
        <v>5</v>
      </c>
      <c r="P123" s="22" t="s">
        <v>5</v>
      </c>
      <c r="Q123" s="22" t="s">
        <v>5</v>
      </c>
      <c r="R123" s="22" t="s">
        <v>5</v>
      </c>
      <c r="S123" s="22" t="s">
        <v>5</v>
      </c>
      <c r="T123" s="23" t="s">
        <v>7</v>
      </c>
      <c r="U123" s="24" t="s">
        <v>9</v>
      </c>
      <c r="V123" s="22" t="s">
        <v>5</v>
      </c>
      <c r="W123" s="22" t="s">
        <v>5</v>
      </c>
      <c r="X123" s="22" t="s">
        <v>5</v>
      </c>
      <c r="Y123" s="22" t="s">
        <v>5</v>
      </c>
      <c r="Z123" s="22" t="s">
        <v>5</v>
      </c>
      <c r="AA123" s="23" t="s">
        <v>7</v>
      </c>
      <c r="AB123" s="24" t="s">
        <v>9</v>
      </c>
      <c r="AC123" s="22" t="s">
        <v>5</v>
      </c>
      <c r="AD123" s="22" t="s">
        <v>5</v>
      </c>
      <c r="AE123" s="22" t="s">
        <v>5</v>
      </c>
      <c r="AF123" s="22" t="s">
        <v>5</v>
      </c>
      <c r="AG123" s="22" t="s">
        <v>5</v>
      </c>
      <c r="AH123" s="23" t="s">
        <v>7</v>
      </c>
      <c r="AI123" s="8">
        <f t="shared" si="40"/>
        <v>0</v>
      </c>
      <c r="AJ123" s="25">
        <f t="shared" si="41"/>
        <v>22</v>
      </c>
      <c r="AK123" s="8">
        <f t="shared" si="42"/>
        <v>0</v>
      </c>
      <c r="AL123" s="62">
        <v>0</v>
      </c>
      <c r="AM123" s="33">
        <f t="shared" si="43"/>
        <v>0</v>
      </c>
      <c r="AN123" s="63">
        <f t="shared" si="44"/>
        <v>176</v>
      </c>
      <c r="AO123" s="63">
        <f t="shared" si="45"/>
        <v>0</v>
      </c>
      <c r="AP123" s="63">
        <f t="shared" si="46"/>
        <v>0</v>
      </c>
      <c r="AQ123" s="53">
        <f t="shared" si="47"/>
        <v>0</v>
      </c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</row>
    <row r="124" spans="1:56" ht="22" customHeight="1" x14ac:dyDescent="0.35">
      <c r="A124" s="8" t="s">
        <v>263</v>
      </c>
      <c r="B124" s="8" t="s">
        <v>264</v>
      </c>
      <c r="C124" s="8" t="s">
        <v>254</v>
      </c>
      <c r="D124" s="22" t="s">
        <v>5</v>
      </c>
      <c r="E124" s="22" t="s">
        <v>5</v>
      </c>
      <c r="F124" s="23" t="s">
        <v>7</v>
      </c>
      <c r="G124" s="24" t="s">
        <v>9</v>
      </c>
      <c r="H124" s="22" t="s">
        <v>5</v>
      </c>
      <c r="I124" s="22" t="s">
        <v>5</v>
      </c>
      <c r="J124" s="22" t="s">
        <v>5</v>
      </c>
      <c r="K124" s="22" t="s">
        <v>5</v>
      </c>
      <c r="L124" s="22" t="s">
        <v>5</v>
      </c>
      <c r="M124" s="23" t="s">
        <v>7</v>
      </c>
      <c r="N124" s="24" t="s">
        <v>9</v>
      </c>
      <c r="O124" s="22" t="s">
        <v>5</v>
      </c>
      <c r="P124" s="22" t="s">
        <v>5</v>
      </c>
      <c r="Q124" s="22" t="s">
        <v>5</v>
      </c>
      <c r="R124" s="22" t="s">
        <v>5</v>
      </c>
      <c r="S124" s="22" t="s">
        <v>5</v>
      </c>
      <c r="T124" s="23" t="s">
        <v>7</v>
      </c>
      <c r="U124" s="24" t="s">
        <v>9</v>
      </c>
      <c r="V124" s="22" t="s">
        <v>5</v>
      </c>
      <c r="W124" s="22" t="s">
        <v>5</v>
      </c>
      <c r="X124" s="22" t="s">
        <v>5</v>
      </c>
      <c r="Y124" s="22" t="s">
        <v>5</v>
      </c>
      <c r="Z124" s="22" t="s">
        <v>5</v>
      </c>
      <c r="AA124" s="23" t="s">
        <v>7</v>
      </c>
      <c r="AB124" s="24" t="s">
        <v>9</v>
      </c>
      <c r="AC124" s="22" t="s">
        <v>5</v>
      </c>
      <c r="AD124" s="22" t="s">
        <v>5</v>
      </c>
      <c r="AE124" s="22" t="s">
        <v>5</v>
      </c>
      <c r="AF124" s="22" t="s">
        <v>5</v>
      </c>
      <c r="AG124" s="22" t="s">
        <v>5</v>
      </c>
      <c r="AH124" s="23" t="s">
        <v>7</v>
      </c>
      <c r="AI124" s="8">
        <f t="shared" si="40"/>
        <v>0</v>
      </c>
      <c r="AJ124" s="25">
        <f t="shared" si="41"/>
        <v>22</v>
      </c>
      <c r="AK124" s="8">
        <f t="shared" si="42"/>
        <v>0</v>
      </c>
      <c r="AL124" s="62">
        <v>0</v>
      </c>
      <c r="AM124" s="33">
        <f t="shared" si="43"/>
        <v>0</v>
      </c>
      <c r="AN124" s="63">
        <f t="shared" si="44"/>
        <v>176</v>
      </c>
      <c r="AO124" s="63">
        <f t="shared" si="45"/>
        <v>0</v>
      </c>
      <c r="AP124" s="63">
        <f t="shared" si="46"/>
        <v>0</v>
      </c>
      <c r="AQ124" s="53">
        <f t="shared" si="47"/>
        <v>0</v>
      </c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</row>
    <row r="125" spans="1:56" ht="22" customHeight="1" x14ac:dyDescent="0.35">
      <c r="A125" s="8" t="s">
        <v>265</v>
      </c>
      <c r="B125" s="8" t="s">
        <v>266</v>
      </c>
      <c r="C125" s="8" t="s">
        <v>254</v>
      </c>
      <c r="D125" s="22" t="s">
        <v>5</v>
      </c>
      <c r="E125" s="22" t="s">
        <v>5</v>
      </c>
      <c r="F125" s="23" t="s">
        <v>7</v>
      </c>
      <c r="G125" s="24" t="s">
        <v>9</v>
      </c>
      <c r="H125" s="22" t="s">
        <v>5</v>
      </c>
      <c r="I125" s="22" t="s">
        <v>5</v>
      </c>
      <c r="J125" s="22" t="s">
        <v>5</v>
      </c>
      <c r="K125" s="22" t="s">
        <v>5</v>
      </c>
      <c r="L125" s="22" t="s">
        <v>5</v>
      </c>
      <c r="M125" s="23" t="s">
        <v>7</v>
      </c>
      <c r="N125" s="24" t="s">
        <v>9</v>
      </c>
      <c r="O125" s="22" t="s">
        <v>5</v>
      </c>
      <c r="P125" s="22" t="s">
        <v>5</v>
      </c>
      <c r="Q125" s="22" t="s">
        <v>5</v>
      </c>
      <c r="R125" s="22" t="s">
        <v>5</v>
      </c>
      <c r="S125" s="22" t="s">
        <v>5</v>
      </c>
      <c r="T125" s="23" t="s">
        <v>7</v>
      </c>
      <c r="U125" s="24" t="s">
        <v>9</v>
      </c>
      <c r="V125" s="22" t="s">
        <v>5</v>
      </c>
      <c r="W125" s="22" t="s">
        <v>5</v>
      </c>
      <c r="X125" s="22" t="s">
        <v>5</v>
      </c>
      <c r="Y125" s="22" t="s">
        <v>5</v>
      </c>
      <c r="Z125" s="22" t="s">
        <v>5</v>
      </c>
      <c r="AA125" s="23" t="s">
        <v>7</v>
      </c>
      <c r="AB125" s="24" t="s">
        <v>9</v>
      </c>
      <c r="AC125" s="22" t="s">
        <v>5</v>
      </c>
      <c r="AD125" s="22" t="s">
        <v>5</v>
      </c>
      <c r="AE125" s="22" t="s">
        <v>5</v>
      </c>
      <c r="AF125" s="22" t="s">
        <v>5</v>
      </c>
      <c r="AG125" s="22" t="s">
        <v>5</v>
      </c>
      <c r="AH125" s="23" t="s">
        <v>7</v>
      </c>
      <c r="AI125" s="8">
        <f t="shared" si="40"/>
        <v>0</v>
      </c>
      <c r="AJ125" s="25">
        <f t="shared" si="41"/>
        <v>22</v>
      </c>
      <c r="AK125" s="8">
        <f t="shared" si="42"/>
        <v>0</v>
      </c>
      <c r="AL125" s="62">
        <v>0</v>
      </c>
      <c r="AM125" s="33">
        <f t="shared" si="43"/>
        <v>0</v>
      </c>
      <c r="AN125" s="63">
        <f t="shared" si="44"/>
        <v>176</v>
      </c>
      <c r="AO125" s="63">
        <f t="shared" si="45"/>
        <v>0</v>
      </c>
      <c r="AP125" s="63">
        <f t="shared" si="46"/>
        <v>0</v>
      </c>
      <c r="AQ125" s="53">
        <f t="shared" si="47"/>
        <v>0</v>
      </c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</row>
    <row r="126" spans="1:56" ht="22" customHeight="1" x14ac:dyDescent="0.35">
      <c r="A126" s="8" t="s">
        <v>267</v>
      </c>
      <c r="B126" s="8" t="s">
        <v>268</v>
      </c>
      <c r="C126" s="8" t="s">
        <v>254</v>
      </c>
      <c r="D126" s="22" t="s">
        <v>5</v>
      </c>
      <c r="E126" s="22" t="s">
        <v>5</v>
      </c>
      <c r="F126" s="23" t="s">
        <v>7</v>
      </c>
      <c r="G126" s="24" t="s">
        <v>9</v>
      </c>
      <c r="H126" s="22" t="s">
        <v>5</v>
      </c>
      <c r="I126" s="22" t="s">
        <v>5</v>
      </c>
      <c r="J126" s="22" t="s">
        <v>5</v>
      </c>
      <c r="K126" s="22" t="s">
        <v>5</v>
      </c>
      <c r="L126" s="22" t="s">
        <v>5</v>
      </c>
      <c r="M126" s="23" t="s">
        <v>7</v>
      </c>
      <c r="N126" s="24" t="s">
        <v>9</v>
      </c>
      <c r="O126" s="22" t="s">
        <v>5</v>
      </c>
      <c r="P126" s="22" t="s">
        <v>5</v>
      </c>
      <c r="Q126" s="22" t="s">
        <v>5</v>
      </c>
      <c r="R126" s="22" t="s">
        <v>5</v>
      </c>
      <c r="S126" s="22" t="s">
        <v>5</v>
      </c>
      <c r="T126" s="23" t="s">
        <v>7</v>
      </c>
      <c r="U126" s="24" t="s">
        <v>9</v>
      </c>
      <c r="V126" s="22" t="s">
        <v>5</v>
      </c>
      <c r="W126" s="22" t="s">
        <v>5</v>
      </c>
      <c r="X126" s="22" t="s">
        <v>5</v>
      </c>
      <c r="Y126" s="22" t="s">
        <v>5</v>
      </c>
      <c r="Z126" s="22" t="s">
        <v>5</v>
      </c>
      <c r="AA126" s="23" t="s">
        <v>7</v>
      </c>
      <c r="AB126" s="24" t="s">
        <v>9</v>
      </c>
      <c r="AC126" s="22" t="s">
        <v>5</v>
      </c>
      <c r="AD126" s="22" t="s">
        <v>5</v>
      </c>
      <c r="AE126" s="22" t="s">
        <v>5</v>
      </c>
      <c r="AF126" s="22" t="s">
        <v>5</v>
      </c>
      <c r="AG126" s="22" t="s">
        <v>5</v>
      </c>
      <c r="AH126" s="23" t="s">
        <v>7</v>
      </c>
      <c r="AI126" s="8">
        <f t="shared" si="40"/>
        <v>0</v>
      </c>
      <c r="AJ126" s="25">
        <f t="shared" si="41"/>
        <v>22</v>
      </c>
      <c r="AK126" s="8">
        <f t="shared" si="42"/>
        <v>0</v>
      </c>
      <c r="AL126" s="62">
        <v>0</v>
      </c>
      <c r="AM126" s="33">
        <f t="shared" si="43"/>
        <v>0</v>
      </c>
      <c r="AN126" s="63">
        <f t="shared" si="44"/>
        <v>176</v>
      </c>
      <c r="AO126" s="63">
        <f t="shared" si="45"/>
        <v>0</v>
      </c>
      <c r="AP126" s="63">
        <f t="shared" si="46"/>
        <v>0</v>
      </c>
      <c r="AQ126" s="53">
        <f t="shared" si="47"/>
        <v>0</v>
      </c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</row>
    <row r="127" spans="1:56" ht="22" customHeight="1" x14ac:dyDescent="0.35">
      <c r="A127" s="8" t="s">
        <v>269</v>
      </c>
      <c r="B127" s="8" t="s">
        <v>270</v>
      </c>
      <c r="C127" s="8" t="s">
        <v>254</v>
      </c>
      <c r="D127" s="22" t="s">
        <v>5</v>
      </c>
      <c r="E127" s="22" t="s">
        <v>5</v>
      </c>
      <c r="F127" s="23" t="s">
        <v>7</v>
      </c>
      <c r="G127" s="24" t="s">
        <v>9</v>
      </c>
      <c r="H127" s="22" t="s">
        <v>5</v>
      </c>
      <c r="I127" s="22" t="s">
        <v>5</v>
      </c>
      <c r="J127" s="22" t="s">
        <v>5</v>
      </c>
      <c r="K127" s="22" t="s">
        <v>5</v>
      </c>
      <c r="L127" s="22" t="s">
        <v>5</v>
      </c>
      <c r="M127" s="23" t="s">
        <v>7</v>
      </c>
      <c r="N127" s="24" t="s">
        <v>9</v>
      </c>
      <c r="O127" s="22" t="s">
        <v>5</v>
      </c>
      <c r="P127" s="22" t="s">
        <v>5</v>
      </c>
      <c r="Q127" s="22" t="s">
        <v>5</v>
      </c>
      <c r="R127" s="22" t="s">
        <v>5</v>
      </c>
      <c r="S127" s="22" t="s">
        <v>5</v>
      </c>
      <c r="T127" s="23" t="s">
        <v>7</v>
      </c>
      <c r="U127" s="24" t="s">
        <v>9</v>
      </c>
      <c r="V127" s="22" t="s">
        <v>5</v>
      </c>
      <c r="W127" s="22" t="s">
        <v>5</v>
      </c>
      <c r="X127" s="22" t="s">
        <v>5</v>
      </c>
      <c r="Y127" s="22" t="s">
        <v>5</v>
      </c>
      <c r="Z127" s="22" t="s">
        <v>5</v>
      </c>
      <c r="AA127" s="23" t="s">
        <v>7</v>
      </c>
      <c r="AB127" s="24" t="s">
        <v>9</v>
      </c>
      <c r="AC127" s="22" t="s">
        <v>5</v>
      </c>
      <c r="AD127" s="22" t="s">
        <v>5</v>
      </c>
      <c r="AE127" s="22" t="s">
        <v>5</v>
      </c>
      <c r="AF127" s="22" t="s">
        <v>5</v>
      </c>
      <c r="AG127" s="22" t="s">
        <v>5</v>
      </c>
      <c r="AH127" s="23" t="s">
        <v>7</v>
      </c>
      <c r="AI127" s="8">
        <f t="shared" si="40"/>
        <v>0</v>
      </c>
      <c r="AJ127" s="25">
        <f t="shared" si="41"/>
        <v>22</v>
      </c>
      <c r="AK127" s="8">
        <f t="shared" si="42"/>
        <v>0</v>
      </c>
      <c r="AL127" s="62">
        <v>0</v>
      </c>
      <c r="AM127" s="33">
        <f t="shared" si="43"/>
        <v>0</v>
      </c>
      <c r="AN127" s="63">
        <f t="shared" si="44"/>
        <v>176</v>
      </c>
      <c r="AO127" s="63">
        <f t="shared" si="45"/>
        <v>0</v>
      </c>
      <c r="AP127" s="63">
        <f t="shared" si="46"/>
        <v>0</v>
      </c>
      <c r="AQ127" s="53">
        <f t="shared" si="47"/>
        <v>0</v>
      </c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</row>
    <row r="128" spans="1:56" ht="22" customHeight="1" x14ac:dyDescent="0.35">
      <c r="A128" s="8" t="s">
        <v>271</v>
      </c>
      <c r="B128" s="8" t="s">
        <v>272</v>
      </c>
      <c r="C128" s="8" t="s">
        <v>254</v>
      </c>
      <c r="D128" s="22" t="s">
        <v>5</v>
      </c>
      <c r="E128" s="22" t="s">
        <v>5</v>
      </c>
      <c r="F128" s="23" t="s">
        <v>7</v>
      </c>
      <c r="G128" s="24" t="s">
        <v>9</v>
      </c>
      <c r="H128" s="22" t="s">
        <v>5</v>
      </c>
      <c r="I128" s="22" t="s">
        <v>5</v>
      </c>
      <c r="J128" s="22" t="s">
        <v>5</v>
      </c>
      <c r="K128" s="22" t="s">
        <v>5</v>
      </c>
      <c r="L128" s="22" t="s">
        <v>5</v>
      </c>
      <c r="M128" s="23" t="s">
        <v>7</v>
      </c>
      <c r="N128" s="24" t="s">
        <v>9</v>
      </c>
      <c r="O128" s="22" t="s">
        <v>5</v>
      </c>
      <c r="P128" s="22" t="s">
        <v>5</v>
      </c>
      <c r="Q128" s="22" t="s">
        <v>5</v>
      </c>
      <c r="R128" s="22" t="s">
        <v>5</v>
      </c>
      <c r="S128" s="22" t="s">
        <v>5</v>
      </c>
      <c r="T128" s="23" t="s">
        <v>7</v>
      </c>
      <c r="U128" s="24" t="s">
        <v>9</v>
      </c>
      <c r="V128" s="22" t="s">
        <v>5</v>
      </c>
      <c r="W128" s="22" t="s">
        <v>5</v>
      </c>
      <c r="X128" s="22" t="s">
        <v>5</v>
      </c>
      <c r="Y128" s="22" t="s">
        <v>5</v>
      </c>
      <c r="Z128" s="22" t="s">
        <v>5</v>
      </c>
      <c r="AA128" s="23" t="s">
        <v>7</v>
      </c>
      <c r="AB128" s="24" t="s">
        <v>9</v>
      </c>
      <c r="AC128" s="22" t="s">
        <v>5</v>
      </c>
      <c r="AD128" s="22" t="s">
        <v>5</v>
      </c>
      <c r="AE128" s="22" t="s">
        <v>5</v>
      </c>
      <c r="AF128" s="22" t="s">
        <v>5</v>
      </c>
      <c r="AG128" s="22" t="s">
        <v>5</v>
      </c>
      <c r="AH128" s="23" t="s">
        <v>7</v>
      </c>
      <c r="AI128" s="8">
        <f t="shared" si="40"/>
        <v>0</v>
      </c>
      <c r="AJ128" s="25">
        <f t="shared" si="41"/>
        <v>22</v>
      </c>
      <c r="AK128" s="8">
        <f t="shared" si="42"/>
        <v>0</v>
      </c>
      <c r="AL128" s="62">
        <v>0</v>
      </c>
      <c r="AM128" s="33">
        <f t="shared" si="43"/>
        <v>0</v>
      </c>
      <c r="AN128" s="63">
        <f t="shared" si="44"/>
        <v>176</v>
      </c>
      <c r="AO128" s="63">
        <f t="shared" si="45"/>
        <v>0</v>
      </c>
      <c r="AP128" s="63">
        <f t="shared" si="46"/>
        <v>0</v>
      </c>
      <c r="AQ128" s="53">
        <f t="shared" si="47"/>
        <v>0</v>
      </c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</row>
    <row r="129" spans="1:56" ht="22" customHeight="1" x14ac:dyDescent="0.35">
      <c r="A129" s="8" t="s">
        <v>273</v>
      </c>
      <c r="B129" s="8" t="s">
        <v>274</v>
      </c>
      <c r="C129" s="8" t="s">
        <v>254</v>
      </c>
      <c r="D129" s="22" t="s">
        <v>5</v>
      </c>
      <c r="E129" s="22" t="s">
        <v>5</v>
      </c>
      <c r="F129" s="23" t="s">
        <v>7</v>
      </c>
      <c r="G129" s="24" t="s">
        <v>9</v>
      </c>
      <c r="H129" s="22" t="s">
        <v>5</v>
      </c>
      <c r="I129" s="22" t="s">
        <v>5</v>
      </c>
      <c r="J129" s="22" t="s">
        <v>5</v>
      </c>
      <c r="K129" s="22" t="s">
        <v>5</v>
      </c>
      <c r="L129" s="22" t="s">
        <v>5</v>
      </c>
      <c r="M129" s="23" t="s">
        <v>7</v>
      </c>
      <c r="N129" s="24" t="s">
        <v>9</v>
      </c>
      <c r="O129" s="22" t="s">
        <v>5</v>
      </c>
      <c r="P129" s="22" t="s">
        <v>5</v>
      </c>
      <c r="Q129" s="22" t="s">
        <v>5</v>
      </c>
      <c r="R129" s="22" t="s">
        <v>5</v>
      </c>
      <c r="S129" s="22" t="s">
        <v>5</v>
      </c>
      <c r="T129" s="23" t="s">
        <v>7</v>
      </c>
      <c r="U129" s="24" t="s">
        <v>9</v>
      </c>
      <c r="V129" s="22" t="s">
        <v>5</v>
      </c>
      <c r="W129" s="22" t="s">
        <v>5</v>
      </c>
      <c r="X129" s="22" t="s">
        <v>5</v>
      </c>
      <c r="Y129" s="22" t="s">
        <v>5</v>
      </c>
      <c r="Z129" s="22" t="s">
        <v>5</v>
      </c>
      <c r="AA129" s="23" t="s">
        <v>7</v>
      </c>
      <c r="AB129" s="24" t="s">
        <v>9</v>
      </c>
      <c r="AC129" s="22" t="s">
        <v>5</v>
      </c>
      <c r="AD129" s="22" t="s">
        <v>5</v>
      </c>
      <c r="AE129" s="22" t="s">
        <v>5</v>
      </c>
      <c r="AF129" s="22" t="s">
        <v>5</v>
      </c>
      <c r="AG129" s="22" t="s">
        <v>5</v>
      </c>
      <c r="AH129" s="23" t="s">
        <v>7</v>
      </c>
      <c r="AI129" s="8">
        <f t="shared" si="40"/>
        <v>0</v>
      </c>
      <c r="AJ129" s="25">
        <f t="shared" si="41"/>
        <v>22</v>
      </c>
      <c r="AK129" s="8">
        <f t="shared" si="42"/>
        <v>0</v>
      </c>
      <c r="AL129" s="62">
        <v>0</v>
      </c>
      <c r="AM129" s="33">
        <f t="shared" si="43"/>
        <v>0</v>
      </c>
      <c r="AN129" s="63">
        <f t="shared" si="44"/>
        <v>176</v>
      </c>
      <c r="AO129" s="63">
        <f t="shared" si="45"/>
        <v>0</v>
      </c>
      <c r="AP129" s="63">
        <f t="shared" si="46"/>
        <v>0</v>
      </c>
      <c r="AQ129" s="53">
        <f t="shared" si="47"/>
        <v>0</v>
      </c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</row>
  </sheetData>
  <mergeCells count="11">
    <mergeCell ref="A118:AK118"/>
    <mergeCell ref="A37:AK37"/>
    <mergeCell ref="A1:AK1"/>
    <mergeCell ref="A91:AK91"/>
    <mergeCell ref="A4:AK4"/>
    <mergeCell ref="A97:AK97"/>
    <mergeCell ref="A21:AK21"/>
    <mergeCell ref="A113:AK113"/>
    <mergeCell ref="A2:AK2"/>
    <mergeCell ref="A76:AK76"/>
    <mergeCell ref="A84:AK8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129"/>
  <sheetViews>
    <sheetView workbookViewId="0">
      <pane xSplit="3" ySplit="3" topLeftCell="P20" activePane="bottomRight" state="frozen"/>
      <selection pane="topRight"/>
      <selection pane="bottomLeft"/>
      <selection pane="bottomRight" activeCell="A28" sqref="A28:XFD28"/>
    </sheetView>
  </sheetViews>
  <sheetFormatPr defaultRowHeight="14.5" x14ac:dyDescent="0.35"/>
  <cols>
    <col min="1" max="1" width="7" customWidth="1"/>
    <col min="2" max="2" width="24" customWidth="1"/>
    <col min="3" max="3" width="12" customWidth="1"/>
    <col min="4" max="36" width="5" customWidth="1"/>
    <col min="37" max="37" width="7" customWidth="1"/>
    <col min="38" max="38" width="8" customWidth="1"/>
    <col min="39" max="39" width="9" customWidth="1"/>
    <col min="40" max="40" width="8" customWidth="1"/>
    <col min="41" max="42" width="9" customWidth="1"/>
  </cols>
  <sheetData>
    <row r="1" spans="1:55" ht="30" customHeight="1" x14ac:dyDescent="0.35">
      <c r="A1" s="78" t="s">
        <v>434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</row>
    <row r="2" spans="1:55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M2" s="38"/>
      <c r="AN2" s="59" t="s">
        <v>311</v>
      </c>
      <c r="AO2" s="60">
        <v>4</v>
      </c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</row>
    <row r="3" spans="1:55" ht="35.15" customHeight="1" x14ac:dyDescent="0.35">
      <c r="A3" s="18" t="s">
        <v>14</v>
      </c>
      <c r="B3" s="18" t="s">
        <v>15</v>
      </c>
      <c r="C3" s="18" t="s">
        <v>312</v>
      </c>
      <c r="D3" s="21" t="s">
        <v>356</v>
      </c>
      <c r="E3" s="19" t="s">
        <v>435</v>
      </c>
      <c r="F3" s="19" t="s">
        <v>391</v>
      </c>
      <c r="G3" s="19" t="s">
        <v>436</v>
      </c>
      <c r="H3" s="19" t="s">
        <v>437</v>
      </c>
      <c r="I3" s="19" t="s">
        <v>438</v>
      </c>
      <c r="J3" s="20" t="s">
        <v>439</v>
      </c>
      <c r="K3" s="21" t="s">
        <v>363</v>
      </c>
      <c r="L3" s="19" t="s">
        <v>440</v>
      </c>
      <c r="M3" s="19" t="s">
        <v>397</v>
      </c>
      <c r="N3" s="19" t="s">
        <v>441</v>
      </c>
      <c r="O3" s="19" t="s">
        <v>442</v>
      </c>
      <c r="P3" s="19" t="s">
        <v>443</v>
      </c>
      <c r="Q3" s="20" t="s">
        <v>444</v>
      </c>
      <c r="R3" s="21" t="s">
        <v>370</v>
      </c>
      <c r="S3" s="19" t="s">
        <v>445</v>
      </c>
      <c r="T3" s="19" t="s">
        <v>403</v>
      </c>
      <c r="U3" s="19" t="s">
        <v>446</v>
      </c>
      <c r="V3" s="19" t="s">
        <v>447</v>
      </c>
      <c r="W3" s="19" t="s">
        <v>448</v>
      </c>
      <c r="X3" s="20" t="s">
        <v>449</v>
      </c>
      <c r="Y3" s="21" t="s">
        <v>377</v>
      </c>
      <c r="Z3" s="19" t="s">
        <v>450</v>
      </c>
      <c r="AA3" s="19" t="s">
        <v>409</v>
      </c>
      <c r="AB3" s="19" t="s">
        <v>451</v>
      </c>
      <c r="AC3" s="19" t="s">
        <v>452</v>
      </c>
      <c r="AD3" s="19" t="s">
        <v>453</v>
      </c>
      <c r="AE3" s="20" t="s">
        <v>454</v>
      </c>
      <c r="AF3" s="21" t="s">
        <v>385</v>
      </c>
      <c r="AG3" s="19" t="s">
        <v>455</v>
      </c>
      <c r="AH3" s="7" t="s">
        <v>344</v>
      </c>
      <c r="AI3" s="7" t="s">
        <v>345</v>
      </c>
      <c r="AJ3" s="7" t="s">
        <v>29</v>
      </c>
      <c r="AK3" s="34" t="s">
        <v>346</v>
      </c>
      <c r="AL3" s="34" t="s">
        <v>347</v>
      </c>
      <c r="AM3" s="61" t="s">
        <v>348</v>
      </c>
      <c r="AN3" s="42" t="s">
        <v>349</v>
      </c>
      <c r="AO3" s="43" t="s">
        <v>350</v>
      </c>
      <c r="AP3" s="40" t="s">
        <v>351</v>
      </c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</row>
    <row r="4" spans="1:55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</row>
    <row r="5" spans="1:55" ht="22" customHeight="1" x14ac:dyDescent="0.35">
      <c r="A5" s="8" t="s">
        <v>43</v>
      </c>
      <c r="B5" s="8" t="s">
        <v>44</v>
      </c>
      <c r="C5" s="8" t="s">
        <v>45</v>
      </c>
      <c r="D5" s="24" t="s">
        <v>9</v>
      </c>
      <c r="E5" s="22" t="s">
        <v>5</v>
      </c>
      <c r="F5" s="22" t="s">
        <v>5</v>
      </c>
      <c r="G5" s="22" t="s">
        <v>5</v>
      </c>
      <c r="H5" s="22" t="s">
        <v>5</v>
      </c>
      <c r="I5" s="22" t="s">
        <v>5</v>
      </c>
      <c r="J5" s="23" t="s">
        <v>7</v>
      </c>
      <c r="K5" s="24" t="s">
        <v>9</v>
      </c>
      <c r="L5" s="22" t="s">
        <v>5</v>
      </c>
      <c r="M5" s="22" t="s">
        <v>5</v>
      </c>
      <c r="N5" s="22" t="s">
        <v>5</v>
      </c>
      <c r="O5" s="22" t="s">
        <v>5</v>
      </c>
      <c r="P5" s="22" t="s">
        <v>5</v>
      </c>
      <c r="Q5" s="23" t="s">
        <v>7</v>
      </c>
      <c r="R5" s="24" t="s">
        <v>9</v>
      </c>
      <c r="S5" s="22" t="s">
        <v>5</v>
      </c>
      <c r="T5" s="26" t="s">
        <v>3</v>
      </c>
      <c r="U5" s="26" t="s">
        <v>3</v>
      </c>
      <c r="V5" s="26" t="s">
        <v>3</v>
      </c>
      <c r="W5" s="26" t="s">
        <v>3</v>
      </c>
      <c r="X5" s="23" t="s">
        <v>7</v>
      </c>
      <c r="Y5" s="24" t="s">
        <v>9</v>
      </c>
      <c r="Z5" s="22" t="s">
        <v>5</v>
      </c>
      <c r="AA5" s="26" t="s">
        <v>3</v>
      </c>
      <c r="AB5" s="26" t="s">
        <v>3</v>
      </c>
      <c r="AC5" s="26" t="s">
        <v>3</v>
      </c>
      <c r="AD5" s="26" t="s">
        <v>3</v>
      </c>
      <c r="AE5" s="27" t="s">
        <v>7</v>
      </c>
      <c r="AF5" s="28" t="s">
        <v>11</v>
      </c>
      <c r="AG5" s="26" t="s">
        <v>3</v>
      </c>
      <c r="AH5" s="8">
        <f t="shared" ref="AH5:AH19" si="0">COUNTIF(D5:AG5,"ON")</f>
        <v>9</v>
      </c>
      <c r="AI5" s="25">
        <f t="shared" ref="AI5:AI19" si="1">COUNTIF(D5:AG5,"OFF")</f>
        <v>12</v>
      </c>
      <c r="AJ5" s="29">
        <f t="shared" ref="AJ5:AJ19" si="2">COUNTIF(D5:AG5,"OT")</f>
        <v>1</v>
      </c>
      <c r="AK5" s="62">
        <v>1</v>
      </c>
      <c r="AL5" s="33">
        <f t="shared" ref="AL5:AL19" si="3">AH5+AJ5+AK5*0.5</f>
        <v>10.5</v>
      </c>
      <c r="AM5" s="63">
        <f t="shared" ref="AM5:AM19" si="4">NETWORKDAYS(DATE(2025,6,1),EOMONTH(DATE(2025,6,1),0))*8</f>
        <v>168</v>
      </c>
      <c r="AN5" s="63">
        <f t="shared" ref="AN5:AN19" si="5">MAX(0,COUNTIF(I5,"ON")+COUNTIF(P5,"ON")+COUNTIF(W5,"ON")+COUNTIF(AD5,"ON")-AK5)</f>
        <v>1</v>
      </c>
      <c r="AO5" s="63">
        <f t="shared" ref="AO5:AO19" si="6">AN5*$AO$2</f>
        <v>4</v>
      </c>
      <c r="AP5" s="53">
        <f t="shared" ref="AP5:AP19" si="7">AL5-AO5/8</f>
        <v>10</v>
      </c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</row>
    <row r="6" spans="1:55" ht="22" customHeight="1" x14ac:dyDescent="0.35">
      <c r="A6" s="8" t="s">
        <v>46</v>
      </c>
      <c r="B6" s="8" t="s">
        <v>47</v>
      </c>
      <c r="C6" s="8" t="s">
        <v>45</v>
      </c>
      <c r="D6" s="24" t="s">
        <v>9</v>
      </c>
      <c r="E6" s="26" t="s">
        <v>3</v>
      </c>
      <c r="F6" s="26" t="s">
        <v>3</v>
      </c>
      <c r="G6" s="26" t="s">
        <v>3</v>
      </c>
      <c r="H6" s="26" t="s">
        <v>3</v>
      </c>
      <c r="I6" s="26" t="s">
        <v>3</v>
      </c>
      <c r="J6" s="27" t="s">
        <v>7</v>
      </c>
      <c r="K6" s="28" t="s">
        <v>11</v>
      </c>
      <c r="L6" s="22" t="s">
        <v>5</v>
      </c>
      <c r="M6" s="22" t="s">
        <v>5</v>
      </c>
      <c r="N6" s="22" t="s">
        <v>5</v>
      </c>
      <c r="O6" s="22" t="s">
        <v>5</v>
      </c>
      <c r="P6" s="22" t="s">
        <v>5</v>
      </c>
      <c r="Q6" s="23" t="s">
        <v>7</v>
      </c>
      <c r="R6" s="24" t="s">
        <v>9</v>
      </c>
      <c r="S6" s="22" t="s">
        <v>5</v>
      </c>
      <c r="T6" s="26" t="s">
        <v>3</v>
      </c>
      <c r="U6" s="26" t="s">
        <v>3</v>
      </c>
      <c r="V6" s="26" t="s">
        <v>3</v>
      </c>
      <c r="W6" s="26" t="s">
        <v>3</v>
      </c>
      <c r="X6" s="27" t="s">
        <v>7</v>
      </c>
      <c r="Y6" s="28" t="s">
        <v>11</v>
      </c>
      <c r="Z6" s="26" t="s">
        <v>3</v>
      </c>
      <c r="AA6" s="26" t="s">
        <v>3</v>
      </c>
      <c r="AB6" s="26" t="s">
        <v>3</v>
      </c>
      <c r="AC6" s="22" t="s">
        <v>5</v>
      </c>
      <c r="AD6" s="22" t="s">
        <v>5</v>
      </c>
      <c r="AE6" s="23" t="s">
        <v>7</v>
      </c>
      <c r="AF6" s="24" t="s">
        <v>9</v>
      </c>
      <c r="AG6" s="26" t="s">
        <v>3</v>
      </c>
      <c r="AH6" s="8">
        <f t="shared" si="0"/>
        <v>13</v>
      </c>
      <c r="AI6" s="8">
        <f t="shared" si="1"/>
        <v>8</v>
      </c>
      <c r="AJ6" s="29">
        <f t="shared" si="2"/>
        <v>2</v>
      </c>
      <c r="AK6" s="62">
        <v>2</v>
      </c>
      <c r="AL6" s="33">
        <f t="shared" si="3"/>
        <v>16</v>
      </c>
      <c r="AM6" s="63">
        <f t="shared" si="4"/>
        <v>168</v>
      </c>
      <c r="AN6" s="63">
        <f t="shared" si="5"/>
        <v>0</v>
      </c>
      <c r="AO6" s="63">
        <f t="shared" si="6"/>
        <v>0</v>
      </c>
      <c r="AP6" s="53">
        <f t="shared" si="7"/>
        <v>16</v>
      </c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ht="22" customHeight="1" x14ac:dyDescent="0.35">
      <c r="A7" s="8" t="s">
        <v>48</v>
      </c>
      <c r="B7" s="8" t="s">
        <v>49</v>
      </c>
      <c r="C7" s="8" t="s">
        <v>45</v>
      </c>
      <c r="D7" s="28" t="s">
        <v>11</v>
      </c>
      <c r="E7" s="26" t="s">
        <v>3</v>
      </c>
      <c r="F7" s="26" t="s">
        <v>3</v>
      </c>
      <c r="G7" s="26" t="s">
        <v>3</v>
      </c>
      <c r="H7" s="26" t="s">
        <v>3</v>
      </c>
      <c r="I7" s="22" t="s">
        <v>5</v>
      </c>
      <c r="J7" s="23" t="s">
        <v>7</v>
      </c>
      <c r="K7" s="24" t="s">
        <v>9</v>
      </c>
      <c r="L7" s="26" t="s">
        <v>3</v>
      </c>
      <c r="M7" s="26" t="s">
        <v>3</v>
      </c>
      <c r="N7" s="26" t="s">
        <v>3</v>
      </c>
      <c r="O7" s="26" t="s">
        <v>3</v>
      </c>
      <c r="P7" s="26" t="s">
        <v>3</v>
      </c>
      <c r="Q7" s="27" t="s">
        <v>7</v>
      </c>
      <c r="R7" s="28" t="s">
        <v>11</v>
      </c>
      <c r="S7" s="26" t="s">
        <v>3</v>
      </c>
      <c r="T7" s="22" t="s">
        <v>5</v>
      </c>
      <c r="U7" s="22" t="s">
        <v>5</v>
      </c>
      <c r="V7" s="22" t="s">
        <v>5</v>
      </c>
      <c r="W7" s="26" t="s">
        <v>3</v>
      </c>
      <c r="X7" s="23" t="s">
        <v>7</v>
      </c>
      <c r="Y7" s="24" t="s">
        <v>9</v>
      </c>
      <c r="Z7" s="26" t="s">
        <v>3</v>
      </c>
      <c r="AA7" s="26" t="s">
        <v>3</v>
      </c>
      <c r="AB7" s="26" t="s">
        <v>3</v>
      </c>
      <c r="AC7" s="26" t="s">
        <v>3</v>
      </c>
      <c r="AD7" s="26" t="s">
        <v>3</v>
      </c>
      <c r="AE7" s="27" t="s">
        <v>7</v>
      </c>
      <c r="AF7" s="28" t="s">
        <v>11</v>
      </c>
      <c r="AG7" s="26" t="s">
        <v>3</v>
      </c>
      <c r="AH7" s="8">
        <f t="shared" si="0"/>
        <v>17</v>
      </c>
      <c r="AI7" s="8">
        <f t="shared" si="1"/>
        <v>4</v>
      </c>
      <c r="AJ7" s="29">
        <f t="shared" si="2"/>
        <v>3</v>
      </c>
      <c r="AK7" s="62">
        <v>2</v>
      </c>
      <c r="AL7" s="33">
        <f t="shared" si="3"/>
        <v>21</v>
      </c>
      <c r="AM7" s="63">
        <f t="shared" si="4"/>
        <v>168</v>
      </c>
      <c r="AN7" s="63">
        <f t="shared" si="5"/>
        <v>1</v>
      </c>
      <c r="AO7" s="63">
        <f t="shared" si="6"/>
        <v>4</v>
      </c>
      <c r="AP7" s="53">
        <f t="shared" si="7"/>
        <v>20.5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ht="22" customHeight="1" x14ac:dyDescent="0.35">
      <c r="A8" s="8" t="s">
        <v>50</v>
      </c>
      <c r="B8" s="8" t="s">
        <v>51</v>
      </c>
      <c r="C8" s="8" t="s">
        <v>45</v>
      </c>
      <c r="D8" s="28" t="s">
        <v>11</v>
      </c>
      <c r="E8" s="26" t="s">
        <v>3</v>
      </c>
      <c r="F8" s="26" t="s">
        <v>3</v>
      </c>
      <c r="G8" s="22" t="s">
        <v>5</v>
      </c>
      <c r="H8" s="22" t="s">
        <v>5</v>
      </c>
      <c r="I8" s="22" t="s">
        <v>5</v>
      </c>
      <c r="J8" s="23" t="s">
        <v>7</v>
      </c>
      <c r="K8" s="24" t="s">
        <v>9</v>
      </c>
      <c r="L8" s="26" t="s">
        <v>3</v>
      </c>
      <c r="M8" s="26" t="s">
        <v>3</v>
      </c>
      <c r="N8" s="26" t="s">
        <v>3</v>
      </c>
      <c r="O8" s="26" t="s">
        <v>3</v>
      </c>
      <c r="P8" s="26" t="s">
        <v>3</v>
      </c>
      <c r="Q8" s="27" t="s">
        <v>7</v>
      </c>
      <c r="R8" s="28" t="s">
        <v>11</v>
      </c>
      <c r="S8" s="26" t="s">
        <v>3</v>
      </c>
      <c r="T8" s="26" t="s">
        <v>3</v>
      </c>
      <c r="U8" s="26" t="s">
        <v>3</v>
      </c>
      <c r="V8" s="26" t="s">
        <v>3</v>
      </c>
      <c r="W8" s="26" t="s">
        <v>3</v>
      </c>
      <c r="X8" s="23" t="s">
        <v>7</v>
      </c>
      <c r="Y8" s="24" t="s">
        <v>9</v>
      </c>
      <c r="Z8" s="26" t="s">
        <v>3</v>
      </c>
      <c r="AA8" s="26" t="s">
        <v>3</v>
      </c>
      <c r="AB8" s="26" t="s">
        <v>3</v>
      </c>
      <c r="AC8" s="26" t="s">
        <v>3</v>
      </c>
      <c r="AD8" s="26" t="s">
        <v>3</v>
      </c>
      <c r="AE8" s="27" t="s">
        <v>7</v>
      </c>
      <c r="AF8" s="28" t="s">
        <v>11</v>
      </c>
      <c r="AG8" s="26" t="s">
        <v>3</v>
      </c>
      <c r="AH8" s="8">
        <f t="shared" si="0"/>
        <v>18</v>
      </c>
      <c r="AI8" s="8">
        <f t="shared" si="1"/>
        <v>3</v>
      </c>
      <c r="AJ8" s="29">
        <f t="shared" si="2"/>
        <v>3</v>
      </c>
      <c r="AK8" s="62">
        <v>2</v>
      </c>
      <c r="AL8" s="33">
        <f t="shared" si="3"/>
        <v>22</v>
      </c>
      <c r="AM8" s="63">
        <f t="shared" si="4"/>
        <v>168</v>
      </c>
      <c r="AN8" s="63">
        <f t="shared" si="5"/>
        <v>1</v>
      </c>
      <c r="AO8" s="63">
        <f t="shared" si="6"/>
        <v>4</v>
      </c>
      <c r="AP8" s="53">
        <f t="shared" si="7"/>
        <v>21.5</v>
      </c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ht="22" customHeight="1" x14ac:dyDescent="0.35">
      <c r="A9" s="8" t="s">
        <v>52</v>
      </c>
      <c r="B9" s="8" t="s">
        <v>53</v>
      </c>
      <c r="C9" s="8" t="s">
        <v>45</v>
      </c>
      <c r="D9" s="24" t="s">
        <v>9</v>
      </c>
      <c r="E9" s="26" t="s">
        <v>3</v>
      </c>
      <c r="F9" s="26" t="s">
        <v>3</v>
      </c>
      <c r="G9" s="22" t="s">
        <v>5</v>
      </c>
      <c r="H9" s="22" t="s">
        <v>5</v>
      </c>
      <c r="I9" s="26" t="s">
        <v>3</v>
      </c>
      <c r="J9" s="27" t="s">
        <v>7</v>
      </c>
      <c r="K9" s="28" t="s">
        <v>11</v>
      </c>
      <c r="L9" s="26" t="s">
        <v>3</v>
      </c>
      <c r="M9" s="26" t="s">
        <v>3</v>
      </c>
      <c r="N9" s="26" t="s">
        <v>3</v>
      </c>
      <c r="O9" s="26" t="s">
        <v>3</v>
      </c>
      <c r="P9" s="26" t="s">
        <v>3</v>
      </c>
      <c r="Q9" s="23" t="s">
        <v>7</v>
      </c>
      <c r="R9" s="24" t="s">
        <v>9</v>
      </c>
      <c r="S9" s="22" t="s">
        <v>5</v>
      </c>
      <c r="T9" s="26" t="s">
        <v>3</v>
      </c>
      <c r="U9" s="26" t="s">
        <v>3</v>
      </c>
      <c r="V9" s="26" t="s">
        <v>3</v>
      </c>
      <c r="W9" s="26" t="s">
        <v>3</v>
      </c>
      <c r="X9" s="27" t="s">
        <v>7</v>
      </c>
      <c r="Y9" s="28" t="s">
        <v>11</v>
      </c>
      <c r="Z9" s="26" t="s">
        <v>3</v>
      </c>
      <c r="AA9" s="26" t="s">
        <v>3</v>
      </c>
      <c r="AB9" s="26" t="s">
        <v>3</v>
      </c>
      <c r="AC9" s="26" t="s">
        <v>3</v>
      </c>
      <c r="AD9" s="26" t="s">
        <v>3</v>
      </c>
      <c r="AE9" s="23" t="s">
        <v>7</v>
      </c>
      <c r="AF9" s="24" t="s">
        <v>9</v>
      </c>
      <c r="AG9" s="26" t="s">
        <v>3</v>
      </c>
      <c r="AH9" s="8">
        <f t="shared" si="0"/>
        <v>18</v>
      </c>
      <c r="AI9" s="8">
        <f t="shared" si="1"/>
        <v>3</v>
      </c>
      <c r="AJ9" s="29">
        <f t="shared" si="2"/>
        <v>2</v>
      </c>
      <c r="AK9" s="62">
        <v>2</v>
      </c>
      <c r="AL9" s="33">
        <f t="shared" si="3"/>
        <v>21</v>
      </c>
      <c r="AM9" s="63">
        <f t="shared" si="4"/>
        <v>168</v>
      </c>
      <c r="AN9" s="63">
        <f t="shared" si="5"/>
        <v>2</v>
      </c>
      <c r="AO9" s="63">
        <f t="shared" si="6"/>
        <v>8</v>
      </c>
      <c r="AP9" s="53">
        <f t="shared" si="7"/>
        <v>20</v>
      </c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ht="22" customHeight="1" x14ac:dyDescent="0.35">
      <c r="A10" s="8" t="s">
        <v>54</v>
      </c>
      <c r="B10" s="8" t="s">
        <v>55</v>
      </c>
      <c r="C10" s="8" t="s">
        <v>45</v>
      </c>
      <c r="D10" s="24" t="s">
        <v>9</v>
      </c>
      <c r="E10" s="26" t="s">
        <v>3</v>
      </c>
      <c r="F10" s="26" t="s">
        <v>3</v>
      </c>
      <c r="G10" s="22" t="s">
        <v>5</v>
      </c>
      <c r="H10" s="26" t="s">
        <v>3</v>
      </c>
      <c r="I10" s="22" t="s">
        <v>5</v>
      </c>
      <c r="J10" s="23" t="s">
        <v>7</v>
      </c>
      <c r="K10" s="24" t="s">
        <v>9</v>
      </c>
      <c r="L10" s="26" t="s">
        <v>3</v>
      </c>
      <c r="M10" s="26" t="s">
        <v>3</v>
      </c>
      <c r="N10" s="26" t="s">
        <v>3</v>
      </c>
      <c r="O10" s="26" t="s">
        <v>3</v>
      </c>
      <c r="P10" s="26" t="s">
        <v>3</v>
      </c>
      <c r="Q10" s="27" t="s">
        <v>7</v>
      </c>
      <c r="R10" s="24" t="s">
        <v>9</v>
      </c>
      <c r="S10" s="26" t="s">
        <v>3</v>
      </c>
      <c r="T10" s="26" t="s">
        <v>3</v>
      </c>
      <c r="U10" s="26" t="s">
        <v>3</v>
      </c>
      <c r="V10" s="26" t="s">
        <v>3</v>
      </c>
      <c r="W10" s="26" t="s">
        <v>3</v>
      </c>
      <c r="X10" s="23" t="s">
        <v>7</v>
      </c>
      <c r="Y10" s="24" t="s">
        <v>9</v>
      </c>
      <c r="Z10" s="26" t="s">
        <v>3</v>
      </c>
      <c r="AA10" s="26" t="s">
        <v>3</v>
      </c>
      <c r="AB10" s="26" t="s">
        <v>3</v>
      </c>
      <c r="AC10" s="26" t="s">
        <v>3</v>
      </c>
      <c r="AD10" s="26" t="s">
        <v>3</v>
      </c>
      <c r="AE10" s="27" t="s">
        <v>7</v>
      </c>
      <c r="AF10" s="24" t="s">
        <v>9</v>
      </c>
      <c r="AG10" s="26" t="s">
        <v>3</v>
      </c>
      <c r="AH10" s="8">
        <f t="shared" si="0"/>
        <v>19</v>
      </c>
      <c r="AI10" s="8">
        <f t="shared" si="1"/>
        <v>2</v>
      </c>
      <c r="AJ10" s="8">
        <f t="shared" si="2"/>
        <v>0</v>
      </c>
      <c r="AK10" s="62">
        <v>2</v>
      </c>
      <c r="AL10" s="33">
        <f t="shared" si="3"/>
        <v>20</v>
      </c>
      <c r="AM10" s="63">
        <f t="shared" si="4"/>
        <v>168</v>
      </c>
      <c r="AN10" s="63">
        <f t="shared" si="5"/>
        <v>1</v>
      </c>
      <c r="AO10" s="63">
        <f t="shared" si="6"/>
        <v>4</v>
      </c>
      <c r="AP10" s="53">
        <f t="shared" si="7"/>
        <v>19.5</v>
      </c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ht="22" customHeight="1" x14ac:dyDescent="0.35">
      <c r="A11" s="8" t="s">
        <v>56</v>
      </c>
      <c r="B11" s="8" t="s">
        <v>57</v>
      </c>
      <c r="C11" s="8" t="s">
        <v>45</v>
      </c>
      <c r="D11" s="24" t="s">
        <v>9</v>
      </c>
      <c r="E11" s="22" t="s">
        <v>5</v>
      </c>
      <c r="F11" s="22" t="s">
        <v>5</v>
      </c>
      <c r="G11" s="22" t="s">
        <v>5</v>
      </c>
      <c r="H11" s="26" t="s">
        <v>3</v>
      </c>
      <c r="I11" s="26" t="s">
        <v>3</v>
      </c>
      <c r="J11" s="27" t="s">
        <v>7</v>
      </c>
      <c r="K11" s="28" t="s">
        <v>11</v>
      </c>
      <c r="L11" s="26" t="s">
        <v>3</v>
      </c>
      <c r="M11" s="26" t="s">
        <v>3</v>
      </c>
      <c r="N11" s="26" t="s">
        <v>3</v>
      </c>
      <c r="O11" s="26" t="s">
        <v>3</v>
      </c>
      <c r="P11" s="26" t="s">
        <v>3</v>
      </c>
      <c r="Q11" s="23" t="s">
        <v>7</v>
      </c>
      <c r="R11" s="24" t="s">
        <v>9</v>
      </c>
      <c r="S11" s="22" t="s">
        <v>5</v>
      </c>
      <c r="T11" s="26" t="s">
        <v>3</v>
      </c>
      <c r="U11" s="26" t="s">
        <v>3</v>
      </c>
      <c r="V11" s="26" t="s">
        <v>3</v>
      </c>
      <c r="W11" s="26" t="s">
        <v>3</v>
      </c>
      <c r="X11" s="27" t="s">
        <v>7</v>
      </c>
      <c r="Y11" s="28" t="s">
        <v>11</v>
      </c>
      <c r="Z11" s="26" t="s">
        <v>3</v>
      </c>
      <c r="AA11" s="26" t="s">
        <v>3</v>
      </c>
      <c r="AB11" s="26" t="s">
        <v>3</v>
      </c>
      <c r="AC11" s="26" t="s">
        <v>3</v>
      </c>
      <c r="AD11" s="26" t="s">
        <v>3</v>
      </c>
      <c r="AE11" s="23" t="s">
        <v>7</v>
      </c>
      <c r="AF11" s="24" t="s">
        <v>9</v>
      </c>
      <c r="AG11" s="26" t="s">
        <v>3</v>
      </c>
      <c r="AH11" s="8">
        <f t="shared" si="0"/>
        <v>17</v>
      </c>
      <c r="AI11" s="8">
        <f t="shared" si="1"/>
        <v>4</v>
      </c>
      <c r="AJ11" s="29">
        <f t="shared" si="2"/>
        <v>2</v>
      </c>
      <c r="AK11" s="62">
        <v>2</v>
      </c>
      <c r="AL11" s="33">
        <f t="shared" si="3"/>
        <v>20</v>
      </c>
      <c r="AM11" s="63">
        <f t="shared" si="4"/>
        <v>168</v>
      </c>
      <c r="AN11" s="63">
        <f t="shared" si="5"/>
        <v>2</v>
      </c>
      <c r="AO11" s="63">
        <f t="shared" si="6"/>
        <v>8</v>
      </c>
      <c r="AP11" s="53">
        <f t="shared" si="7"/>
        <v>19</v>
      </c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</row>
    <row r="12" spans="1:55" ht="22" customHeight="1" x14ac:dyDescent="0.35">
      <c r="A12" s="8" t="s">
        <v>58</v>
      </c>
      <c r="B12" s="8" t="s">
        <v>59</v>
      </c>
      <c r="C12" s="8" t="s">
        <v>45</v>
      </c>
      <c r="D12" s="28" t="s">
        <v>11</v>
      </c>
      <c r="E12" s="22" t="s">
        <v>5</v>
      </c>
      <c r="F12" s="22" t="s">
        <v>5</v>
      </c>
      <c r="G12" s="22" t="s">
        <v>5</v>
      </c>
      <c r="H12" s="22" t="s">
        <v>5</v>
      </c>
      <c r="I12" s="22" t="s">
        <v>5</v>
      </c>
      <c r="J12" s="23" t="s">
        <v>7</v>
      </c>
      <c r="K12" s="24" t="s">
        <v>9</v>
      </c>
      <c r="L12" s="22" t="s">
        <v>5</v>
      </c>
      <c r="M12" s="22" t="s">
        <v>5</v>
      </c>
      <c r="N12" s="22" t="s">
        <v>5</v>
      </c>
      <c r="O12" s="22" t="s">
        <v>5</v>
      </c>
      <c r="P12" s="22" t="s">
        <v>5</v>
      </c>
      <c r="Q12" s="23" t="s">
        <v>7</v>
      </c>
      <c r="R12" s="24" t="s">
        <v>9</v>
      </c>
      <c r="S12" s="22" t="s">
        <v>5</v>
      </c>
      <c r="T12" s="22" t="s">
        <v>5</v>
      </c>
      <c r="U12" s="22" t="s">
        <v>5</v>
      </c>
      <c r="V12" s="22" t="s">
        <v>5</v>
      </c>
      <c r="W12" s="22" t="s">
        <v>5</v>
      </c>
      <c r="X12" s="23" t="s">
        <v>7</v>
      </c>
      <c r="Y12" s="24" t="s">
        <v>9</v>
      </c>
      <c r="Z12" s="22" t="s">
        <v>5</v>
      </c>
      <c r="AA12" s="22" t="s">
        <v>5</v>
      </c>
      <c r="AB12" s="22" t="s">
        <v>5</v>
      </c>
      <c r="AC12" s="22" t="s">
        <v>5</v>
      </c>
      <c r="AD12" s="22" t="s">
        <v>5</v>
      </c>
      <c r="AE12" s="23" t="s">
        <v>7</v>
      </c>
      <c r="AF12" s="24" t="s">
        <v>9</v>
      </c>
      <c r="AG12" s="22" t="s">
        <v>5</v>
      </c>
      <c r="AH12" s="8">
        <f t="shared" si="0"/>
        <v>0</v>
      </c>
      <c r="AI12" s="25">
        <f t="shared" si="1"/>
        <v>21</v>
      </c>
      <c r="AJ12" s="29">
        <f t="shared" si="2"/>
        <v>1</v>
      </c>
      <c r="AK12" s="62">
        <v>0</v>
      </c>
      <c r="AL12" s="33">
        <f t="shared" si="3"/>
        <v>1</v>
      </c>
      <c r="AM12" s="63">
        <f t="shared" si="4"/>
        <v>168</v>
      </c>
      <c r="AN12" s="63">
        <f t="shared" si="5"/>
        <v>0</v>
      </c>
      <c r="AO12" s="63">
        <f t="shared" si="6"/>
        <v>0</v>
      </c>
      <c r="AP12" s="53">
        <f t="shared" si="7"/>
        <v>1</v>
      </c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</row>
    <row r="13" spans="1:55" ht="22" customHeight="1" x14ac:dyDescent="0.35">
      <c r="A13" s="8" t="s">
        <v>60</v>
      </c>
      <c r="B13" s="8" t="s">
        <v>61</v>
      </c>
      <c r="C13" s="8" t="s">
        <v>45</v>
      </c>
      <c r="D13" s="28" t="s">
        <v>11</v>
      </c>
      <c r="E13" s="26" t="s">
        <v>3</v>
      </c>
      <c r="F13" s="26" t="s">
        <v>3</v>
      </c>
      <c r="G13" s="26" t="s">
        <v>3</v>
      </c>
      <c r="H13" s="26" t="s">
        <v>3</v>
      </c>
      <c r="I13" s="22" t="s">
        <v>5</v>
      </c>
      <c r="J13" s="23" t="s">
        <v>7</v>
      </c>
      <c r="K13" s="24" t="s">
        <v>9</v>
      </c>
      <c r="L13" s="26" t="s">
        <v>3</v>
      </c>
      <c r="M13" s="26" t="s">
        <v>3</v>
      </c>
      <c r="N13" s="26" t="s">
        <v>3</v>
      </c>
      <c r="O13" s="22" t="s">
        <v>5</v>
      </c>
      <c r="P13" s="26" t="s">
        <v>3</v>
      </c>
      <c r="Q13" s="27" t="s">
        <v>7</v>
      </c>
      <c r="R13" s="28" t="s">
        <v>11</v>
      </c>
      <c r="S13" s="26" t="s">
        <v>3</v>
      </c>
      <c r="T13" s="26" t="s">
        <v>3</v>
      </c>
      <c r="U13" s="26" t="s">
        <v>3</v>
      </c>
      <c r="V13" s="26" t="s">
        <v>3</v>
      </c>
      <c r="W13" s="26" t="s">
        <v>3</v>
      </c>
      <c r="X13" s="23" t="s">
        <v>7</v>
      </c>
      <c r="Y13" s="24" t="s">
        <v>9</v>
      </c>
      <c r="Z13" s="26" t="s">
        <v>3</v>
      </c>
      <c r="AA13" s="26" t="s">
        <v>3</v>
      </c>
      <c r="AB13" s="26" t="s">
        <v>3</v>
      </c>
      <c r="AC13" s="26" t="s">
        <v>3</v>
      </c>
      <c r="AD13" s="26" t="s">
        <v>3</v>
      </c>
      <c r="AE13" s="27" t="s">
        <v>7</v>
      </c>
      <c r="AF13" s="28" t="s">
        <v>11</v>
      </c>
      <c r="AG13" s="26" t="s">
        <v>3</v>
      </c>
      <c r="AH13" s="8">
        <f t="shared" si="0"/>
        <v>19</v>
      </c>
      <c r="AI13" s="8">
        <f t="shared" si="1"/>
        <v>2</v>
      </c>
      <c r="AJ13" s="29">
        <f t="shared" si="2"/>
        <v>3</v>
      </c>
      <c r="AK13" s="62">
        <v>2</v>
      </c>
      <c r="AL13" s="33">
        <f t="shared" si="3"/>
        <v>23</v>
      </c>
      <c r="AM13" s="63">
        <f t="shared" si="4"/>
        <v>168</v>
      </c>
      <c r="AN13" s="63">
        <f t="shared" si="5"/>
        <v>1</v>
      </c>
      <c r="AO13" s="63">
        <f t="shared" si="6"/>
        <v>4</v>
      </c>
      <c r="AP13" s="53">
        <f t="shared" si="7"/>
        <v>22.5</v>
      </c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</row>
    <row r="14" spans="1:55" ht="22" customHeight="1" x14ac:dyDescent="0.35">
      <c r="A14" s="8" t="s">
        <v>352</v>
      </c>
      <c r="B14" s="8" t="s">
        <v>353</v>
      </c>
      <c r="C14" s="8" t="s">
        <v>45</v>
      </c>
      <c r="D14" s="24" t="s">
        <v>9</v>
      </c>
      <c r="E14" s="26" t="s">
        <v>3</v>
      </c>
      <c r="F14" s="26" t="s">
        <v>3</v>
      </c>
      <c r="G14" s="26" t="s">
        <v>3</v>
      </c>
      <c r="H14" s="26" t="s">
        <v>3</v>
      </c>
      <c r="I14" s="26" t="s">
        <v>3</v>
      </c>
      <c r="J14" s="27" t="s">
        <v>7</v>
      </c>
      <c r="K14" s="28" t="s">
        <v>11</v>
      </c>
      <c r="L14" s="26" t="s">
        <v>3</v>
      </c>
      <c r="M14" s="26" t="s">
        <v>3</v>
      </c>
      <c r="N14" s="26" t="s">
        <v>3</v>
      </c>
      <c r="O14" s="26" t="s">
        <v>3</v>
      </c>
      <c r="P14" s="26" t="s">
        <v>3</v>
      </c>
      <c r="Q14" s="23" t="s">
        <v>7</v>
      </c>
      <c r="R14" s="24" t="s">
        <v>9</v>
      </c>
      <c r="S14" s="22" t="s">
        <v>5</v>
      </c>
      <c r="T14" s="26" t="s">
        <v>3</v>
      </c>
      <c r="U14" s="26" t="s">
        <v>3</v>
      </c>
      <c r="V14" s="26" t="s">
        <v>3</v>
      </c>
      <c r="W14" s="26" t="s">
        <v>3</v>
      </c>
      <c r="X14" s="27" t="s">
        <v>7</v>
      </c>
      <c r="Y14" s="28" t="s">
        <v>11</v>
      </c>
      <c r="Z14" s="26" t="s">
        <v>3</v>
      </c>
      <c r="AA14" s="26" t="s">
        <v>3</v>
      </c>
      <c r="AB14" s="22" t="s">
        <v>5</v>
      </c>
      <c r="AC14" s="22" t="s">
        <v>5</v>
      </c>
      <c r="AD14" s="22" t="s">
        <v>5</v>
      </c>
      <c r="AE14" s="23" t="s">
        <v>7</v>
      </c>
      <c r="AF14" s="24" t="s">
        <v>9</v>
      </c>
      <c r="AG14" s="26" t="s">
        <v>3</v>
      </c>
      <c r="AH14" s="8">
        <f t="shared" si="0"/>
        <v>17</v>
      </c>
      <c r="AI14" s="8">
        <f t="shared" si="1"/>
        <v>4</v>
      </c>
      <c r="AJ14" s="29">
        <f t="shared" si="2"/>
        <v>2</v>
      </c>
      <c r="AK14" s="62">
        <v>2</v>
      </c>
      <c r="AL14" s="33">
        <f t="shared" si="3"/>
        <v>20</v>
      </c>
      <c r="AM14" s="63">
        <f t="shared" si="4"/>
        <v>168</v>
      </c>
      <c r="AN14" s="63">
        <f t="shared" si="5"/>
        <v>1</v>
      </c>
      <c r="AO14" s="63">
        <f t="shared" si="6"/>
        <v>4</v>
      </c>
      <c r="AP14" s="53">
        <f t="shared" si="7"/>
        <v>19.5</v>
      </c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</row>
    <row r="15" spans="1:55" ht="22" customHeight="1" x14ac:dyDescent="0.35">
      <c r="A15" s="8" t="s">
        <v>62</v>
      </c>
      <c r="B15" s="8" t="s">
        <v>63</v>
      </c>
      <c r="C15" s="8" t="s">
        <v>45</v>
      </c>
      <c r="D15" s="24" t="s">
        <v>9</v>
      </c>
      <c r="E15" s="26" t="s">
        <v>3</v>
      </c>
      <c r="F15" s="26" t="s">
        <v>3</v>
      </c>
      <c r="G15" s="22" t="s">
        <v>5</v>
      </c>
      <c r="H15" s="26" t="s">
        <v>3</v>
      </c>
      <c r="I15" s="26" t="s">
        <v>3</v>
      </c>
      <c r="J15" s="23" t="s">
        <v>7</v>
      </c>
      <c r="K15" s="24" t="s">
        <v>9</v>
      </c>
      <c r="L15" s="22" t="s">
        <v>5</v>
      </c>
      <c r="M15" s="22" t="s">
        <v>5</v>
      </c>
      <c r="N15" s="22" t="s">
        <v>5</v>
      </c>
      <c r="O15" s="22" t="s">
        <v>5</v>
      </c>
      <c r="P15" s="22" t="s">
        <v>5</v>
      </c>
      <c r="Q15" s="23" t="s">
        <v>7</v>
      </c>
      <c r="R15" s="24" t="s">
        <v>9</v>
      </c>
      <c r="S15" s="22" t="s">
        <v>5</v>
      </c>
      <c r="T15" s="22" t="s">
        <v>5</v>
      </c>
      <c r="U15" s="22" t="s">
        <v>5</v>
      </c>
      <c r="V15" s="22" t="s">
        <v>5</v>
      </c>
      <c r="W15" s="22" t="s">
        <v>5</v>
      </c>
      <c r="X15" s="23" t="s">
        <v>7</v>
      </c>
      <c r="Y15" s="24" t="s">
        <v>9</v>
      </c>
      <c r="Z15" s="22" t="s">
        <v>5</v>
      </c>
      <c r="AA15" s="26" t="s">
        <v>3</v>
      </c>
      <c r="AB15" s="26" t="s">
        <v>3</v>
      </c>
      <c r="AC15" s="22" t="s">
        <v>5</v>
      </c>
      <c r="AD15" s="22" t="s">
        <v>5</v>
      </c>
      <c r="AE15" s="23" t="s">
        <v>7</v>
      </c>
      <c r="AF15" s="24" t="s">
        <v>9</v>
      </c>
      <c r="AG15" s="22" t="s">
        <v>5</v>
      </c>
      <c r="AH15" s="8">
        <f t="shared" si="0"/>
        <v>6</v>
      </c>
      <c r="AI15" s="25">
        <f t="shared" si="1"/>
        <v>15</v>
      </c>
      <c r="AJ15" s="8">
        <f t="shared" si="2"/>
        <v>0</v>
      </c>
      <c r="AK15" s="62">
        <v>0</v>
      </c>
      <c r="AL15" s="33">
        <f t="shared" si="3"/>
        <v>6</v>
      </c>
      <c r="AM15" s="63">
        <f t="shared" si="4"/>
        <v>168</v>
      </c>
      <c r="AN15" s="63">
        <f t="shared" si="5"/>
        <v>1</v>
      </c>
      <c r="AO15" s="63">
        <f t="shared" si="6"/>
        <v>4</v>
      </c>
      <c r="AP15" s="53">
        <f t="shared" si="7"/>
        <v>5.5</v>
      </c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</row>
    <row r="16" spans="1:55" ht="22" customHeight="1" x14ac:dyDescent="0.35">
      <c r="A16" s="8" t="s">
        <v>64</v>
      </c>
      <c r="B16" s="8" t="s">
        <v>63</v>
      </c>
      <c r="C16" s="8" t="s">
        <v>45</v>
      </c>
      <c r="D16" s="24" t="s">
        <v>9</v>
      </c>
      <c r="E16" s="22" t="s">
        <v>5</v>
      </c>
      <c r="F16" s="26" t="s">
        <v>3</v>
      </c>
      <c r="G16" s="26" t="s">
        <v>3</v>
      </c>
      <c r="H16" s="26" t="s">
        <v>3</v>
      </c>
      <c r="I16" s="26" t="s">
        <v>3</v>
      </c>
      <c r="J16" s="27" t="s">
        <v>7</v>
      </c>
      <c r="K16" s="28" t="s">
        <v>11</v>
      </c>
      <c r="L16" s="26" t="s">
        <v>3</v>
      </c>
      <c r="M16" s="26" t="s">
        <v>3</v>
      </c>
      <c r="N16" s="26" t="s">
        <v>3</v>
      </c>
      <c r="O16" s="26" t="s">
        <v>3</v>
      </c>
      <c r="P16" s="26" t="s">
        <v>3</v>
      </c>
      <c r="Q16" s="27" t="s">
        <v>7</v>
      </c>
      <c r="R16" s="28" t="s">
        <v>11</v>
      </c>
      <c r="S16" s="26" t="s">
        <v>3</v>
      </c>
      <c r="T16" s="26" t="s">
        <v>3</v>
      </c>
      <c r="U16" s="22" t="s">
        <v>5</v>
      </c>
      <c r="V16" s="22" t="s">
        <v>5</v>
      </c>
      <c r="W16" s="22" t="s">
        <v>5</v>
      </c>
      <c r="X16" s="23" t="s">
        <v>7</v>
      </c>
      <c r="Y16" s="24" t="s">
        <v>9</v>
      </c>
      <c r="Z16" s="26" t="s">
        <v>3</v>
      </c>
      <c r="AA16" s="26" t="s">
        <v>3</v>
      </c>
      <c r="AB16" s="26" t="s">
        <v>3</v>
      </c>
      <c r="AC16" s="26" t="s">
        <v>3</v>
      </c>
      <c r="AD16" s="26" t="s">
        <v>3</v>
      </c>
      <c r="AE16" s="27" t="s">
        <v>7</v>
      </c>
      <c r="AF16" s="28" t="s">
        <v>11</v>
      </c>
      <c r="AG16" s="26" t="s">
        <v>3</v>
      </c>
      <c r="AH16" s="8">
        <f t="shared" si="0"/>
        <v>17</v>
      </c>
      <c r="AI16" s="8">
        <f t="shared" si="1"/>
        <v>4</v>
      </c>
      <c r="AJ16" s="29">
        <f t="shared" si="2"/>
        <v>3</v>
      </c>
      <c r="AK16" s="62">
        <v>3</v>
      </c>
      <c r="AL16" s="33">
        <f t="shared" si="3"/>
        <v>21.5</v>
      </c>
      <c r="AM16" s="63">
        <f t="shared" si="4"/>
        <v>168</v>
      </c>
      <c r="AN16" s="63">
        <f t="shared" si="5"/>
        <v>0</v>
      </c>
      <c r="AO16" s="63">
        <f t="shared" si="6"/>
        <v>0</v>
      </c>
      <c r="AP16" s="53">
        <f t="shared" si="7"/>
        <v>21.5</v>
      </c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</row>
    <row r="17" spans="1:55" ht="22" customHeight="1" x14ac:dyDescent="0.35">
      <c r="A17" s="8" t="s">
        <v>65</v>
      </c>
      <c r="B17" s="8" t="s">
        <v>66</v>
      </c>
      <c r="C17" s="8" t="s">
        <v>45</v>
      </c>
      <c r="D17" s="28" t="s">
        <v>11</v>
      </c>
      <c r="E17" s="26" t="s">
        <v>3</v>
      </c>
      <c r="F17" s="26" t="s">
        <v>3</v>
      </c>
      <c r="G17" s="26" t="s">
        <v>3</v>
      </c>
      <c r="H17" s="26" t="s">
        <v>3</v>
      </c>
      <c r="I17" s="26" t="s">
        <v>3</v>
      </c>
      <c r="J17" s="27" t="s">
        <v>7</v>
      </c>
      <c r="K17" s="28" t="s">
        <v>11</v>
      </c>
      <c r="L17" s="26" t="s">
        <v>3</v>
      </c>
      <c r="M17" s="26" t="s">
        <v>3</v>
      </c>
      <c r="N17" s="26" t="s">
        <v>3</v>
      </c>
      <c r="O17" s="26" t="s">
        <v>3</v>
      </c>
      <c r="P17" s="26" t="s">
        <v>3</v>
      </c>
      <c r="Q17" s="27" t="s">
        <v>7</v>
      </c>
      <c r="R17" s="28" t="s">
        <v>11</v>
      </c>
      <c r="S17" s="26" t="s">
        <v>3</v>
      </c>
      <c r="T17" s="26" t="s">
        <v>3</v>
      </c>
      <c r="U17" s="26" t="s">
        <v>3</v>
      </c>
      <c r="V17" s="26" t="s">
        <v>3</v>
      </c>
      <c r="W17" s="26" t="s">
        <v>3</v>
      </c>
      <c r="X17" s="23" t="s">
        <v>7</v>
      </c>
      <c r="Y17" s="24" t="s">
        <v>9</v>
      </c>
      <c r="Z17" s="26" t="s">
        <v>3</v>
      </c>
      <c r="AA17" s="26" t="s">
        <v>3</v>
      </c>
      <c r="AB17" s="26" t="s">
        <v>3</v>
      </c>
      <c r="AC17" s="26" t="s">
        <v>3</v>
      </c>
      <c r="AD17" s="26" t="s">
        <v>3</v>
      </c>
      <c r="AE17" s="27" t="s">
        <v>7</v>
      </c>
      <c r="AF17" s="28" t="s">
        <v>11</v>
      </c>
      <c r="AG17" s="26" t="s">
        <v>3</v>
      </c>
      <c r="AH17" s="8">
        <f t="shared" si="0"/>
        <v>21</v>
      </c>
      <c r="AI17" s="8">
        <f t="shared" si="1"/>
        <v>0</v>
      </c>
      <c r="AJ17" s="29">
        <f t="shared" si="2"/>
        <v>4</v>
      </c>
      <c r="AK17" s="62">
        <v>3</v>
      </c>
      <c r="AL17" s="33">
        <f t="shared" si="3"/>
        <v>26.5</v>
      </c>
      <c r="AM17" s="63">
        <f t="shared" si="4"/>
        <v>168</v>
      </c>
      <c r="AN17" s="63">
        <f t="shared" si="5"/>
        <v>1</v>
      </c>
      <c r="AO17" s="63">
        <f t="shared" si="6"/>
        <v>4</v>
      </c>
      <c r="AP17" s="53">
        <f t="shared" si="7"/>
        <v>26</v>
      </c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</row>
    <row r="18" spans="1:55" ht="22" customHeight="1" x14ac:dyDescent="0.35">
      <c r="A18" s="8" t="s">
        <v>67</v>
      </c>
      <c r="B18" s="8" t="s">
        <v>68</v>
      </c>
      <c r="C18" s="8" t="s">
        <v>45</v>
      </c>
      <c r="D18" s="28" t="s">
        <v>11</v>
      </c>
      <c r="E18" s="22" t="s">
        <v>5</v>
      </c>
      <c r="F18" s="22" t="s">
        <v>5</v>
      </c>
      <c r="G18" s="22" t="s">
        <v>5</v>
      </c>
      <c r="H18" s="26" t="s">
        <v>3</v>
      </c>
      <c r="I18" s="26" t="s">
        <v>3</v>
      </c>
      <c r="J18" s="27" t="s">
        <v>7</v>
      </c>
      <c r="K18" s="28" t="s">
        <v>11</v>
      </c>
      <c r="L18" s="22" t="s">
        <v>5</v>
      </c>
      <c r="M18" s="22" t="s">
        <v>5</v>
      </c>
      <c r="N18" s="22" t="s">
        <v>5</v>
      </c>
      <c r="O18" s="26" t="s">
        <v>3</v>
      </c>
      <c r="P18" s="26" t="s">
        <v>3</v>
      </c>
      <c r="Q18" s="27" t="s">
        <v>7</v>
      </c>
      <c r="R18" s="28" t="s">
        <v>11</v>
      </c>
      <c r="S18" s="22" t="s">
        <v>5</v>
      </c>
      <c r="T18" s="22" t="s">
        <v>5</v>
      </c>
      <c r="U18" s="22" t="s">
        <v>5</v>
      </c>
      <c r="V18" s="22" t="s">
        <v>5</v>
      </c>
      <c r="W18" s="22" t="s">
        <v>5</v>
      </c>
      <c r="X18" s="27" t="s">
        <v>7</v>
      </c>
      <c r="Y18" s="28" t="s">
        <v>11</v>
      </c>
      <c r="Z18" s="26" t="s">
        <v>3</v>
      </c>
      <c r="AA18" s="26" t="s">
        <v>3</v>
      </c>
      <c r="AB18" s="26" t="s">
        <v>3</v>
      </c>
      <c r="AC18" s="26" t="s">
        <v>3</v>
      </c>
      <c r="AD18" s="26" t="s">
        <v>3</v>
      </c>
      <c r="AE18" s="27" t="s">
        <v>7</v>
      </c>
      <c r="AF18" s="28" t="s">
        <v>11</v>
      </c>
      <c r="AG18" s="22" t="s">
        <v>5</v>
      </c>
      <c r="AH18" s="8">
        <f t="shared" si="0"/>
        <v>9</v>
      </c>
      <c r="AI18" s="25">
        <f t="shared" si="1"/>
        <v>12</v>
      </c>
      <c r="AJ18" s="29">
        <f t="shared" si="2"/>
        <v>5</v>
      </c>
      <c r="AK18" s="62">
        <v>4</v>
      </c>
      <c r="AL18" s="33">
        <f t="shared" si="3"/>
        <v>16</v>
      </c>
      <c r="AM18" s="63">
        <f t="shared" si="4"/>
        <v>168</v>
      </c>
      <c r="AN18" s="63">
        <f t="shared" si="5"/>
        <v>0</v>
      </c>
      <c r="AO18" s="63">
        <f t="shared" si="6"/>
        <v>0</v>
      </c>
      <c r="AP18" s="53">
        <f t="shared" si="7"/>
        <v>16</v>
      </c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</row>
    <row r="19" spans="1:55" ht="22" customHeight="1" x14ac:dyDescent="0.35">
      <c r="A19" s="8" t="s">
        <v>69</v>
      </c>
      <c r="B19" s="8" t="s">
        <v>70</v>
      </c>
      <c r="C19" s="8" t="s">
        <v>45</v>
      </c>
      <c r="D19" s="24" t="s">
        <v>9</v>
      </c>
      <c r="E19" s="22" t="s">
        <v>5</v>
      </c>
      <c r="F19" s="22" t="s">
        <v>5</v>
      </c>
      <c r="G19" s="22" t="s">
        <v>5</v>
      </c>
      <c r="H19" s="22" t="s">
        <v>5</v>
      </c>
      <c r="I19" s="22" t="s">
        <v>5</v>
      </c>
      <c r="J19" s="23" t="s">
        <v>7</v>
      </c>
      <c r="K19" s="24" t="s">
        <v>9</v>
      </c>
      <c r="L19" s="22" t="s">
        <v>5</v>
      </c>
      <c r="M19" s="22" t="s">
        <v>5</v>
      </c>
      <c r="N19" s="22" t="s">
        <v>5</v>
      </c>
      <c r="O19" s="22" t="s">
        <v>5</v>
      </c>
      <c r="P19" s="22" t="s">
        <v>5</v>
      </c>
      <c r="Q19" s="23" t="s">
        <v>7</v>
      </c>
      <c r="R19" s="24" t="s">
        <v>9</v>
      </c>
      <c r="S19" s="22" t="s">
        <v>5</v>
      </c>
      <c r="T19" s="22" t="s">
        <v>5</v>
      </c>
      <c r="U19" s="22" t="s">
        <v>5</v>
      </c>
      <c r="V19" s="26" t="s">
        <v>3</v>
      </c>
      <c r="W19" s="26" t="s">
        <v>3</v>
      </c>
      <c r="X19" s="27" t="s">
        <v>7</v>
      </c>
      <c r="Y19" s="24" t="s">
        <v>9</v>
      </c>
      <c r="Z19" s="26" t="s">
        <v>3</v>
      </c>
      <c r="AA19" s="26" t="s">
        <v>3</v>
      </c>
      <c r="AB19" s="26" t="s">
        <v>3</v>
      </c>
      <c r="AC19" s="26" t="s">
        <v>3</v>
      </c>
      <c r="AD19" s="26" t="s">
        <v>3</v>
      </c>
      <c r="AE19" s="23" t="s">
        <v>7</v>
      </c>
      <c r="AF19" s="24" t="s">
        <v>9</v>
      </c>
      <c r="AG19" s="26" t="s">
        <v>3</v>
      </c>
      <c r="AH19" s="8">
        <f t="shared" si="0"/>
        <v>8</v>
      </c>
      <c r="AI19" s="25">
        <f t="shared" si="1"/>
        <v>13</v>
      </c>
      <c r="AJ19" s="8">
        <f t="shared" si="2"/>
        <v>0</v>
      </c>
      <c r="AK19" s="62">
        <v>1</v>
      </c>
      <c r="AL19" s="33">
        <f t="shared" si="3"/>
        <v>8.5</v>
      </c>
      <c r="AM19" s="63">
        <f t="shared" si="4"/>
        <v>168</v>
      </c>
      <c r="AN19" s="63">
        <f t="shared" si="5"/>
        <v>1</v>
      </c>
      <c r="AO19" s="63">
        <f t="shared" si="6"/>
        <v>4</v>
      </c>
      <c r="AP19" s="53">
        <f t="shared" si="7"/>
        <v>8</v>
      </c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</row>
    <row r="20" spans="1:55" x14ac:dyDescent="0.35"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</row>
    <row r="21" spans="1:55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</row>
    <row r="22" spans="1:55" ht="22" customHeight="1" x14ac:dyDescent="0.35">
      <c r="A22" s="8" t="s">
        <v>72</v>
      </c>
      <c r="B22" s="8" t="s">
        <v>73</v>
      </c>
      <c r="C22" s="8" t="s">
        <v>74</v>
      </c>
      <c r="D22" s="24" t="s">
        <v>9</v>
      </c>
      <c r="E22" s="26" t="s">
        <v>3</v>
      </c>
      <c r="F22" s="26" t="s">
        <v>3</v>
      </c>
      <c r="G22" s="26" t="s">
        <v>3</v>
      </c>
      <c r="H22" s="26" t="s">
        <v>3</v>
      </c>
      <c r="I22" s="26" t="s">
        <v>3</v>
      </c>
      <c r="J22" s="27" t="s">
        <v>7</v>
      </c>
      <c r="K22" s="24" t="s">
        <v>9</v>
      </c>
      <c r="L22" s="26" t="s">
        <v>3</v>
      </c>
      <c r="M22" s="26" t="s">
        <v>3</v>
      </c>
      <c r="N22" s="26" t="s">
        <v>3</v>
      </c>
      <c r="O22" s="26" t="s">
        <v>3</v>
      </c>
      <c r="P22" s="26" t="s">
        <v>3</v>
      </c>
      <c r="Q22" s="23" t="s">
        <v>7</v>
      </c>
      <c r="R22" s="24" t="s">
        <v>9</v>
      </c>
      <c r="S22" s="22" t="s">
        <v>5</v>
      </c>
      <c r="T22" s="26" t="s">
        <v>3</v>
      </c>
      <c r="U22" s="26" t="s">
        <v>3</v>
      </c>
      <c r="V22" s="26" t="s">
        <v>3</v>
      </c>
      <c r="W22" s="26" t="s">
        <v>3</v>
      </c>
      <c r="X22" s="27" t="s">
        <v>7</v>
      </c>
      <c r="Y22" s="28" t="s">
        <v>11</v>
      </c>
      <c r="Z22" s="26" t="s">
        <v>3</v>
      </c>
      <c r="AA22" s="26" t="s">
        <v>3</v>
      </c>
      <c r="AB22" s="26" t="s">
        <v>3</v>
      </c>
      <c r="AC22" s="26" t="s">
        <v>3</v>
      </c>
      <c r="AD22" s="26" t="s">
        <v>3</v>
      </c>
      <c r="AE22" s="23" t="s">
        <v>7</v>
      </c>
      <c r="AF22" s="24" t="s">
        <v>9</v>
      </c>
      <c r="AG22" s="26" t="s">
        <v>3</v>
      </c>
      <c r="AH22" s="8">
        <f t="shared" ref="AH22:AH35" si="8">COUNTIF(D22:AG22,"ON")</f>
        <v>20</v>
      </c>
      <c r="AI22" s="8">
        <f t="shared" ref="AI22:AI35" si="9">COUNTIF(D22:AG22,"OFF")</f>
        <v>1</v>
      </c>
      <c r="AJ22" s="29">
        <f t="shared" ref="AJ22:AJ35" si="10">COUNTIF(D22:AG22,"OT")</f>
        <v>1</v>
      </c>
      <c r="AK22" s="62">
        <v>2</v>
      </c>
      <c r="AL22" s="33">
        <f t="shared" ref="AL22:AL35" si="11">AH22+AJ22+AK22*0.5</f>
        <v>22</v>
      </c>
      <c r="AM22" s="63">
        <f t="shared" ref="AM22:AM35" si="12">NETWORKDAYS(DATE(2025,6,1),EOMONTH(DATE(2025,6,1),0))*8</f>
        <v>168</v>
      </c>
      <c r="AN22" s="63">
        <f t="shared" ref="AN22:AN35" si="13">MAX(0,COUNTIF(I22,"ON")+COUNTIF(P22,"ON")+COUNTIF(W22,"ON")+COUNTIF(AD22,"ON")-AK22)</f>
        <v>2</v>
      </c>
      <c r="AO22" s="63">
        <f t="shared" ref="AO22:AO35" si="14">AN22*$AO$2</f>
        <v>8</v>
      </c>
      <c r="AP22" s="53">
        <f t="shared" ref="AP22:AP35" si="15">AL22-AO22/8</f>
        <v>21</v>
      </c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</row>
    <row r="23" spans="1:55" ht="22" customHeight="1" x14ac:dyDescent="0.35">
      <c r="A23" s="8" t="s">
        <v>75</v>
      </c>
      <c r="B23" s="8" t="s">
        <v>76</v>
      </c>
      <c r="C23" s="8" t="s">
        <v>74</v>
      </c>
      <c r="D23" s="24" t="s">
        <v>9</v>
      </c>
      <c r="E23" s="22" t="s">
        <v>5</v>
      </c>
      <c r="F23" s="26" t="s">
        <v>3</v>
      </c>
      <c r="G23" s="26" t="s">
        <v>3</v>
      </c>
      <c r="H23" s="26" t="s">
        <v>3</v>
      </c>
      <c r="I23" s="26" t="s">
        <v>3</v>
      </c>
      <c r="J23" s="27" t="s">
        <v>7</v>
      </c>
      <c r="K23" s="24" t="s">
        <v>9</v>
      </c>
      <c r="L23" s="26" t="s">
        <v>3</v>
      </c>
      <c r="M23" s="26" t="s">
        <v>3</v>
      </c>
      <c r="N23" s="26" t="s">
        <v>3</v>
      </c>
      <c r="O23" s="22" t="s">
        <v>5</v>
      </c>
      <c r="P23" s="22" t="s">
        <v>5</v>
      </c>
      <c r="Q23" s="23" t="s">
        <v>7</v>
      </c>
      <c r="R23" s="24" t="s">
        <v>9</v>
      </c>
      <c r="S23" s="22" t="s">
        <v>5</v>
      </c>
      <c r="T23" s="22" t="s">
        <v>5</v>
      </c>
      <c r="U23" s="22" t="s">
        <v>5</v>
      </c>
      <c r="V23" s="22" t="s">
        <v>5</v>
      </c>
      <c r="W23" s="22" t="s">
        <v>5</v>
      </c>
      <c r="X23" s="23" t="s">
        <v>7</v>
      </c>
      <c r="Y23" s="24" t="s">
        <v>9</v>
      </c>
      <c r="Z23" s="22" t="s">
        <v>5</v>
      </c>
      <c r="AA23" s="22" t="s">
        <v>5</v>
      </c>
      <c r="AB23" s="22" t="s">
        <v>5</v>
      </c>
      <c r="AC23" s="22" t="s">
        <v>5</v>
      </c>
      <c r="AD23" s="22" t="s">
        <v>5</v>
      </c>
      <c r="AE23" s="23" t="s">
        <v>7</v>
      </c>
      <c r="AF23" s="24" t="s">
        <v>9</v>
      </c>
      <c r="AG23" s="22" t="s">
        <v>5</v>
      </c>
      <c r="AH23" s="8">
        <f t="shared" si="8"/>
        <v>7</v>
      </c>
      <c r="AI23" s="25">
        <f t="shared" si="9"/>
        <v>14</v>
      </c>
      <c r="AJ23" s="8">
        <f t="shared" si="10"/>
        <v>0</v>
      </c>
      <c r="AK23" s="62">
        <v>1</v>
      </c>
      <c r="AL23" s="33">
        <f t="shared" si="11"/>
        <v>7.5</v>
      </c>
      <c r="AM23" s="63">
        <f t="shared" si="12"/>
        <v>168</v>
      </c>
      <c r="AN23" s="63">
        <f t="shared" si="13"/>
        <v>0</v>
      </c>
      <c r="AO23" s="63">
        <f t="shared" si="14"/>
        <v>0</v>
      </c>
      <c r="AP23" s="53">
        <f t="shared" si="15"/>
        <v>7.5</v>
      </c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</row>
    <row r="24" spans="1:55" ht="22" customHeight="1" x14ac:dyDescent="0.35">
      <c r="A24" s="8" t="s">
        <v>77</v>
      </c>
      <c r="B24" s="8" t="s">
        <v>78</v>
      </c>
      <c r="C24" s="8" t="s">
        <v>74</v>
      </c>
      <c r="D24" s="24" t="s">
        <v>9</v>
      </c>
      <c r="E24" s="26" t="s">
        <v>3</v>
      </c>
      <c r="F24" s="26" t="s">
        <v>3</v>
      </c>
      <c r="G24" s="26" t="s">
        <v>3</v>
      </c>
      <c r="H24" s="26" t="s">
        <v>3</v>
      </c>
      <c r="I24" s="26" t="s">
        <v>3</v>
      </c>
      <c r="J24" s="27" t="s">
        <v>7</v>
      </c>
      <c r="K24" s="24" t="s">
        <v>9</v>
      </c>
      <c r="L24" s="26" t="s">
        <v>3</v>
      </c>
      <c r="M24" s="26" t="s">
        <v>3</v>
      </c>
      <c r="N24" s="26" t="s">
        <v>3</v>
      </c>
      <c r="O24" s="26" t="s">
        <v>3</v>
      </c>
      <c r="P24" s="26" t="s">
        <v>3</v>
      </c>
      <c r="Q24" s="27" t="s">
        <v>7</v>
      </c>
      <c r="R24" s="28" t="s">
        <v>11</v>
      </c>
      <c r="S24" s="26" t="s">
        <v>3</v>
      </c>
      <c r="T24" s="26" t="s">
        <v>3</v>
      </c>
      <c r="U24" s="26" t="s">
        <v>3</v>
      </c>
      <c r="V24" s="26" t="s">
        <v>3</v>
      </c>
      <c r="W24" s="26" t="s">
        <v>3</v>
      </c>
      <c r="X24" s="23" t="s">
        <v>7</v>
      </c>
      <c r="Y24" s="24" t="s">
        <v>9</v>
      </c>
      <c r="Z24" s="26" t="s">
        <v>3</v>
      </c>
      <c r="AA24" s="26" t="s">
        <v>3</v>
      </c>
      <c r="AB24" s="26" t="s">
        <v>3</v>
      </c>
      <c r="AC24" s="26" t="s">
        <v>3</v>
      </c>
      <c r="AD24" s="26" t="s">
        <v>3</v>
      </c>
      <c r="AE24" s="27" t="s">
        <v>7</v>
      </c>
      <c r="AF24" s="28" t="s">
        <v>11</v>
      </c>
      <c r="AG24" s="26" t="s">
        <v>3</v>
      </c>
      <c r="AH24" s="8">
        <f t="shared" si="8"/>
        <v>21</v>
      </c>
      <c r="AI24" s="8">
        <f t="shared" si="9"/>
        <v>0</v>
      </c>
      <c r="AJ24" s="29">
        <f t="shared" si="10"/>
        <v>2</v>
      </c>
      <c r="AK24" s="62">
        <v>3</v>
      </c>
      <c r="AL24" s="33">
        <f t="shared" si="11"/>
        <v>24.5</v>
      </c>
      <c r="AM24" s="63">
        <f t="shared" si="12"/>
        <v>168</v>
      </c>
      <c r="AN24" s="63">
        <f t="shared" si="13"/>
        <v>1</v>
      </c>
      <c r="AO24" s="63">
        <f t="shared" si="14"/>
        <v>4</v>
      </c>
      <c r="AP24" s="53">
        <f t="shared" si="15"/>
        <v>24</v>
      </c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</row>
    <row r="25" spans="1:55" ht="22" customHeight="1" x14ac:dyDescent="0.35">
      <c r="A25" s="8" t="s">
        <v>79</v>
      </c>
      <c r="B25" s="8" t="s">
        <v>80</v>
      </c>
      <c r="C25" s="8" t="s">
        <v>74</v>
      </c>
      <c r="D25" s="28" t="s">
        <v>11</v>
      </c>
      <c r="E25" s="26" t="s">
        <v>3</v>
      </c>
      <c r="F25" s="26" t="s">
        <v>3</v>
      </c>
      <c r="G25" s="26" t="s">
        <v>3</v>
      </c>
      <c r="H25" s="26" t="s">
        <v>3</v>
      </c>
      <c r="I25" s="22" t="s">
        <v>5</v>
      </c>
      <c r="J25" s="23" t="s">
        <v>7</v>
      </c>
      <c r="K25" s="24" t="s">
        <v>9</v>
      </c>
      <c r="L25" s="26" t="s">
        <v>3</v>
      </c>
      <c r="M25" s="26" t="s">
        <v>3</v>
      </c>
      <c r="N25" s="26" t="s">
        <v>3</v>
      </c>
      <c r="O25" s="22" t="s">
        <v>5</v>
      </c>
      <c r="P25" s="22" t="s">
        <v>5</v>
      </c>
      <c r="Q25" s="23" t="s">
        <v>7</v>
      </c>
      <c r="R25" s="24" t="s">
        <v>9</v>
      </c>
      <c r="S25" s="22" t="s">
        <v>5</v>
      </c>
      <c r="T25" s="22" t="s">
        <v>5</v>
      </c>
      <c r="U25" s="22" t="s">
        <v>5</v>
      </c>
      <c r="V25" s="26" t="s">
        <v>3</v>
      </c>
      <c r="W25" s="26" t="s">
        <v>3</v>
      </c>
      <c r="X25" s="27" t="s">
        <v>7</v>
      </c>
      <c r="Y25" s="28" t="s">
        <v>11</v>
      </c>
      <c r="Z25" s="26" t="s">
        <v>3</v>
      </c>
      <c r="AA25" s="26" t="s">
        <v>3</v>
      </c>
      <c r="AB25" s="26" t="s">
        <v>3</v>
      </c>
      <c r="AC25" s="26" t="s">
        <v>3</v>
      </c>
      <c r="AD25" s="26" t="s">
        <v>3</v>
      </c>
      <c r="AE25" s="27" t="s">
        <v>7</v>
      </c>
      <c r="AF25" s="24" t="s">
        <v>9</v>
      </c>
      <c r="AG25" s="26" t="s">
        <v>3</v>
      </c>
      <c r="AH25" s="8">
        <f t="shared" si="8"/>
        <v>15</v>
      </c>
      <c r="AI25" s="8">
        <f t="shared" si="9"/>
        <v>6</v>
      </c>
      <c r="AJ25" s="29">
        <f t="shared" si="10"/>
        <v>2</v>
      </c>
      <c r="AK25" s="62">
        <v>2</v>
      </c>
      <c r="AL25" s="33">
        <f t="shared" si="11"/>
        <v>18</v>
      </c>
      <c r="AM25" s="63">
        <f t="shared" si="12"/>
        <v>168</v>
      </c>
      <c r="AN25" s="63">
        <f t="shared" si="13"/>
        <v>0</v>
      </c>
      <c r="AO25" s="63">
        <f t="shared" si="14"/>
        <v>0</v>
      </c>
      <c r="AP25" s="53">
        <f t="shared" si="15"/>
        <v>18</v>
      </c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</row>
    <row r="26" spans="1:55" ht="22" customHeight="1" x14ac:dyDescent="0.35">
      <c r="A26" s="8" t="s">
        <v>81</v>
      </c>
      <c r="B26" s="8" t="s">
        <v>82</v>
      </c>
      <c r="C26" s="8" t="s">
        <v>74</v>
      </c>
      <c r="D26" s="28" t="s">
        <v>11</v>
      </c>
      <c r="E26" s="26" t="s">
        <v>3</v>
      </c>
      <c r="F26" s="26" t="s">
        <v>3</v>
      </c>
      <c r="G26" s="26" t="s">
        <v>3</v>
      </c>
      <c r="H26" s="26" t="s">
        <v>3</v>
      </c>
      <c r="I26" s="22" t="s">
        <v>5</v>
      </c>
      <c r="J26" s="23" t="s">
        <v>7</v>
      </c>
      <c r="K26" s="24" t="s">
        <v>9</v>
      </c>
      <c r="L26" s="26" t="s">
        <v>3</v>
      </c>
      <c r="M26" s="26" t="s">
        <v>3</v>
      </c>
      <c r="N26" s="26" t="s">
        <v>3</v>
      </c>
      <c r="O26" s="26" t="s">
        <v>3</v>
      </c>
      <c r="P26" s="26" t="s">
        <v>3</v>
      </c>
      <c r="Q26" s="27" t="s">
        <v>7</v>
      </c>
      <c r="R26" s="28" t="s">
        <v>11</v>
      </c>
      <c r="S26" s="26" t="s">
        <v>3</v>
      </c>
      <c r="T26" s="26" t="s">
        <v>3</v>
      </c>
      <c r="U26" s="26" t="s">
        <v>3</v>
      </c>
      <c r="V26" s="26" t="s">
        <v>3</v>
      </c>
      <c r="W26" s="26" t="s">
        <v>3</v>
      </c>
      <c r="X26" s="23" t="s">
        <v>7</v>
      </c>
      <c r="Y26" s="24" t="s">
        <v>9</v>
      </c>
      <c r="Z26" s="26" t="s">
        <v>3</v>
      </c>
      <c r="AA26" s="26" t="s">
        <v>3</v>
      </c>
      <c r="AB26" s="26" t="s">
        <v>3</v>
      </c>
      <c r="AC26" s="26" t="s">
        <v>3</v>
      </c>
      <c r="AD26" s="26" t="s">
        <v>3</v>
      </c>
      <c r="AE26" s="27" t="s">
        <v>7</v>
      </c>
      <c r="AF26" s="28" t="s">
        <v>11</v>
      </c>
      <c r="AG26" s="26" t="s">
        <v>3</v>
      </c>
      <c r="AH26" s="8">
        <f t="shared" si="8"/>
        <v>20</v>
      </c>
      <c r="AI26" s="8">
        <f t="shared" si="9"/>
        <v>1</v>
      </c>
      <c r="AJ26" s="29">
        <f t="shared" si="10"/>
        <v>3</v>
      </c>
      <c r="AK26" s="62">
        <v>2</v>
      </c>
      <c r="AL26" s="33">
        <f t="shared" si="11"/>
        <v>24</v>
      </c>
      <c r="AM26" s="63">
        <f t="shared" si="12"/>
        <v>168</v>
      </c>
      <c r="AN26" s="63">
        <f t="shared" si="13"/>
        <v>1</v>
      </c>
      <c r="AO26" s="63">
        <f t="shared" si="14"/>
        <v>4</v>
      </c>
      <c r="AP26" s="53">
        <f t="shared" si="15"/>
        <v>23.5</v>
      </c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</row>
    <row r="27" spans="1:55" ht="22" customHeight="1" x14ac:dyDescent="0.35">
      <c r="A27" s="8" t="s">
        <v>83</v>
      </c>
      <c r="B27" s="8" t="s">
        <v>84</v>
      </c>
      <c r="C27" s="8" t="s">
        <v>74</v>
      </c>
      <c r="D27" s="28" t="s">
        <v>11</v>
      </c>
      <c r="E27" s="26" t="s">
        <v>3</v>
      </c>
      <c r="F27" s="26" t="s">
        <v>3</v>
      </c>
      <c r="G27" s="26" t="s">
        <v>3</v>
      </c>
      <c r="H27" s="26" t="s">
        <v>3</v>
      </c>
      <c r="I27" s="26" t="s">
        <v>3</v>
      </c>
      <c r="J27" s="27" t="s">
        <v>7</v>
      </c>
      <c r="K27" s="24" t="s">
        <v>9</v>
      </c>
      <c r="L27" s="26" t="s">
        <v>3</v>
      </c>
      <c r="M27" s="26" t="s">
        <v>3</v>
      </c>
      <c r="N27" s="26" t="s">
        <v>3</v>
      </c>
      <c r="O27" s="26" t="s">
        <v>3</v>
      </c>
      <c r="P27" s="26" t="s">
        <v>3</v>
      </c>
      <c r="Q27" s="23" t="s">
        <v>7</v>
      </c>
      <c r="R27" s="24" t="s">
        <v>9</v>
      </c>
      <c r="S27" s="22" t="s">
        <v>5</v>
      </c>
      <c r="T27" s="26" t="s">
        <v>3</v>
      </c>
      <c r="U27" s="26" t="s">
        <v>3</v>
      </c>
      <c r="V27" s="26" t="s">
        <v>3</v>
      </c>
      <c r="W27" s="26" t="s">
        <v>3</v>
      </c>
      <c r="X27" s="27" t="s">
        <v>7</v>
      </c>
      <c r="Y27" s="28" t="s">
        <v>11</v>
      </c>
      <c r="Z27" s="26" t="s">
        <v>3</v>
      </c>
      <c r="AA27" s="26" t="s">
        <v>3</v>
      </c>
      <c r="AB27" s="26" t="s">
        <v>3</v>
      </c>
      <c r="AC27" s="26" t="s">
        <v>3</v>
      </c>
      <c r="AD27" s="26" t="s">
        <v>3</v>
      </c>
      <c r="AE27" s="23" t="s">
        <v>7</v>
      </c>
      <c r="AF27" s="24" t="s">
        <v>9</v>
      </c>
      <c r="AG27" s="26" t="s">
        <v>3</v>
      </c>
      <c r="AH27" s="8">
        <f t="shared" si="8"/>
        <v>20</v>
      </c>
      <c r="AI27" s="8">
        <f t="shared" si="9"/>
        <v>1</v>
      </c>
      <c r="AJ27" s="29">
        <f t="shared" si="10"/>
        <v>2</v>
      </c>
      <c r="AK27" s="62">
        <v>2</v>
      </c>
      <c r="AL27" s="33">
        <f t="shared" si="11"/>
        <v>23</v>
      </c>
      <c r="AM27" s="63">
        <f t="shared" si="12"/>
        <v>168</v>
      </c>
      <c r="AN27" s="63">
        <f t="shared" si="13"/>
        <v>2</v>
      </c>
      <c r="AO27" s="63">
        <f t="shared" si="14"/>
        <v>8</v>
      </c>
      <c r="AP27" s="53">
        <f t="shared" si="15"/>
        <v>22</v>
      </c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</row>
    <row r="28" spans="1:55" ht="22" customHeight="1" x14ac:dyDescent="0.35">
      <c r="A28" s="8" t="s">
        <v>85</v>
      </c>
      <c r="B28" s="8" t="s">
        <v>86</v>
      </c>
      <c r="C28" s="8" t="s">
        <v>74</v>
      </c>
      <c r="D28" s="28" t="s">
        <v>11</v>
      </c>
      <c r="E28" s="26" t="s">
        <v>3</v>
      </c>
      <c r="F28" s="26" t="s">
        <v>3</v>
      </c>
      <c r="G28" s="26" t="s">
        <v>3</v>
      </c>
      <c r="H28" s="26" t="s">
        <v>3</v>
      </c>
      <c r="I28" s="26" t="s">
        <v>3</v>
      </c>
      <c r="J28" s="27" t="s">
        <v>7</v>
      </c>
      <c r="K28" s="28" t="s">
        <v>11</v>
      </c>
      <c r="L28" s="26" t="s">
        <v>3</v>
      </c>
      <c r="M28" s="26" t="s">
        <v>3</v>
      </c>
      <c r="N28" s="26" t="s">
        <v>3</v>
      </c>
      <c r="O28" s="26" t="s">
        <v>3</v>
      </c>
      <c r="P28" s="26" t="s">
        <v>3</v>
      </c>
      <c r="Q28" s="23" t="s">
        <v>7</v>
      </c>
      <c r="R28" s="24" t="s">
        <v>9</v>
      </c>
      <c r="S28" s="22" t="s">
        <v>5</v>
      </c>
      <c r="T28" s="26" t="s">
        <v>3</v>
      </c>
      <c r="U28" s="26" t="s">
        <v>3</v>
      </c>
      <c r="V28" s="26" t="s">
        <v>3</v>
      </c>
      <c r="W28" s="26" t="s">
        <v>3</v>
      </c>
      <c r="X28" s="27" t="s">
        <v>7</v>
      </c>
      <c r="Y28" s="28" t="s">
        <v>11</v>
      </c>
      <c r="Z28" s="26" t="s">
        <v>3</v>
      </c>
      <c r="AA28" s="26" t="s">
        <v>3</v>
      </c>
      <c r="AB28" s="26" t="s">
        <v>3</v>
      </c>
      <c r="AC28" s="26" t="s">
        <v>3</v>
      </c>
      <c r="AD28" s="26" t="s">
        <v>3</v>
      </c>
      <c r="AE28" s="23" t="s">
        <v>7</v>
      </c>
      <c r="AF28" s="24" t="s">
        <v>9</v>
      </c>
      <c r="AG28" s="22" t="s">
        <v>5</v>
      </c>
      <c r="AH28" s="8">
        <f t="shared" si="8"/>
        <v>19</v>
      </c>
      <c r="AI28" s="8">
        <f t="shared" si="9"/>
        <v>2</v>
      </c>
      <c r="AJ28" s="29">
        <f t="shared" si="10"/>
        <v>3</v>
      </c>
      <c r="AK28" s="62">
        <v>2</v>
      </c>
      <c r="AL28" s="33">
        <f t="shared" si="11"/>
        <v>23</v>
      </c>
      <c r="AM28" s="63">
        <f t="shared" si="12"/>
        <v>168</v>
      </c>
      <c r="AN28" s="63">
        <f t="shared" si="13"/>
        <v>2</v>
      </c>
      <c r="AO28" s="63">
        <f t="shared" si="14"/>
        <v>8</v>
      </c>
      <c r="AP28" s="53">
        <f t="shared" si="15"/>
        <v>22</v>
      </c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</row>
    <row r="29" spans="1:55" ht="22" customHeight="1" x14ac:dyDescent="0.35">
      <c r="A29" s="8" t="s">
        <v>87</v>
      </c>
      <c r="B29" s="8" t="s">
        <v>88</v>
      </c>
      <c r="C29" s="8" t="s">
        <v>74</v>
      </c>
      <c r="D29" s="28" t="s">
        <v>11</v>
      </c>
      <c r="E29" s="26" t="s">
        <v>3</v>
      </c>
      <c r="F29" s="26" t="s">
        <v>3</v>
      </c>
      <c r="G29" s="26" t="s">
        <v>3</v>
      </c>
      <c r="H29" s="26" t="s">
        <v>3</v>
      </c>
      <c r="I29" s="26" t="s">
        <v>3</v>
      </c>
      <c r="J29" s="23" t="s">
        <v>7</v>
      </c>
      <c r="K29" s="28" t="s">
        <v>11</v>
      </c>
      <c r="L29" s="26" t="s">
        <v>3</v>
      </c>
      <c r="M29" s="26" t="s">
        <v>3</v>
      </c>
      <c r="N29" s="26" t="s">
        <v>3</v>
      </c>
      <c r="O29" s="26" t="s">
        <v>3</v>
      </c>
      <c r="P29" s="26" t="s">
        <v>3</v>
      </c>
      <c r="Q29" s="27" t="s">
        <v>7</v>
      </c>
      <c r="R29" s="28" t="s">
        <v>11</v>
      </c>
      <c r="S29" s="26" t="s">
        <v>3</v>
      </c>
      <c r="T29" s="26" t="s">
        <v>3</v>
      </c>
      <c r="U29" s="26" t="s">
        <v>3</v>
      </c>
      <c r="V29" s="26" t="s">
        <v>3</v>
      </c>
      <c r="W29" s="26" t="s">
        <v>3</v>
      </c>
      <c r="X29" s="27" t="s">
        <v>7</v>
      </c>
      <c r="Y29" s="24" t="s">
        <v>9</v>
      </c>
      <c r="Z29" s="26" t="s">
        <v>3</v>
      </c>
      <c r="AA29" s="26" t="s">
        <v>3</v>
      </c>
      <c r="AB29" s="26" t="s">
        <v>3</v>
      </c>
      <c r="AC29" s="26" t="s">
        <v>3</v>
      </c>
      <c r="AD29" s="26" t="s">
        <v>3</v>
      </c>
      <c r="AE29" s="27" t="s">
        <v>7</v>
      </c>
      <c r="AF29" s="28" t="s">
        <v>11</v>
      </c>
      <c r="AG29" s="26" t="s">
        <v>3</v>
      </c>
      <c r="AH29" s="8">
        <f t="shared" si="8"/>
        <v>21</v>
      </c>
      <c r="AI29" s="8">
        <f t="shared" si="9"/>
        <v>0</v>
      </c>
      <c r="AJ29" s="29">
        <f t="shared" si="10"/>
        <v>4</v>
      </c>
      <c r="AK29" s="62">
        <v>3</v>
      </c>
      <c r="AL29" s="33">
        <f t="shared" si="11"/>
        <v>26.5</v>
      </c>
      <c r="AM29" s="63">
        <f t="shared" si="12"/>
        <v>168</v>
      </c>
      <c r="AN29" s="63">
        <f t="shared" si="13"/>
        <v>1</v>
      </c>
      <c r="AO29" s="63">
        <f t="shared" si="14"/>
        <v>4</v>
      </c>
      <c r="AP29" s="53">
        <f t="shared" si="15"/>
        <v>26</v>
      </c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</row>
    <row r="30" spans="1:55" ht="22" customHeight="1" x14ac:dyDescent="0.35">
      <c r="A30" s="8" t="s">
        <v>89</v>
      </c>
      <c r="B30" s="8" t="s">
        <v>90</v>
      </c>
      <c r="C30" s="8" t="s">
        <v>74</v>
      </c>
      <c r="D30" s="24" t="s">
        <v>9</v>
      </c>
      <c r="E30" s="26" t="s">
        <v>3</v>
      </c>
      <c r="F30" s="22" t="s">
        <v>5</v>
      </c>
      <c r="G30" s="22" t="s">
        <v>5</v>
      </c>
      <c r="H30" s="22" t="s">
        <v>5</v>
      </c>
      <c r="I30" s="22" t="s">
        <v>5</v>
      </c>
      <c r="J30" s="23" t="s">
        <v>7</v>
      </c>
      <c r="K30" s="24" t="s">
        <v>9</v>
      </c>
      <c r="L30" s="26" t="s">
        <v>3</v>
      </c>
      <c r="M30" s="26" t="s">
        <v>3</v>
      </c>
      <c r="N30" s="26" t="s">
        <v>3</v>
      </c>
      <c r="O30" s="26" t="s">
        <v>3</v>
      </c>
      <c r="P30" s="26" t="s">
        <v>3</v>
      </c>
      <c r="Q30" s="27" t="s">
        <v>7</v>
      </c>
      <c r="R30" s="28" t="s">
        <v>11</v>
      </c>
      <c r="S30" s="26" t="s">
        <v>3</v>
      </c>
      <c r="T30" s="26" t="s">
        <v>3</v>
      </c>
      <c r="U30" s="26" t="s">
        <v>3</v>
      </c>
      <c r="V30" s="26" t="s">
        <v>3</v>
      </c>
      <c r="W30" s="26" t="s">
        <v>3</v>
      </c>
      <c r="X30" s="27" t="s">
        <v>7</v>
      </c>
      <c r="Y30" s="28" t="s">
        <v>11</v>
      </c>
      <c r="Z30" s="26" t="s">
        <v>3</v>
      </c>
      <c r="AA30" s="26" t="s">
        <v>3</v>
      </c>
      <c r="AB30" s="26" t="s">
        <v>3</v>
      </c>
      <c r="AC30" s="26" t="s">
        <v>3</v>
      </c>
      <c r="AD30" s="26" t="s">
        <v>3</v>
      </c>
      <c r="AE30" s="23" t="s">
        <v>7</v>
      </c>
      <c r="AF30" s="24" t="s">
        <v>9</v>
      </c>
      <c r="AG30" s="26" t="s">
        <v>3</v>
      </c>
      <c r="AH30" s="8">
        <f t="shared" si="8"/>
        <v>17</v>
      </c>
      <c r="AI30" s="8">
        <f t="shared" si="9"/>
        <v>4</v>
      </c>
      <c r="AJ30" s="29">
        <f t="shared" si="10"/>
        <v>2</v>
      </c>
      <c r="AK30" s="62">
        <v>2</v>
      </c>
      <c r="AL30" s="33">
        <f t="shared" si="11"/>
        <v>20</v>
      </c>
      <c r="AM30" s="63">
        <f t="shared" si="12"/>
        <v>168</v>
      </c>
      <c r="AN30" s="63">
        <f t="shared" si="13"/>
        <v>1</v>
      </c>
      <c r="AO30" s="63">
        <f t="shared" si="14"/>
        <v>4</v>
      </c>
      <c r="AP30" s="53">
        <f t="shared" si="15"/>
        <v>19.5</v>
      </c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</row>
    <row r="31" spans="1:55" ht="22" customHeight="1" x14ac:dyDescent="0.35">
      <c r="A31" s="8" t="s">
        <v>91</v>
      </c>
      <c r="B31" s="8" t="s">
        <v>92</v>
      </c>
      <c r="C31" s="8" t="s">
        <v>74</v>
      </c>
      <c r="D31" s="24" t="s">
        <v>9</v>
      </c>
      <c r="E31" s="26" t="s">
        <v>3</v>
      </c>
      <c r="F31" s="26" t="s">
        <v>3</v>
      </c>
      <c r="G31" s="26" t="s">
        <v>3</v>
      </c>
      <c r="H31" s="26" t="s">
        <v>3</v>
      </c>
      <c r="I31" s="22" t="s">
        <v>5</v>
      </c>
      <c r="J31" s="23" t="s">
        <v>7</v>
      </c>
      <c r="K31" s="24" t="s">
        <v>9</v>
      </c>
      <c r="L31" s="26" t="s">
        <v>3</v>
      </c>
      <c r="M31" s="26" t="s">
        <v>3</v>
      </c>
      <c r="N31" s="26" t="s">
        <v>3</v>
      </c>
      <c r="O31" s="26" t="s">
        <v>3</v>
      </c>
      <c r="P31" s="26" t="s">
        <v>3</v>
      </c>
      <c r="Q31" s="27" t="s">
        <v>7</v>
      </c>
      <c r="R31" s="28" t="s">
        <v>11</v>
      </c>
      <c r="S31" s="26" t="s">
        <v>3</v>
      </c>
      <c r="T31" s="26" t="s">
        <v>3</v>
      </c>
      <c r="U31" s="26" t="s">
        <v>3</v>
      </c>
      <c r="V31" s="26" t="s">
        <v>3</v>
      </c>
      <c r="W31" s="26" t="s">
        <v>3</v>
      </c>
      <c r="X31" s="23" t="s">
        <v>7</v>
      </c>
      <c r="Y31" s="24" t="s">
        <v>9</v>
      </c>
      <c r="Z31" s="26" t="s">
        <v>3</v>
      </c>
      <c r="AA31" s="26" t="s">
        <v>3</v>
      </c>
      <c r="AB31" s="26" t="s">
        <v>3</v>
      </c>
      <c r="AC31" s="26" t="s">
        <v>3</v>
      </c>
      <c r="AD31" s="26" t="s">
        <v>3</v>
      </c>
      <c r="AE31" s="27" t="s">
        <v>7</v>
      </c>
      <c r="AF31" s="28" t="s">
        <v>11</v>
      </c>
      <c r="AG31" s="26" t="s">
        <v>3</v>
      </c>
      <c r="AH31" s="8">
        <f t="shared" si="8"/>
        <v>20</v>
      </c>
      <c r="AI31" s="8">
        <f t="shared" si="9"/>
        <v>1</v>
      </c>
      <c r="AJ31" s="29">
        <f t="shared" si="10"/>
        <v>2</v>
      </c>
      <c r="AK31" s="62">
        <v>2</v>
      </c>
      <c r="AL31" s="33">
        <f t="shared" si="11"/>
        <v>23</v>
      </c>
      <c r="AM31" s="63">
        <f t="shared" si="12"/>
        <v>168</v>
      </c>
      <c r="AN31" s="63">
        <f t="shared" si="13"/>
        <v>1</v>
      </c>
      <c r="AO31" s="63">
        <f t="shared" si="14"/>
        <v>4</v>
      </c>
      <c r="AP31" s="53">
        <f t="shared" si="15"/>
        <v>22.5</v>
      </c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</row>
    <row r="32" spans="1:55" ht="22" customHeight="1" x14ac:dyDescent="0.35">
      <c r="A32" s="8" t="s">
        <v>93</v>
      </c>
      <c r="B32" s="8" t="s">
        <v>94</v>
      </c>
      <c r="C32" s="8" t="s">
        <v>74</v>
      </c>
      <c r="D32" s="24" t="s">
        <v>9</v>
      </c>
      <c r="E32" s="26" t="s">
        <v>3</v>
      </c>
      <c r="F32" s="26" t="s">
        <v>3</v>
      </c>
      <c r="G32" s="26" t="s">
        <v>3</v>
      </c>
      <c r="H32" s="26" t="s">
        <v>3</v>
      </c>
      <c r="I32" s="26" t="s">
        <v>3</v>
      </c>
      <c r="J32" s="27" t="s">
        <v>7</v>
      </c>
      <c r="K32" s="24" t="s">
        <v>9</v>
      </c>
      <c r="L32" s="26" t="s">
        <v>3</v>
      </c>
      <c r="M32" s="26" t="s">
        <v>3</v>
      </c>
      <c r="N32" s="26" t="s">
        <v>3</v>
      </c>
      <c r="O32" s="26" t="s">
        <v>3</v>
      </c>
      <c r="P32" s="26" t="s">
        <v>3</v>
      </c>
      <c r="Q32" s="23" t="s">
        <v>7</v>
      </c>
      <c r="R32" s="24" t="s">
        <v>9</v>
      </c>
      <c r="S32" s="22" t="s">
        <v>5</v>
      </c>
      <c r="T32" s="26" t="s">
        <v>3</v>
      </c>
      <c r="U32" s="26" t="s">
        <v>3</v>
      </c>
      <c r="V32" s="26" t="s">
        <v>3</v>
      </c>
      <c r="W32" s="26" t="s">
        <v>3</v>
      </c>
      <c r="X32" s="27" t="s">
        <v>7</v>
      </c>
      <c r="Y32" s="28" t="s">
        <v>11</v>
      </c>
      <c r="Z32" s="26" t="s">
        <v>3</v>
      </c>
      <c r="AA32" s="26" t="s">
        <v>3</v>
      </c>
      <c r="AB32" s="26" t="s">
        <v>3</v>
      </c>
      <c r="AC32" s="26" t="s">
        <v>3</v>
      </c>
      <c r="AD32" s="26" t="s">
        <v>3</v>
      </c>
      <c r="AE32" s="23" t="s">
        <v>7</v>
      </c>
      <c r="AF32" s="24" t="s">
        <v>9</v>
      </c>
      <c r="AG32" s="26" t="s">
        <v>3</v>
      </c>
      <c r="AH32" s="8">
        <f t="shared" si="8"/>
        <v>20</v>
      </c>
      <c r="AI32" s="8">
        <f t="shared" si="9"/>
        <v>1</v>
      </c>
      <c r="AJ32" s="29">
        <f t="shared" si="10"/>
        <v>1</v>
      </c>
      <c r="AK32" s="62">
        <v>2</v>
      </c>
      <c r="AL32" s="33">
        <f t="shared" si="11"/>
        <v>22</v>
      </c>
      <c r="AM32" s="63">
        <f t="shared" si="12"/>
        <v>168</v>
      </c>
      <c r="AN32" s="63">
        <f t="shared" si="13"/>
        <v>2</v>
      </c>
      <c r="AO32" s="63">
        <f t="shared" si="14"/>
        <v>8</v>
      </c>
      <c r="AP32" s="53">
        <f t="shared" si="15"/>
        <v>21</v>
      </c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</row>
    <row r="33" spans="1:55" ht="22" customHeight="1" x14ac:dyDescent="0.35">
      <c r="A33" s="8" t="s">
        <v>95</v>
      </c>
      <c r="B33" s="8" t="s">
        <v>96</v>
      </c>
      <c r="C33" s="8" t="s">
        <v>74</v>
      </c>
      <c r="D33" s="24" t="s">
        <v>9</v>
      </c>
      <c r="E33" s="26" t="s">
        <v>3</v>
      </c>
      <c r="F33" s="26" t="s">
        <v>3</v>
      </c>
      <c r="G33" s="26" t="s">
        <v>3</v>
      </c>
      <c r="H33" s="26" t="s">
        <v>3</v>
      </c>
      <c r="I33" s="26" t="s">
        <v>3</v>
      </c>
      <c r="J33" s="27" t="s">
        <v>7</v>
      </c>
      <c r="K33" s="24" t="s">
        <v>9</v>
      </c>
      <c r="L33" s="26" t="s">
        <v>3</v>
      </c>
      <c r="M33" s="26" t="s">
        <v>3</v>
      </c>
      <c r="N33" s="26" t="s">
        <v>3</v>
      </c>
      <c r="O33" s="26" t="s">
        <v>3</v>
      </c>
      <c r="P33" s="26" t="s">
        <v>3</v>
      </c>
      <c r="Q33" s="23" t="s">
        <v>7</v>
      </c>
      <c r="R33" s="24" t="s">
        <v>9</v>
      </c>
      <c r="S33" s="22" t="s">
        <v>5</v>
      </c>
      <c r="T33" s="26" t="s">
        <v>3</v>
      </c>
      <c r="U33" s="26" t="s">
        <v>3</v>
      </c>
      <c r="V33" s="26" t="s">
        <v>3</v>
      </c>
      <c r="W33" s="26" t="s">
        <v>3</v>
      </c>
      <c r="X33" s="27" t="s">
        <v>7</v>
      </c>
      <c r="Y33" s="24" t="s">
        <v>9</v>
      </c>
      <c r="Z33" s="26" t="s">
        <v>3</v>
      </c>
      <c r="AA33" s="26" t="s">
        <v>3</v>
      </c>
      <c r="AB33" s="26" t="s">
        <v>3</v>
      </c>
      <c r="AC33" s="26" t="s">
        <v>3</v>
      </c>
      <c r="AD33" s="26" t="s">
        <v>3</v>
      </c>
      <c r="AE33" s="23" t="s">
        <v>7</v>
      </c>
      <c r="AF33" s="24" t="s">
        <v>9</v>
      </c>
      <c r="AG33" s="26" t="s">
        <v>3</v>
      </c>
      <c r="AH33" s="8">
        <f t="shared" si="8"/>
        <v>20</v>
      </c>
      <c r="AI33" s="8">
        <f t="shared" si="9"/>
        <v>1</v>
      </c>
      <c r="AJ33" s="8">
        <f t="shared" si="10"/>
        <v>0</v>
      </c>
      <c r="AK33" s="62">
        <v>2</v>
      </c>
      <c r="AL33" s="33">
        <f t="shared" si="11"/>
        <v>21</v>
      </c>
      <c r="AM33" s="63">
        <f t="shared" si="12"/>
        <v>168</v>
      </c>
      <c r="AN33" s="63">
        <f t="shared" si="13"/>
        <v>2</v>
      </c>
      <c r="AO33" s="63">
        <f t="shared" si="14"/>
        <v>8</v>
      </c>
      <c r="AP33" s="53">
        <f t="shared" si="15"/>
        <v>20</v>
      </c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</row>
    <row r="34" spans="1:55" ht="22" customHeight="1" x14ac:dyDescent="0.35">
      <c r="A34" s="8" t="s">
        <v>97</v>
      </c>
      <c r="B34" s="8" t="s">
        <v>98</v>
      </c>
      <c r="C34" s="8" t="s">
        <v>74</v>
      </c>
      <c r="D34" s="24" t="s">
        <v>9</v>
      </c>
      <c r="E34" s="22" t="s">
        <v>5</v>
      </c>
      <c r="F34" s="22" t="s">
        <v>5</v>
      </c>
      <c r="G34" s="22" t="s">
        <v>5</v>
      </c>
      <c r="H34" s="22" t="s">
        <v>5</v>
      </c>
      <c r="I34" s="22" t="s">
        <v>5</v>
      </c>
      <c r="J34" s="23" t="s">
        <v>7</v>
      </c>
      <c r="K34" s="24" t="s">
        <v>9</v>
      </c>
      <c r="L34" s="22" t="s">
        <v>5</v>
      </c>
      <c r="M34" s="22" t="s">
        <v>5</v>
      </c>
      <c r="N34" s="22" t="s">
        <v>5</v>
      </c>
      <c r="O34" s="22" t="s">
        <v>5</v>
      </c>
      <c r="P34" s="22" t="s">
        <v>5</v>
      </c>
      <c r="Q34" s="23" t="s">
        <v>7</v>
      </c>
      <c r="R34" s="24" t="s">
        <v>9</v>
      </c>
      <c r="S34" s="22" t="s">
        <v>5</v>
      </c>
      <c r="T34" s="22" t="s">
        <v>5</v>
      </c>
      <c r="U34" s="22" t="s">
        <v>5</v>
      </c>
      <c r="V34" s="22" t="s">
        <v>5</v>
      </c>
      <c r="W34" s="22" t="s">
        <v>5</v>
      </c>
      <c r="X34" s="23" t="s">
        <v>7</v>
      </c>
      <c r="Y34" s="24" t="s">
        <v>9</v>
      </c>
      <c r="Z34" s="22" t="s">
        <v>5</v>
      </c>
      <c r="AA34" s="22" t="s">
        <v>5</v>
      </c>
      <c r="AB34" s="22" t="s">
        <v>5</v>
      </c>
      <c r="AC34" s="22" t="s">
        <v>5</v>
      </c>
      <c r="AD34" s="22" t="s">
        <v>5</v>
      </c>
      <c r="AE34" s="23" t="s">
        <v>7</v>
      </c>
      <c r="AF34" s="24" t="s">
        <v>9</v>
      </c>
      <c r="AG34" s="22" t="s">
        <v>5</v>
      </c>
      <c r="AH34" s="8">
        <f t="shared" si="8"/>
        <v>0</v>
      </c>
      <c r="AI34" s="25">
        <f t="shared" si="9"/>
        <v>21</v>
      </c>
      <c r="AJ34" s="8">
        <f t="shared" si="10"/>
        <v>0</v>
      </c>
      <c r="AK34" s="62">
        <v>0</v>
      </c>
      <c r="AL34" s="33">
        <f t="shared" si="11"/>
        <v>0</v>
      </c>
      <c r="AM34" s="63">
        <f t="shared" si="12"/>
        <v>168</v>
      </c>
      <c r="AN34" s="63">
        <f t="shared" si="13"/>
        <v>0</v>
      </c>
      <c r="AO34" s="63">
        <f t="shared" si="14"/>
        <v>0</v>
      </c>
      <c r="AP34" s="53">
        <f t="shared" si="15"/>
        <v>0</v>
      </c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</row>
    <row r="35" spans="1:55" ht="22" customHeight="1" x14ac:dyDescent="0.35">
      <c r="A35" s="8" t="s">
        <v>99</v>
      </c>
      <c r="B35" s="8" t="s">
        <v>100</v>
      </c>
      <c r="C35" s="8" t="s">
        <v>74</v>
      </c>
      <c r="D35" s="24" t="s">
        <v>9</v>
      </c>
      <c r="E35" s="26" t="s">
        <v>3</v>
      </c>
      <c r="F35" s="26" t="s">
        <v>3</v>
      </c>
      <c r="G35" s="26" t="s">
        <v>3</v>
      </c>
      <c r="H35" s="26" t="s">
        <v>3</v>
      </c>
      <c r="I35" s="26" t="s">
        <v>3</v>
      </c>
      <c r="J35" s="27" t="s">
        <v>7</v>
      </c>
      <c r="K35" s="24" t="s">
        <v>9</v>
      </c>
      <c r="L35" s="26" t="s">
        <v>3</v>
      </c>
      <c r="M35" s="26" t="s">
        <v>3</v>
      </c>
      <c r="N35" s="26" t="s">
        <v>3</v>
      </c>
      <c r="O35" s="26" t="s">
        <v>3</v>
      </c>
      <c r="P35" s="26" t="s">
        <v>3</v>
      </c>
      <c r="Q35" s="27" t="s">
        <v>7</v>
      </c>
      <c r="R35" s="24" t="s">
        <v>9</v>
      </c>
      <c r="S35" s="26" t="s">
        <v>3</v>
      </c>
      <c r="T35" s="26" t="s">
        <v>3</v>
      </c>
      <c r="U35" s="26" t="s">
        <v>3</v>
      </c>
      <c r="V35" s="26" t="s">
        <v>3</v>
      </c>
      <c r="W35" s="26" t="s">
        <v>3</v>
      </c>
      <c r="X35" s="27" t="s">
        <v>7</v>
      </c>
      <c r="Y35" s="24" t="s">
        <v>9</v>
      </c>
      <c r="Z35" s="26" t="s">
        <v>3</v>
      </c>
      <c r="AA35" s="26" t="s">
        <v>3</v>
      </c>
      <c r="AB35" s="26" t="s">
        <v>3</v>
      </c>
      <c r="AC35" s="26" t="s">
        <v>3</v>
      </c>
      <c r="AD35" s="26" t="s">
        <v>3</v>
      </c>
      <c r="AE35" s="23" t="s">
        <v>7</v>
      </c>
      <c r="AF35" s="24" t="s">
        <v>9</v>
      </c>
      <c r="AG35" s="22" t="s">
        <v>5</v>
      </c>
      <c r="AH35" s="8">
        <f t="shared" si="8"/>
        <v>20</v>
      </c>
      <c r="AI35" s="8">
        <f t="shared" si="9"/>
        <v>1</v>
      </c>
      <c r="AJ35" s="8">
        <f t="shared" si="10"/>
        <v>0</v>
      </c>
      <c r="AK35" s="62">
        <v>3</v>
      </c>
      <c r="AL35" s="33">
        <f t="shared" si="11"/>
        <v>21.5</v>
      </c>
      <c r="AM35" s="63">
        <f t="shared" si="12"/>
        <v>168</v>
      </c>
      <c r="AN35" s="63">
        <f t="shared" si="13"/>
        <v>1</v>
      </c>
      <c r="AO35" s="63">
        <f t="shared" si="14"/>
        <v>4</v>
      </c>
      <c r="AP35" s="53">
        <f t="shared" si="15"/>
        <v>21</v>
      </c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</row>
    <row r="36" spans="1:55" x14ac:dyDescent="0.35"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</row>
    <row r="37" spans="1:55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</row>
    <row r="38" spans="1:55" ht="22" customHeight="1" x14ac:dyDescent="0.35">
      <c r="A38" s="8" t="s">
        <v>102</v>
      </c>
      <c r="B38" s="8" t="s">
        <v>103</v>
      </c>
      <c r="C38" s="8" t="s">
        <v>104</v>
      </c>
      <c r="D38" s="24" t="s">
        <v>9</v>
      </c>
      <c r="E38" s="26" t="s">
        <v>3</v>
      </c>
      <c r="F38" s="26" t="s">
        <v>3</v>
      </c>
      <c r="G38" s="26" t="s">
        <v>3</v>
      </c>
      <c r="H38" s="26" t="s">
        <v>3</v>
      </c>
      <c r="I38" s="26" t="s">
        <v>3</v>
      </c>
      <c r="J38" s="23" t="s">
        <v>7</v>
      </c>
      <c r="K38" s="24" t="s">
        <v>9</v>
      </c>
      <c r="L38" s="22" t="s">
        <v>5</v>
      </c>
      <c r="M38" s="22" t="s">
        <v>5</v>
      </c>
      <c r="N38" s="22" t="s">
        <v>5</v>
      </c>
      <c r="O38" s="26" t="s">
        <v>3</v>
      </c>
      <c r="P38" s="26" t="s">
        <v>3</v>
      </c>
      <c r="Q38" s="27" t="s">
        <v>7</v>
      </c>
      <c r="R38" s="28" t="s">
        <v>11</v>
      </c>
      <c r="S38" s="26" t="s">
        <v>3</v>
      </c>
      <c r="T38" s="26" t="s">
        <v>3</v>
      </c>
      <c r="U38" s="26" t="s">
        <v>3</v>
      </c>
      <c r="V38" s="26" t="s">
        <v>3</v>
      </c>
      <c r="W38" s="26" t="s">
        <v>3</v>
      </c>
      <c r="X38" s="27" t="s">
        <v>7</v>
      </c>
      <c r="Y38" s="28" t="s">
        <v>11</v>
      </c>
      <c r="Z38" s="26" t="s">
        <v>3</v>
      </c>
      <c r="AA38" s="26" t="s">
        <v>3</v>
      </c>
      <c r="AB38" s="26" t="s">
        <v>3</v>
      </c>
      <c r="AC38" s="26" t="s">
        <v>3</v>
      </c>
      <c r="AD38" s="26" t="s">
        <v>3</v>
      </c>
      <c r="AE38" s="27" t="s">
        <v>7</v>
      </c>
      <c r="AF38" s="28" t="s">
        <v>11</v>
      </c>
      <c r="AG38" s="26" t="s">
        <v>3</v>
      </c>
      <c r="AH38" s="8">
        <f t="shared" ref="AH38:AH74" si="16">COUNTIF(D38:AG38,"ON")</f>
        <v>18</v>
      </c>
      <c r="AI38" s="8">
        <f t="shared" ref="AI38:AI74" si="17">COUNTIF(D38:AG38,"OFF")</f>
        <v>3</v>
      </c>
      <c r="AJ38" s="29">
        <f t="shared" ref="AJ38:AJ74" si="18">COUNTIF(D38:AG38,"OT")</f>
        <v>3</v>
      </c>
      <c r="AK38" s="62">
        <v>3</v>
      </c>
      <c r="AL38" s="33">
        <f t="shared" ref="AL38:AL74" si="19">AH38+AJ38+AK38*0.5</f>
        <v>22.5</v>
      </c>
      <c r="AM38" s="63">
        <f t="shared" ref="AM38:AM74" si="20">NETWORKDAYS(DATE(2025,6,1),EOMONTH(DATE(2025,6,1),0))*8</f>
        <v>168</v>
      </c>
      <c r="AN38" s="63">
        <f t="shared" ref="AN38:AN74" si="21">MAX(0,COUNTIF(I38,"ON")+COUNTIF(P38,"ON")+COUNTIF(W38,"ON")+COUNTIF(AD38,"ON")-AK38)</f>
        <v>1</v>
      </c>
      <c r="AO38" s="63">
        <f t="shared" ref="AO38:AO74" si="22">AN38*$AO$2</f>
        <v>4</v>
      </c>
      <c r="AP38" s="53">
        <f t="shared" ref="AP38:AP74" si="23">AL38-AO38/8</f>
        <v>22</v>
      </c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</row>
    <row r="39" spans="1:55" ht="22" customHeight="1" x14ac:dyDescent="0.35">
      <c r="A39" s="8" t="s">
        <v>105</v>
      </c>
      <c r="B39" s="8" t="s">
        <v>106</v>
      </c>
      <c r="C39" s="8" t="s">
        <v>104</v>
      </c>
      <c r="D39" s="28" t="s">
        <v>11</v>
      </c>
      <c r="E39" s="26" t="s">
        <v>3</v>
      </c>
      <c r="F39" s="26" t="s">
        <v>3</v>
      </c>
      <c r="G39" s="26" t="s">
        <v>3</v>
      </c>
      <c r="H39" s="26" t="s">
        <v>3</v>
      </c>
      <c r="I39" s="26" t="s">
        <v>3</v>
      </c>
      <c r="J39" s="23" t="s">
        <v>7</v>
      </c>
      <c r="K39" s="24" t="s">
        <v>9</v>
      </c>
      <c r="L39" s="22" t="s">
        <v>5</v>
      </c>
      <c r="M39" s="22" t="s">
        <v>5</v>
      </c>
      <c r="N39" s="22" t="s">
        <v>5</v>
      </c>
      <c r="O39" s="26" t="s">
        <v>3</v>
      </c>
      <c r="P39" s="26" t="s">
        <v>3</v>
      </c>
      <c r="Q39" s="27" t="s">
        <v>7</v>
      </c>
      <c r="R39" s="28" t="s">
        <v>11</v>
      </c>
      <c r="S39" s="26" t="s">
        <v>3</v>
      </c>
      <c r="T39" s="26" t="s">
        <v>3</v>
      </c>
      <c r="U39" s="26" t="s">
        <v>3</v>
      </c>
      <c r="V39" s="22" t="s">
        <v>5</v>
      </c>
      <c r="W39" s="22" t="s">
        <v>5</v>
      </c>
      <c r="X39" s="27" t="s">
        <v>7</v>
      </c>
      <c r="Y39" s="28" t="s">
        <v>11</v>
      </c>
      <c r="Z39" s="26" t="s">
        <v>3</v>
      </c>
      <c r="AA39" s="26" t="s">
        <v>3</v>
      </c>
      <c r="AB39" s="26" t="s">
        <v>3</v>
      </c>
      <c r="AC39" s="26" t="s">
        <v>3</v>
      </c>
      <c r="AD39" s="26" t="s">
        <v>3</v>
      </c>
      <c r="AE39" s="27" t="s">
        <v>7</v>
      </c>
      <c r="AF39" s="28" t="s">
        <v>11</v>
      </c>
      <c r="AG39" s="26" t="s">
        <v>3</v>
      </c>
      <c r="AH39" s="8">
        <f t="shared" si="16"/>
        <v>16</v>
      </c>
      <c r="AI39" s="8">
        <f t="shared" si="17"/>
        <v>5</v>
      </c>
      <c r="AJ39" s="29">
        <f t="shared" si="18"/>
        <v>4</v>
      </c>
      <c r="AK39" s="62">
        <v>3</v>
      </c>
      <c r="AL39" s="33">
        <f t="shared" si="19"/>
        <v>21.5</v>
      </c>
      <c r="AM39" s="63">
        <f t="shared" si="20"/>
        <v>168</v>
      </c>
      <c r="AN39" s="63">
        <f t="shared" si="21"/>
        <v>0</v>
      </c>
      <c r="AO39" s="63">
        <f t="shared" si="22"/>
        <v>0</v>
      </c>
      <c r="AP39" s="53">
        <f t="shared" si="23"/>
        <v>21.5</v>
      </c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</row>
    <row r="40" spans="1:55" ht="22" customHeight="1" x14ac:dyDescent="0.35">
      <c r="A40" s="8" t="s">
        <v>107</v>
      </c>
      <c r="B40" s="8" t="s">
        <v>108</v>
      </c>
      <c r="C40" s="8" t="s">
        <v>104</v>
      </c>
      <c r="D40" s="28" t="s">
        <v>11</v>
      </c>
      <c r="E40" s="26" t="s">
        <v>3</v>
      </c>
      <c r="F40" s="26" t="s">
        <v>3</v>
      </c>
      <c r="G40" s="26" t="s">
        <v>3</v>
      </c>
      <c r="H40" s="26" t="s">
        <v>3</v>
      </c>
      <c r="I40" s="26" t="s">
        <v>3</v>
      </c>
      <c r="J40" s="27" t="s">
        <v>7</v>
      </c>
      <c r="K40" s="24" t="s">
        <v>9</v>
      </c>
      <c r="L40" s="22" t="s">
        <v>5</v>
      </c>
      <c r="M40" s="26" t="s">
        <v>3</v>
      </c>
      <c r="N40" s="26" t="s">
        <v>3</v>
      </c>
      <c r="O40" s="26" t="s">
        <v>3</v>
      </c>
      <c r="P40" s="26" t="s">
        <v>3</v>
      </c>
      <c r="Q40" s="23" t="s">
        <v>7</v>
      </c>
      <c r="R40" s="24" t="s">
        <v>9</v>
      </c>
      <c r="S40" s="26" t="s">
        <v>3</v>
      </c>
      <c r="T40" s="26" t="s">
        <v>3</v>
      </c>
      <c r="U40" s="26" t="s">
        <v>3</v>
      </c>
      <c r="V40" s="26" t="s">
        <v>3</v>
      </c>
      <c r="W40" s="26" t="s">
        <v>3</v>
      </c>
      <c r="X40" s="23" t="s">
        <v>7</v>
      </c>
      <c r="Y40" s="24" t="s">
        <v>9</v>
      </c>
      <c r="Z40" s="26" t="s">
        <v>3</v>
      </c>
      <c r="AA40" s="26" t="s">
        <v>3</v>
      </c>
      <c r="AB40" s="26" t="s">
        <v>3</v>
      </c>
      <c r="AC40" s="26" t="s">
        <v>3</v>
      </c>
      <c r="AD40" s="26" t="s">
        <v>3</v>
      </c>
      <c r="AE40" s="27" t="s">
        <v>7</v>
      </c>
      <c r="AF40" s="28" t="s">
        <v>11</v>
      </c>
      <c r="AG40" s="26" t="s">
        <v>3</v>
      </c>
      <c r="AH40" s="8">
        <f t="shared" si="16"/>
        <v>20</v>
      </c>
      <c r="AI40" s="8">
        <f t="shared" si="17"/>
        <v>1</v>
      </c>
      <c r="AJ40" s="29">
        <f t="shared" si="18"/>
        <v>2</v>
      </c>
      <c r="AK40" s="62">
        <v>2</v>
      </c>
      <c r="AL40" s="33">
        <f t="shared" si="19"/>
        <v>23</v>
      </c>
      <c r="AM40" s="63">
        <f t="shared" si="20"/>
        <v>168</v>
      </c>
      <c r="AN40" s="63">
        <f t="shared" si="21"/>
        <v>2</v>
      </c>
      <c r="AO40" s="63">
        <f t="shared" si="22"/>
        <v>8</v>
      </c>
      <c r="AP40" s="53">
        <f t="shared" si="23"/>
        <v>22</v>
      </c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</row>
    <row r="41" spans="1:55" ht="22" customHeight="1" x14ac:dyDescent="0.35">
      <c r="A41" s="8" t="s">
        <v>109</v>
      </c>
      <c r="B41" s="8" t="s">
        <v>110</v>
      </c>
      <c r="C41" s="8" t="s">
        <v>104</v>
      </c>
      <c r="D41" s="28" t="s">
        <v>11</v>
      </c>
      <c r="E41" s="26" t="s">
        <v>3</v>
      </c>
      <c r="F41" s="26" t="s">
        <v>3</v>
      </c>
      <c r="G41" s="26" t="s">
        <v>3</v>
      </c>
      <c r="H41" s="26" t="s">
        <v>3</v>
      </c>
      <c r="I41" s="26" t="s">
        <v>3</v>
      </c>
      <c r="J41" s="27" t="s">
        <v>7</v>
      </c>
      <c r="K41" s="28" t="s">
        <v>11</v>
      </c>
      <c r="L41" s="26" t="s">
        <v>3</v>
      </c>
      <c r="M41" s="26" t="s">
        <v>3</v>
      </c>
      <c r="N41" s="22" t="s">
        <v>5</v>
      </c>
      <c r="O41" s="26" t="s">
        <v>3</v>
      </c>
      <c r="P41" s="26" t="s">
        <v>3</v>
      </c>
      <c r="Q41" s="27" t="s">
        <v>7</v>
      </c>
      <c r="R41" s="28" t="s">
        <v>11</v>
      </c>
      <c r="S41" s="26" t="s">
        <v>3</v>
      </c>
      <c r="T41" s="26" t="s">
        <v>3</v>
      </c>
      <c r="U41" s="26" t="s">
        <v>3</v>
      </c>
      <c r="V41" s="26" t="s">
        <v>3</v>
      </c>
      <c r="W41" s="26" t="s">
        <v>3</v>
      </c>
      <c r="X41" s="27" t="s">
        <v>7</v>
      </c>
      <c r="Y41" s="28" t="s">
        <v>11</v>
      </c>
      <c r="Z41" s="26" t="s">
        <v>3</v>
      </c>
      <c r="AA41" s="26" t="s">
        <v>3</v>
      </c>
      <c r="AB41" s="26" t="s">
        <v>3</v>
      </c>
      <c r="AC41" s="26" t="s">
        <v>3</v>
      </c>
      <c r="AD41" s="26" t="s">
        <v>3</v>
      </c>
      <c r="AE41" s="27" t="s">
        <v>7</v>
      </c>
      <c r="AF41" s="28" t="s">
        <v>11</v>
      </c>
      <c r="AG41" s="26" t="s">
        <v>3</v>
      </c>
      <c r="AH41" s="8">
        <f t="shared" si="16"/>
        <v>20</v>
      </c>
      <c r="AI41" s="8">
        <f t="shared" si="17"/>
        <v>1</v>
      </c>
      <c r="AJ41" s="29">
        <f t="shared" si="18"/>
        <v>5</v>
      </c>
      <c r="AK41" s="62">
        <v>4</v>
      </c>
      <c r="AL41" s="33">
        <f t="shared" si="19"/>
        <v>27</v>
      </c>
      <c r="AM41" s="63">
        <f t="shared" si="20"/>
        <v>168</v>
      </c>
      <c r="AN41" s="63">
        <f t="shared" si="21"/>
        <v>0</v>
      </c>
      <c r="AO41" s="63">
        <f t="shared" si="22"/>
        <v>0</v>
      </c>
      <c r="AP41" s="53">
        <f t="shared" si="23"/>
        <v>27</v>
      </c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</row>
    <row r="42" spans="1:55" ht="22" customHeight="1" x14ac:dyDescent="0.35">
      <c r="A42" s="8" t="s">
        <v>111</v>
      </c>
      <c r="B42" s="8" t="s">
        <v>112</v>
      </c>
      <c r="C42" s="8" t="s">
        <v>104</v>
      </c>
      <c r="D42" s="24" t="s">
        <v>9</v>
      </c>
      <c r="E42" s="26" t="s">
        <v>3</v>
      </c>
      <c r="F42" s="26" t="s">
        <v>3</v>
      </c>
      <c r="G42" s="26" t="s">
        <v>3</v>
      </c>
      <c r="H42" s="26" t="s">
        <v>3</v>
      </c>
      <c r="I42" s="26" t="s">
        <v>3</v>
      </c>
      <c r="J42" s="23" t="s">
        <v>7</v>
      </c>
      <c r="K42" s="24" t="s">
        <v>9</v>
      </c>
      <c r="L42" s="26" t="s">
        <v>3</v>
      </c>
      <c r="M42" s="26" t="s">
        <v>3</v>
      </c>
      <c r="N42" s="26" t="s">
        <v>3</v>
      </c>
      <c r="O42" s="26" t="s">
        <v>3</v>
      </c>
      <c r="P42" s="26" t="s">
        <v>3</v>
      </c>
      <c r="Q42" s="27" t="s">
        <v>7</v>
      </c>
      <c r="R42" s="28" t="s">
        <v>11</v>
      </c>
      <c r="S42" s="26" t="s">
        <v>3</v>
      </c>
      <c r="T42" s="26" t="s">
        <v>3</v>
      </c>
      <c r="U42" s="26" t="s">
        <v>3</v>
      </c>
      <c r="V42" s="26" t="s">
        <v>3</v>
      </c>
      <c r="W42" s="26" t="s">
        <v>3</v>
      </c>
      <c r="X42" s="27" t="s">
        <v>7</v>
      </c>
      <c r="Y42" s="28" t="s">
        <v>11</v>
      </c>
      <c r="Z42" s="26" t="s">
        <v>3</v>
      </c>
      <c r="AA42" s="26" t="s">
        <v>3</v>
      </c>
      <c r="AB42" s="26" t="s">
        <v>3</v>
      </c>
      <c r="AC42" s="26" t="s">
        <v>3</v>
      </c>
      <c r="AD42" s="26" t="s">
        <v>3</v>
      </c>
      <c r="AE42" s="27" t="s">
        <v>7</v>
      </c>
      <c r="AF42" s="28" t="s">
        <v>11</v>
      </c>
      <c r="AG42" s="26" t="s">
        <v>3</v>
      </c>
      <c r="AH42" s="8">
        <f t="shared" si="16"/>
        <v>21</v>
      </c>
      <c r="AI42" s="8">
        <f t="shared" si="17"/>
        <v>0</v>
      </c>
      <c r="AJ42" s="29">
        <f t="shared" si="18"/>
        <v>3</v>
      </c>
      <c r="AK42" s="62">
        <v>3</v>
      </c>
      <c r="AL42" s="33">
        <f t="shared" si="19"/>
        <v>25.5</v>
      </c>
      <c r="AM42" s="63">
        <f t="shared" si="20"/>
        <v>168</v>
      </c>
      <c r="AN42" s="63">
        <f t="shared" si="21"/>
        <v>1</v>
      </c>
      <c r="AO42" s="63">
        <f t="shared" si="22"/>
        <v>4</v>
      </c>
      <c r="AP42" s="53">
        <f t="shared" si="23"/>
        <v>25</v>
      </c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</row>
    <row r="43" spans="1:55" ht="22" customHeight="1" x14ac:dyDescent="0.35">
      <c r="A43" s="8" t="s">
        <v>113</v>
      </c>
      <c r="B43" s="8" t="s">
        <v>114</v>
      </c>
      <c r="C43" s="8" t="s">
        <v>104</v>
      </c>
      <c r="D43" s="24" t="s">
        <v>9</v>
      </c>
      <c r="E43" s="26" t="s">
        <v>3</v>
      </c>
      <c r="F43" s="26" t="s">
        <v>3</v>
      </c>
      <c r="G43" s="26" t="s">
        <v>3</v>
      </c>
      <c r="H43" s="26" t="s">
        <v>3</v>
      </c>
      <c r="I43" s="26" t="s">
        <v>3</v>
      </c>
      <c r="J43" s="27" t="s">
        <v>7</v>
      </c>
      <c r="K43" s="24" t="s">
        <v>9</v>
      </c>
      <c r="L43" s="26" t="s">
        <v>3</v>
      </c>
      <c r="M43" s="26" t="s">
        <v>3</v>
      </c>
      <c r="N43" s="26" t="s">
        <v>3</v>
      </c>
      <c r="O43" s="26" t="s">
        <v>3</v>
      </c>
      <c r="P43" s="26" t="s">
        <v>3</v>
      </c>
      <c r="Q43" s="27" t="s">
        <v>7</v>
      </c>
      <c r="R43" s="28" t="s">
        <v>11</v>
      </c>
      <c r="S43" s="26" t="s">
        <v>3</v>
      </c>
      <c r="T43" s="26" t="s">
        <v>3</v>
      </c>
      <c r="U43" s="26" t="s">
        <v>3</v>
      </c>
      <c r="V43" s="26" t="s">
        <v>3</v>
      </c>
      <c r="W43" s="26" t="s">
        <v>3</v>
      </c>
      <c r="X43" s="27" t="s">
        <v>7</v>
      </c>
      <c r="Y43" s="28" t="s">
        <v>11</v>
      </c>
      <c r="Z43" s="26" t="s">
        <v>3</v>
      </c>
      <c r="AA43" s="26" t="s">
        <v>3</v>
      </c>
      <c r="AB43" s="26" t="s">
        <v>3</v>
      </c>
      <c r="AC43" s="26" t="s">
        <v>3</v>
      </c>
      <c r="AD43" s="26" t="s">
        <v>3</v>
      </c>
      <c r="AE43" s="23" t="s">
        <v>7</v>
      </c>
      <c r="AF43" s="24" t="s">
        <v>9</v>
      </c>
      <c r="AG43" s="26" t="s">
        <v>3</v>
      </c>
      <c r="AH43" s="8">
        <f t="shared" si="16"/>
        <v>21</v>
      </c>
      <c r="AI43" s="8">
        <f t="shared" si="17"/>
        <v>0</v>
      </c>
      <c r="AJ43" s="29">
        <f t="shared" si="18"/>
        <v>2</v>
      </c>
      <c r="AK43" s="62">
        <v>3</v>
      </c>
      <c r="AL43" s="33">
        <f t="shared" si="19"/>
        <v>24.5</v>
      </c>
      <c r="AM43" s="63">
        <f t="shared" si="20"/>
        <v>168</v>
      </c>
      <c r="AN43" s="63">
        <f t="shared" si="21"/>
        <v>1</v>
      </c>
      <c r="AO43" s="63">
        <f t="shared" si="22"/>
        <v>4</v>
      </c>
      <c r="AP43" s="53">
        <f t="shared" si="23"/>
        <v>24</v>
      </c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</row>
    <row r="44" spans="1:55" ht="22" customHeight="1" x14ac:dyDescent="0.35">
      <c r="A44" s="8" t="s">
        <v>115</v>
      </c>
      <c r="B44" s="8" t="s">
        <v>116</v>
      </c>
      <c r="C44" s="8" t="s">
        <v>104</v>
      </c>
      <c r="D44" s="28" t="s">
        <v>11</v>
      </c>
      <c r="E44" s="26" t="s">
        <v>3</v>
      </c>
      <c r="F44" s="26" t="s">
        <v>3</v>
      </c>
      <c r="G44" s="26" t="s">
        <v>3</v>
      </c>
      <c r="H44" s="26" t="s">
        <v>3</v>
      </c>
      <c r="I44" s="26" t="s">
        <v>3</v>
      </c>
      <c r="J44" s="27" t="s">
        <v>7</v>
      </c>
      <c r="K44" s="28" t="s">
        <v>11</v>
      </c>
      <c r="L44" s="26" t="s">
        <v>3</v>
      </c>
      <c r="M44" s="26" t="s">
        <v>3</v>
      </c>
      <c r="N44" s="26" t="s">
        <v>3</v>
      </c>
      <c r="O44" s="26" t="s">
        <v>3</v>
      </c>
      <c r="P44" s="26" t="s">
        <v>3</v>
      </c>
      <c r="Q44" s="27" t="s">
        <v>7</v>
      </c>
      <c r="R44" s="28" t="s">
        <v>11</v>
      </c>
      <c r="S44" s="26" t="s">
        <v>3</v>
      </c>
      <c r="T44" s="26" t="s">
        <v>3</v>
      </c>
      <c r="U44" s="26" t="s">
        <v>3</v>
      </c>
      <c r="V44" s="22" t="s">
        <v>5</v>
      </c>
      <c r="W44" s="22" t="s">
        <v>5</v>
      </c>
      <c r="X44" s="27" t="s">
        <v>7</v>
      </c>
      <c r="Y44" s="28" t="s">
        <v>11</v>
      </c>
      <c r="Z44" s="26" t="s">
        <v>3</v>
      </c>
      <c r="AA44" s="26" t="s">
        <v>3</v>
      </c>
      <c r="AB44" s="26" t="s">
        <v>3</v>
      </c>
      <c r="AC44" s="26" t="s">
        <v>3</v>
      </c>
      <c r="AD44" s="26" t="s">
        <v>3</v>
      </c>
      <c r="AE44" s="27" t="s">
        <v>7</v>
      </c>
      <c r="AF44" s="28" t="s">
        <v>11</v>
      </c>
      <c r="AG44" s="22" t="s">
        <v>5</v>
      </c>
      <c r="AH44" s="8">
        <f t="shared" si="16"/>
        <v>18</v>
      </c>
      <c r="AI44" s="8">
        <f t="shared" si="17"/>
        <v>3</v>
      </c>
      <c r="AJ44" s="29">
        <f t="shared" si="18"/>
        <v>5</v>
      </c>
      <c r="AK44" s="62">
        <v>4</v>
      </c>
      <c r="AL44" s="33">
        <f t="shared" si="19"/>
        <v>25</v>
      </c>
      <c r="AM44" s="63">
        <f t="shared" si="20"/>
        <v>168</v>
      </c>
      <c r="AN44" s="63">
        <f t="shared" si="21"/>
        <v>0</v>
      </c>
      <c r="AO44" s="63">
        <f t="shared" si="22"/>
        <v>0</v>
      </c>
      <c r="AP44" s="53">
        <f t="shared" si="23"/>
        <v>25</v>
      </c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</row>
    <row r="45" spans="1:55" ht="22" customHeight="1" x14ac:dyDescent="0.35">
      <c r="A45" s="8" t="s">
        <v>117</v>
      </c>
      <c r="B45" s="8" t="s">
        <v>118</v>
      </c>
      <c r="C45" s="8" t="s">
        <v>104</v>
      </c>
      <c r="D45" s="24" t="s">
        <v>9</v>
      </c>
      <c r="E45" s="22" t="s">
        <v>5</v>
      </c>
      <c r="F45" s="26" t="s">
        <v>3</v>
      </c>
      <c r="G45" s="26" t="s">
        <v>3</v>
      </c>
      <c r="H45" s="26" t="s">
        <v>3</v>
      </c>
      <c r="I45" s="26" t="s">
        <v>3</v>
      </c>
      <c r="J45" s="27" t="s">
        <v>7</v>
      </c>
      <c r="K45" s="28" t="s">
        <v>11</v>
      </c>
      <c r="L45" s="26" t="s">
        <v>3</v>
      </c>
      <c r="M45" s="26" t="s">
        <v>3</v>
      </c>
      <c r="N45" s="26" t="s">
        <v>3</v>
      </c>
      <c r="O45" s="26" t="s">
        <v>3</v>
      </c>
      <c r="P45" s="26" t="s">
        <v>3</v>
      </c>
      <c r="Q45" s="27" t="s">
        <v>7</v>
      </c>
      <c r="R45" s="28" t="s">
        <v>11</v>
      </c>
      <c r="S45" s="26" t="s">
        <v>3</v>
      </c>
      <c r="T45" s="26" t="s">
        <v>3</v>
      </c>
      <c r="U45" s="26" t="s">
        <v>3</v>
      </c>
      <c r="V45" s="26" t="s">
        <v>3</v>
      </c>
      <c r="W45" s="26" t="s">
        <v>3</v>
      </c>
      <c r="X45" s="27" t="s">
        <v>7</v>
      </c>
      <c r="Y45" s="28" t="s">
        <v>11</v>
      </c>
      <c r="Z45" s="26" t="s">
        <v>3</v>
      </c>
      <c r="AA45" s="26" t="s">
        <v>3</v>
      </c>
      <c r="AB45" s="26" t="s">
        <v>3</v>
      </c>
      <c r="AC45" s="26" t="s">
        <v>3</v>
      </c>
      <c r="AD45" s="26" t="s">
        <v>3</v>
      </c>
      <c r="AE45" s="27" t="s">
        <v>7</v>
      </c>
      <c r="AF45" s="28" t="s">
        <v>11</v>
      </c>
      <c r="AG45" s="26" t="s">
        <v>3</v>
      </c>
      <c r="AH45" s="8">
        <f t="shared" si="16"/>
        <v>20</v>
      </c>
      <c r="AI45" s="8">
        <f t="shared" si="17"/>
        <v>1</v>
      </c>
      <c r="AJ45" s="29">
        <f t="shared" si="18"/>
        <v>4</v>
      </c>
      <c r="AK45" s="62">
        <v>4</v>
      </c>
      <c r="AL45" s="33">
        <f t="shared" si="19"/>
        <v>26</v>
      </c>
      <c r="AM45" s="63">
        <f t="shared" si="20"/>
        <v>168</v>
      </c>
      <c r="AN45" s="63">
        <f t="shared" si="21"/>
        <v>0</v>
      </c>
      <c r="AO45" s="63">
        <f t="shared" si="22"/>
        <v>0</v>
      </c>
      <c r="AP45" s="53">
        <f t="shared" si="23"/>
        <v>26</v>
      </c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</row>
    <row r="46" spans="1:55" ht="22" customHeight="1" x14ac:dyDescent="0.35">
      <c r="A46" s="8" t="s">
        <v>119</v>
      </c>
      <c r="B46" s="8" t="s">
        <v>120</v>
      </c>
      <c r="C46" s="8" t="s">
        <v>104</v>
      </c>
      <c r="D46" s="28" t="s">
        <v>11</v>
      </c>
      <c r="E46" s="26" t="s">
        <v>3</v>
      </c>
      <c r="F46" s="26" t="s">
        <v>3</v>
      </c>
      <c r="G46" s="26" t="s">
        <v>3</v>
      </c>
      <c r="H46" s="26" t="s">
        <v>3</v>
      </c>
      <c r="I46" s="26" t="s">
        <v>3</v>
      </c>
      <c r="J46" s="27" t="s">
        <v>7</v>
      </c>
      <c r="K46" s="28" t="s">
        <v>11</v>
      </c>
      <c r="L46" s="26" t="s">
        <v>3</v>
      </c>
      <c r="M46" s="26" t="s">
        <v>3</v>
      </c>
      <c r="N46" s="26" t="s">
        <v>3</v>
      </c>
      <c r="O46" s="26" t="s">
        <v>3</v>
      </c>
      <c r="P46" s="26" t="s">
        <v>3</v>
      </c>
      <c r="Q46" s="27" t="s">
        <v>7</v>
      </c>
      <c r="R46" s="28" t="s">
        <v>11</v>
      </c>
      <c r="S46" s="26" t="s">
        <v>3</v>
      </c>
      <c r="T46" s="26" t="s">
        <v>3</v>
      </c>
      <c r="U46" s="26" t="s">
        <v>3</v>
      </c>
      <c r="V46" s="26" t="s">
        <v>3</v>
      </c>
      <c r="W46" s="26" t="s">
        <v>3</v>
      </c>
      <c r="X46" s="27" t="s">
        <v>7</v>
      </c>
      <c r="Y46" s="28" t="s">
        <v>11</v>
      </c>
      <c r="Z46" s="26" t="s">
        <v>3</v>
      </c>
      <c r="AA46" s="26" t="s">
        <v>3</v>
      </c>
      <c r="AB46" s="26" t="s">
        <v>3</v>
      </c>
      <c r="AC46" s="26" t="s">
        <v>3</v>
      </c>
      <c r="AD46" s="26" t="s">
        <v>3</v>
      </c>
      <c r="AE46" s="27" t="s">
        <v>7</v>
      </c>
      <c r="AF46" s="28" t="s">
        <v>11</v>
      </c>
      <c r="AG46" s="26" t="s">
        <v>3</v>
      </c>
      <c r="AH46" s="8">
        <f t="shared" si="16"/>
        <v>21</v>
      </c>
      <c r="AI46" s="8">
        <f t="shared" si="17"/>
        <v>0</v>
      </c>
      <c r="AJ46" s="29">
        <f t="shared" si="18"/>
        <v>5</v>
      </c>
      <c r="AK46" s="62">
        <v>4</v>
      </c>
      <c r="AL46" s="33">
        <f t="shared" si="19"/>
        <v>28</v>
      </c>
      <c r="AM46" s="63">
        <f t="shared" si="20"/>
        <v>168</v>
      </c>
      <c r="AN46" s="63">
        <f t="shared" si="21"/>
        <v>0</v>
      </c>
      <c r="AO46" s="63">
        <f t="shared" si="22"/>
        <v>0</v>
      </c>
      <c r="AP46" s="53">
        <f t="shared" si="23"/>
        <v>28</v>
      </c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</row>
    <row r="47" spans="1:55" ht="22" customHeight="1" x14ac:dyDescent="0.35">
      <c r="A47" s="8" t="s">
        <v>121</v>
      </c>
      <c r="B47" s="8" t="s">
        <v>122</v>
      </c>
      <c r="C47" s="8" t="s">
        <v>104</v>
      </c>
      <c r="D47" s="28" t="s">
        <v>11</v>
      </c>
      <c r="E47" s="26" t="s">
        <v>3</v>
      </c>
      <c r="F47" s="26" t="s">
        <v>3</v>
      </c>
      <c r="G47" s="26" t="s">
        <v>3</v>
      </c>
      <c r="H47" s="26" t="s">
        <v>3</v>
      </c>
      <c r="I47" s="26" t="s">
        <v>3</v>
      </c>
      <c r="J47" s="23" t="s">
        <v>7</v>
      </c>
      <c r="K47" s="24" t="s">
        <v>9</v>
      </c>
      <c r="L47" s="22" t="s">
        <v>5</v>
      </c>
      <c r="M47" s="22" t="s">
        <v>5</v>
      </c>
      <c r="N47" s="22" t="s">
        <v>5</v>
      </c>
      <c r="O47" s="22" t="s">
        <v>5</v>
      </c>
      <c r="P47" s="22" t="s">
        <v>5</v>
      </c>
      <c r="Q47" s="23" t="s">
        <v>7</v>
      </c>
      <c r="R47" s="24" t="s">
        <v>9</v>
      </c>
      <c r="S47" s="26" t="s">
        <v>3</v>
      </c>
      <c r="T47" s="26" t="s">
        <v>3</v>
      </c>
      <c r="U47" s="26" t="s">
        <v>3</v>
      </c>
      <c r="V47" s="26" t="s">
        <v>3</v>
      </c>
      <c r="W47" s="26" t="s">
        <v>3</v>
      </c>
      <c r="X47" s="27" t="s">
        <v>7</v>
      </c>
      <c r="Y47" s="28" t="s">
        <v>11</v>
      </c>
      <c r="Z47" s="26" t="s">
        <v>3</v>
      </c>
      <c r="AA47" s="26" t="s">
        <v>3</v>
      </c>
      <c r="AB47" s="26" t="s">
        <v>3</v>
      </c>
      <c r="AC47" s="26" t="s">
        <v>3</v>
      </c>
      <c r="AD47" s="26" t="s">
        <v>3</v>
      </c>
      <c r="AE47" s="27" t="s">
        <v>7</v>
      </c>
      <c r="AF47" s="28" t="s">
        <v>11</v>
      </c>
      <c r="AG47" s="26" t="s">
        <v>3</v>
      </c>
      <c r="AH47" s="8">
        <f t="shared" si="16"/>
        <v>16</v>
      </c>
      <c r="AI47" s="8">
        <f t="shared" si="17"/>
        <v>5</v>
      </c>
      <c r="AJ47" s="29">
        <f t="shared" si="18"/>
        <v>3</v>
      </c>
      <c r="AK47" s="62">
        <v>2</v>
      </c>
      <c r="AL47" s="33">
        <f t="shared" si="19"/>
        <v>20</v>
      </c>
      <c r="AM47" s="63">
        <f t="shared" si="20"/>
        <v>168</v>
      </c>
      <c r="AN47" s="63">
        <f t="shared" si="21"/>
        <v>1</v>
      </c>
      <c r="AO47" s="63">
        <f t="shared" si="22"/>
        <v>4</v>
      </c>
      <c r="AP47" s="53">
        <f t="shared" si="23"/>
        <v>19.5</v>
      </c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</row>
    <row r="48" spans="1:55" ht="22" customHeight="1" x14ac:dyDescent="0.35">
      <c r="A48" s="8" t="s">
        <v>123</v>
      </c>
      <c r="B48" s="8" t="s">
        <v>124</v>
      </c>
      <c r="C48" s="8" t="s">
        <v>104</v>
      </c>
      <c r="D48" s="28" t="s">
        <v>11</v>
      </c>
      <c r="E48" s="26" t="s">
        <v>3</v>
      </c>
      <c r="F48" s="26" t="s">
        <v>3</v>
      </c>
      <c r="G48" s="26" t="s">
        <v>3</v>
      </c>
      <c r="H48" s="26" t="s">
        <v>3</v>
      </c>
      <c r="I48" s="26" t="s">
        <v>3</v>
      </c>
      <c r="J48" s="27" t="s">
        <v>7</v>
      </c>
      <c r="K48" s="24" t="s">
        <v>9</v>
      </c>
      <c r="L48" s="26" t="s">
        <v>3</v>
      </c>
      <c r="M48" s="26" t="s">
        <v>3</v>
      </c>
      <c r="N48" s="26" t="s">
        <v>3</v>
      </c>
      <c r="O48" s="26" t="s">
        <v>3</v>
      </c>
      <c r="P48" s="26" t="s">
        <v>3</v>
      </c>
      <c r="Q48" s="27" t="s">
        <v>7</v>
      </c>
      <c r="R48" s="28" t="s">
        <v>11</v>
      </c>
      <c r="S48" s="26" t="s">
        <v>3</v>
      </c>
      <c r="T48" s="26" t="s">
        <v>3</v>
      </c>
      <c r="U48" s="26" t="s">
        <v>3</v>
      </c>
      <c r="V48" s="26" t="s">
        <v>3</v>
      </c>
      <c r="W48" s="26" t="s">
        <v>3</v>
      </c>
      <c r="X48" s="27" t="s">
        <v>7</v>
      </c>
      <c r="Y48" s="28" t="s">
        <v>11</v>
      </c>
      <c r="Z48" s="26" t="s">
        <v>3</v>
      </c>
      <c r="AA48" s="26" t="s">
        <v>3</v>
      </c>
      <c r="AB48" s="26" t="s">
        <v>3</v>
      </c>
      <c r="AC48" s="26" t="s">
        <v>3</v>
      </c>
      <c r="AD48" s="26" t="s">
        <v>3</v>
      </c>
      <c r="AE48" s="27" t="s">
        <v>7</v>
      </c>
      <c r="AF48" s="28" t="s">
        <v>11</v>
      </c>
      <c r="AG48" s="26" t="s">
        <v>3</v>
      </c>
      <c r="AH48" s="8">
        <f t="shared" si="16"/>
        <v>21</v>
      </c>
      <c r="AI48" s="8">
        <f t="shared" si="17"/>
        <v>0</v>
      </c>
      <c r="AJ48" s="29">
        <f t="shared" si="18"/>
        <v>4</v>
      </c>
      <c r="AK48" s="62">
        <v>4</v>
      </c>
      <c r="AL48" s="33">
        <f t="shared" si="19"/>
        <v>27</v>
      </c>
      <c r="AM48" s="63">
        <f t="shared" si="20"/>
        <v>168</v>
      </c>
      <c r="AN48" s="63">
        <f t="shared" si="21"/>
        <v>0</v>
      </c>
      <c r="AO48" s="63">
        <f t="shared" si="22"/>
        <v>0</v>
      </c>
      <c r="AP48" s="53">
        <f t="shared" si="23"/>
        <v>27</v>
      </c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</row>
    <row r="49" spans="1:55" ht="22" customHeight="1" x14ac:dyDescent="0.35">
      <c r="A49" s="8" t="s">
        <v>125</v>
      </c>
      <c r="B49" s="8" t="s">
        <v>126</v>
      </c>
      <c r="C49" s="8" t="s">
        <v>104</v>
      </c>
      <c r="D49" s="28" t="s">
        <v>11</v>
      </c>
      <c r="E49" s="26" t="s">
        <v>3</v>
      </c>
      <c r="F49" s="26" t="s">
        <v>3</v>
      </c>
      <c r="G49" s="26" t="s">
        <v>3</v>
      </c>
      <c r="H49" s="26" t="s">
        <v>3</v>
      </c>
      <c r="I49" s="26" t="s">
        <v>3</v>
      </c>
      <c r="J49" s="27" t="s">
        <v>7</v>
      </c>
      <c r="K49" s="28" t="s">
        <v>11</v>
      </c>
      <c r="L49" s="26" t="s">
        <v>3</v>
      </c>
      <c r="M49" s="26" t="s">
        <v>3</v>
      </c>
      <c r="N49" s="26" t="s">
        <v>3</v>
      </c>
      <c r="O49" s="26" t="s">
        <v>3</v>
      </c>
      <c r="P49" s="26" t="s">
        <v>3</v>
      </c>
      <c r="Q49" s="27" t="s">
        <v>7</v>
      </c>
      <c r="R49" s="28" t="s">
        <v>11</v>
      </c>
      <c r="S49" s="26" t="s">
        <v>3</v>
      </c>
      <c r="T49" s="26" t="s">
        <v>3</v>
      </c>
      <c r="U49" s="26" t="s">
        <v>3</v>
      </c>
      <c r="V49" s="26" t="s">
        <v>3</v>
      </c>
      <c r="W49" s="26" t="s">
        <v>3</v>
      </c>
      <c r="X49" s="27" t="s">
        <v>7</v>
      </c>
      <c r="Y49" s="28" t="s">
        <v>11</v>
      </c>
      <c r="Z49" s="26" t="s">
        <v>3</v>
      </c>
      <c r="AA49" s="26" t="s">
        <v>3</v>
      </c>
      <c r="AB49" s="26" t="s">
        <v>3</v>
      </c>
      <c r="AC49" s="26" t="s">
        <v>3</v>
      </c>
      <c r="AD49" s="26" t="s">
        <v>3</v>
      </c>
      <c r="AE49" s="23" t="s">
        <v>7</v>
      </c>
      <c r="AF49" s="24" t="s">
        <v>9</v>
      </c>
      <c r="AG49" s="26" t="s">
        <v>3</v>
      </c>
      <c r="AH49" s="8">
        <f t="shared" si="16"/>
        <v>21</v>
      </c>
      <c r="AI49" s="8">
        <f t="shared" si="17"/>
        <v>0</v>
      </c>
      <c r="AJ49" s="29">
        <f t="shared" si="18"/>
        <v>4</v>
      </c>
      <c r="AK49" s="62">
        <v>3</v>
      </c>
      <c r="AL49" s="33">
        <f t="shared" si="19"/>
        <v>26.5</v>
      </c>
      <c r="AM49" s="63">
        <f t="shared" si="20"/>
        <v>168</v>
      </c>
      <c r="AN49" s="63">
        <f t="shared" si="21"/>
        <v>1</v>
      </c>
      <c r="AO49" s="63">
        <f t="shared" si="22"/>
        <v>4</v>
      </c>
      <c r="AP49" s="53">
        <f t="shared" si="23"/>
        <v>26</v>
      </c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</row>
    <row r="50" spans="1:55" ht="22" customHeight="1" x14ac:dyDescent="0.35">
      <c r="A50" s="8" t="s">
        <v>127</v>
      </c>
      <c r="B50" s="8" t="s">
        <v>128</v>
      </c>
      <c r="C50" s="8" t="s">
        <v>104</v>
      </c>
      <c r="D50" s="28" t="s">
        <v>11</v>
      </c>
      <c r="E50" s="26" t="s">
        <v>3</v>
      </c>
      <c r="F50" s="26" t="s">
        <v>3</v>
      </c>
      <c r="G50" s="26" t="s">
        <v>3</v>
      </c>
      <c r="H50" s="26" t="s">
        <v>3</v>
      </c>
      <c r="I50" s="26" t="s">
        <v>3</v>
      </c>
      <c r="J50" s="27" t="s">
        <v>7</v>
      </c>
      <c r="K50" s="28" t="s">
        <v>11</v>
      </c>
      <c r="L50" s="26" t="s">
        <v>3</v>
      </c>
      <c r="M50" s="26" t="s">
        <v>3</v>
      </c>
      <c r="N50" s="26" t="s">
        <v>3</v>
      </c>
      <c r="O50" s="22" t="s">
        <v>5</v>
      </c>
      <c r="P50" s="22" t="s">
        <v>5</v>
      </c>
      <c r="Q50" s="23" t="s">
        <v>7</v>
      </c>
      <c r="R50" s="24" t="s">
        <v>9</v>
      </c>
      <c r="S50" s="22" t="s">
        <v>5</v>
      </c>
      <c r="T50" s="22" t="s">
        <v>5</v>
      </c>
      <c r="U50" s="22" t="s">
        <v>5</v>
      </c>
      <c r="V50" s="26" t="s">
        <v>3</v>
      </c>
      <c r="W50" s="26" t="s">
        <v>3</v>
      </c>
      <c r="X50" s="23" t="s">
        <v>7</v>
      </c>
      <c r="Y50" s="24" t="s">
        <v>9</v>
      </c>
      <c r="Z50" s="22" t="s">
        <v>5</v>
      </c>
      <c r="AA50" s="22" t="s">
        <v>5</v>
      </c>
      <c r="AB50" s="22" t="s">
        <v>5</v>
      </c>
      <c r="AC50" s="26" t="s">
        <v>3</v>
      </c>
      <c r="AD50" s="26" t="s">
        <v>3</v>
      </c>
      <c r="AE50" s="27" t="s">
        <v>7</v>
      </c>
      <c r="AF50" s="28" t="s">
        <v>11</v>
      </c>
      <c r="AG50" s="26" t="s">
        <v>3</v>
      </c>
      <c r="AH50" s="8">
        <f t="shared" si="16"/>
        <v>13</v>
      </c>
      <c r="AI50" s="8">
        <f t="shared" si="17"/>
        <v>8</v>
      </c>
      <c r="AJ50" s="29">
        <f t="shared" si="18"/>
        <v>3</v>
      </c>
      <c r="AK50" s="62">
        <v>2</v>
      </c>
      <c r="AL50" s="33">
        <f t="shared" si="19"/>
        <v>17</v>
      </c>
      <c r="AM50" s="63">
        <f t="shared" si="20"/>
        <v>168</v>
      </c>
      <c r="AN50" s="63">
        <f t="shared" si="21"/>
        <v>1</v>
      </c>
      <c r="AO50" s="63">
        <f t="shared" si="22"/>
        <v>4</v>
      </c>
      <c r="AP50" s="53">
        <f t="shared" si="23"/>
        <v>16.5</v>
      </c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</row>
    <row r="51" spans="1:55" ht="22" customHeight="1" x14ac:dyDescent="0.35">
      <c r="A51" s="8" t="s">
        <v>129</v>
      </c>
      <c r="B51" s="8" t="s">
        <v>130</v>
      </c>
      <c r="C51" s="8" t="s">
        <v>104</v>
      </c>
      <c r="D51" s="28" t="s">
        <v>11</v>
      </c>
      <c r="E51" s="26" t="s">
        <v>3</v>
      </c>
      <c r="F51" s="26" t="s">
        <v>3</v>
      </c>
      <c r="G51" s="26" t="s">
        <v>3</v>
      </c>
      <c r="H51" s="26" t="s">
        <v>3</v>
      </c>
      <c r="I51" s="26" t="s">
        <v>3</v>
      </c>
      <c r="J51" s="23" t="s">
        <v>7</v>
      </c>
      <c r="K51" s="24" t="s">
        <v>9</v>
      </c>
      <c r="L51" s="22" t="s">
        <v>5</v>
      </c>
      <c r="M51" s="22" t="s">
        <v>5</v>
      </c>
      <c r="N51" s="22" t="s">
        <v>5</v>
      </c>
      <c r="O51" s="26" t="s">
        <v>3</v>
      </c>
      <c r="P51" s="26" t="s">
        <v>3</v>
      </c>
      <c r="Q51" s="27" t="s">
        <v>7</v>
      </c>
      <c r="R51" s="28" t="s">
        <v>11</v>
      </c>
      <c r="S51" s="26" t="s">
        <v>3</v>
      </c>
      <c r="T51" s="26" t="s">
        <v>3</v>
      </c>
      <c r="U51" s="26" t="s">
        <v>3</v>
      </c>
      <c r="V51" s="26" t="s">
        <v>3</v>
      </c>
      <c r="W51" s="26" t="s">
        <v>3</v>
      </c>
      <c r="X51" s="27" t="s">
        <v>7</v>
      </c>
      <c r="Y51" s="28" t="s">
        <v>11</v>
      </c>
      <c r="Z51" s="26" t="s">
        <v>3</v>
      </c>
      <c r="AA51" s="26" t="s">
        <v>3</v>
      </c>
      <c r="AB51" s="26" t="s">
        <v>3</v>
      </c>
      <c r="AC51" s="26" t="s">
        <v>3</v>
      </c>
      <c r="AD51" s="26" t="s">
        <v>3</v>
      </c>
      <c r="AE51" s="27" t="s">
        <v>7</v>
      </c>
      <c r="AF51" s="28" t="s">
        <v>11</v>
      </c>
      <c r="AG51" s="26" t="s">
        <v>3</v>
      </c>
      <c r="AH51" s="8">
        <f t="shared" si="16"/>
        <v>18</v>
      </c>
      <c r="AI51" s="8">
        <f t="shared" si="17"/>
        <v>3</v>
      </c>
      <c r="AJ51" s="29">
        <f t="shared" si="18"/>
        <v>4</v>
      </c>
      <c r="AK51" s="62">
        <v>3</v>
      </c>
      <c r="AL51" s="33">
        <f t="shared" si="19"/>
        <v>23.5</v>
      </c>
      <c r="AM51" s="63">
        <f t="shared" si="20"/>
        <v>168</v>
      </c>
      <c r="AN51" s="63">
        <f t="shared" si="21"/>
        <v>1</v>
      </c>
      <c r="AO51" s="63">
        <f t="shared" si="22"/>
        <v>4</v>
      </c>
      <c r="AP51" s="53">
        <f t="shared" si="23"/>
        <v>23</v>
      </c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</row>
    <row r="52" spans="1:55" ht="22" customHeight="1" x14ac:dyDescent="0.35">
      <c r="A52" s="8" t="s">
        <v>131</v>
      </c>
      <c r="B52" s="8" t="s">
        <v>132</v>
      </c>
      <c r="C52" s="8" t="s">
        <v>104</v>
      </c>
      <c r="D52" s="24" t="s">
        <v>9</v>
      </c>
      <c r="E52" s="22" t="s">
        <v>5</v>
      </c>
      <c r="F52" s="22" t="s">
        <v>5</v>
      </c>
      <c r="G52" s="22" t="s">
        <v>5</v>
      </c>
      <c r="H52" s="22" t="s">
        <v>5</v>
      </c>
      <c r="I52" s="22" t="s">
        <v>5</v>
      </c>
      <c r="J52" s="23" t="s">
        <v>7</v>
      </c>
      <c r="K52" s="24" t="s">
        <v>9</v>
      </c>
      <c r="L52" s="22" t="s">
        <v>5</v>
      </c>
      <c r="M52" s="26" t="s">
        <v>3</v>
      </c>
      <c r="N52" s="26" t="s">
        <v>3</v>
      </c>
      <c r="O52" s="26" t="s">
        <v>3</v>
      </c>
      <c r="P52" s="26" t="s">
        <v>3</v>
      </c>
      <c r="Q52" s="27" t="s">
        <v>7</v>
      </c>
      <c r="R52" s="28" t="s">
        <v>11</v>
      </c>
      <c r="S52" s="26" t="s">
        <v>3</v>
      </c>
      <c r="T52" s="26" t="s">
        <v>3</v>
      </c>
      <c r="U52" s="26" t="s">
        <v>3</v>
      </c>
      <c r="V52" s="26" t="s">
        <v>3</v>
      </c>
      <c r="W52" s="26" t="s">
        <v>3</v>
      </c>
      <c r="X52" s="27" t="s">
        <v>7</v>
      </c>
      <c r="Y52" s="24" t="s">
        <v>9</v>
      </c>
      <c r="Z52" s="22" t="s">
        <v>5</v>
      </c>
      <c r="AA52" s="22" t="s">
        <v>5</v>
      </c>
      <c r="AB52" s="26" t="s">
        <v>3</v>
      </c>
      <c r="AC52" s="26" t="s">
        <v>3</v>
      </c>
      <c r="AD52" s="26" t="s">
        <v>3</v>
      </c>
      <c r="AE52" s="27" t="s">
        <v>7</v>
      </c>
      <c r="AF52" s="24" t="s">
        <v>9</v>
      </c>
      <c r="AG52" s="22" t="s">
        <v>5</v>
      </c>
      <c r="AH52" s="8">
        <f t="shared" si="16"/>
        <v>12</v>
      </c>
      <c r="AI52" s="8">
        <f t="shared" si="17"/>
        <v>9</v>
      </c>
      <c r="AJ52" s="29">
        <f t="shared" si="18"/>
        <v>1</v>
      </c>
      <c r="AK52" s="62">
        <v>3</v>
      </c>
      <c r="AL52" s="33">
        <f t="shared" si="19"/>
        <v>14.5</v>
      </c>
      <c r="AM52" s="63">
        <f t="shared" si="20"/>
        <v>168</v>
      </c>
      <c r="AN52" s="63">
        <f t="shared" si="21"/>
        <v>0</v>
      </c>
      <c r="AO52" s="63">
        <f t="shared" si="22"/>
        <v>0</v>
      </c>
      <c r="AP52" s="53">
        <f t="shared" si="23"/>
        <v>14.5</v>
      </c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</row>
    <row r="53" spans="1:55" ht="22" customHeight="1" x14ac:dyDescent="0.35">
      <c r="A53" s="8" t="s">
        <v>133</v>
      </c>
      <c r="B53" s="8" t="s">
        <v>134</v>
      </c>
      <c r="C53" s="8" t="s">
        <v>104</v>
      </c>
      <c r="D53" s="28" t="s">
        <v>11</v>
      </c>
      <c r="E53" s="26" t="s">
        <v>3</v>
      </c>
      <c r="F53" s="26" t="s">
        <v>3</v>
      </c>
      <c r="G53" s="26" t="s">
        <v>3</v>
      </c>
      <c r="H53" s="26" t="s">
        <v>3</v>
      </c>
      <c r="I53" s="26" t="s">
        <v>3</v>
      </c>
      <c r="J53" s="23" t="s">
        <v>7</v>
      </c>
      <c r="K53" s="24" t="s">
        <v>9</v>
      </c>
      <c r="L53" s="22" t="s">
        <v>5</v>
      </c>
      <c r="M53" s="22" t="s">
        <v>5</v>
      </c>
      <c r="N53" s="26" t="s">
        <v>3</v>
      </c>
      <c r="O53" s="26" t="s">
        <v>3</v>
      </c>
      <c r="P53" s="26" t="s">
        <v>3</v>
      </c>
      <c r="Q53" s="27" t="s">
        <v>7</v>
      </c>
      <c r="R53" s="28" t="s">
        <v>11</v>
      </c>
      <c r="S53" s="26" t="s">
        <v>3</v>
      </c>
      <c r="T53" s="26" t="s">
        <v>3</v>
      </c>
      <c r="U53" s="26" t="s">
        <v>3</v>
      </c>
      <c r="V53" s="26" t="s">
        <v>3</v>
      </c>
      <c r="W53" s="26" t="s">
        <v>3</v>
      </c>
      <c r="X53" s="27" t="s">
        <v>7</v>
      </c>
      <c r="Y53" s="28" t="s">
        <v>11</v>
      </c>
      <c r="Z53" s="26" t="s">
        <v>3</v>
      </c>
      <c r="AA53" s="26" t="s">
        <v>3</v>
      </c>
      <c r="AB53" s="26" t="s">
        <v>3</v>
      </c>
      <c r="AC53" s="22" t="s">
        <v>5</v>
      </c>
      <c r="AD53" s="22" t="s">
        <v>5</v>
      </c>
      <c r="AE53" s="23" t="s">
        <v>7</v>
      </c>
      <c r="AF53" s="24" t="s">
        <v>9</v>
      </c>
      <c r="AG53" s="26" t="s">
        <v>3</v>
      </c>
      <c r="AH53" s="8">
        <f t="shared" si="16"/>
        <v>17</v>
      </c>
      <c r="AI53" s="8">
        <f t="shared" si="17"/>
        <v>4</v>
      </c>
      <c r="AJ53" s="29">
        <f t="shared" si="18"/>
        <v>3</v>
      </c>
      <c r="AK53" s="62">
        <v>2</v>
      </c>
      <c r="AL53" s="33">
        <f t="shared" si="19"/>
        <v>21</v>
      </c>
      <c r="AM53" s="63">
        <f t="shared" si="20"/>
        <v>168</v>
      </c>
      <c r="AN53" s="63">
        <f t="shared" si="21"/>
        <v>1</v>
      </c>
      <c r="AO53" s="63">
        <f t="shared" si="22"/>
        <v>4</v>
      </c>
      <c r="AP53" s="53">
        <f t="shared" si="23"/>
        <v>20.5</v>
      </c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</row>
    <row r="54" spans="1:55" ht="22" customHeight="1" x14ac:dyDescent="0.35">
      <c r="A54" s="8" t="s">
        <v>135</v>
      </c>
      <c r="B54" s="8" t="s">
        <v>136</v>
      </c>
      <c r="C54" s="8" t="s">
        <v>104</v>
      </c>
      <c r="D54" s="28" t="s">
        <v>11</v>
      </c>
      <c r="E54" s="26" t="s">
        <v>3</v>
      </c>
      <c r="F54" s="26" t="s">
        <v>3</v>
      </c>
      <c r="G54" s="26" t="s">
        <v>3</v>
      </c>
      <c r="H54" s="26" t="s">
        <v>3</v>
      </c>
      <c r="I54" s="26" t="s">
        <v>3</v>
      </c>
      <c r="J54" s="23" t="s">
        <v>7</v>
      </c>
      <c r="K54" s="24" t="s">
        <v>9</v>
      </c>
      <c r="L54" s="26" t="s">
        <v>3</v>
      </c>
      <c r="M54" s="26" t="s">
        <v>3</v>
      </c>
      <c r="N54" s="26" t="s">
        <v>3</v>
      </c>
      <c r="O54" s="22" t="s">
        <v>5</v>
      </c>
      <c r="P54" s="22" t="s">
        <v>5</v>
      </c>
      <c r="Q54" s="27" t="s">
        <v>7</v>
      </c>
      <c r="R54" s="28" t="s">
        <v>11</v>
      </c>
      <c r="S54" s="26" t="s">
        <v>3</v>
      </c>
      <c r="T54" s="26" t="s">
        <v>3</v>
      </c>
      <c r="U54" s="26" t="s">
        <v>3</v>
      </c>
      <c r="V54" s="26" t="s">
        <v>3</v>
      </c>
      <c r="W54" s="22" t="s">
        <v>5</v>
      </c>
      <c r="X54" s="23" t="s">
        <v>7</v>
      </c>
      <c r="Y54" s="24" t="s">
        <v>9</v>
      </c>
      <c r="Z54" s="22" t="s">
        <v>5</v>
      </c>
      <c r="AA54" s="22" t="s">
        <v>5</v>
      </c>
      <c r="AB54" s="22" t="s">
        <v>5</v>
      </c>
      <c r="AC54" s="22" t="s">
        <v>5</v>
      </c>
      <c r="AD54" s="22" t="s">
        <v>5</v>
      </c>
      <c r="AE54" s="23" t="s">
        <v>7</v>
      </c>
      <c r="AF54" s="28" t="s">
        <v>11</v>
      </c>
      <c r="AG54" s="26" t="s">
        <v>3</v>
      </c>
      <c r="AH54" s="8">
        <f t="shared" si="16"/>
        <v>13</v>
      </c>
      <c r="AI54" s="8">
        <f t="shared" si="17"/>
        <v>8</v>
      </c>
      <c r="AJ54" s="29">
        <f t="shared" si="18"/>
        <v>3</v>
      </c>
      <c r="AK54" s="62">
        <v>1</v>
      </c>
      <c r="AL54" s="33">
        <f t="shared" si="19"/>
        <v>16.5</v>
      </c>
      <c r="AM54" s="63">
        <f t="shared" si="20"/>
        <v>168</v>
      </c>
      <c r="AN54" s="63">
        <f t="shared" si="21"/>
        <v>0</v>
      </c>
      <c r="AO54" s="63">
        <f t="shared" si="22"/>
        <v>0</v>
      </c>
      <c r="AP54" s="53">
        <f t="shared" si="23"/>
        <v>16.5</v>
      </c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</row>
    <row r="55" spans="1:55" ht="22" customHeight="1" x14ac:dyDescent="0.35">
      <c r="A55" s="8" t="s">
        <v>137</v>
      </c>
      <c r="B55" s="8" t="s">
        <v>138</v>
      </c>
      <c r="C55" s="8" t="s">
        <v>104</v>
      </c>
      <c r="D55" s="28" t="s">
        <v>11</v>
      </c>
      <c r="E55" s="26" t="s">
        <v>3</v>
      </c>
      <c r="F55" s="26" t="s">
        <v>3</v>
      </c>
      <c r="G55" s="26" t="s">
        <v>3</v>
      </c>
      <c r="H55" s="22" t="s">
        <v>5</v>
      </c>
      <c r="I55" s="22" t="s">
        <v>5</v>
      </c>
      <c r="J55" s="23" t="s">
        <v>7</v>
      </c>
      <c r="K55" s="28" t="s">
        <v>11</v>
      </c>
      <c r="L55" s="26" t="s">
        <v>3</v>
      </c>
      <c r="M55" s="26" t="s">
        <v>3</v>
      </c>
      <c r="N55" s="26" t="s">
        <v>3</v>
      </c>
      <c r="O55" s="26" t="s">
        <v>3</v>
      </c>
      <c r="P55" s="26" t="s">
        <v>3</v>
      </c>
      <c r="Q55" s="23" t="s">
        <v>7</v>
      </c>
      <c r="R55" s="28" t="s">
        <v>11</v>
      </c>
      <c r="S55" s="26" t="s">
        <v>3</v>
      </c>
      <c r="T55" s="26" t="s">
        <v>3</v>
      </c>
      <c r="U55" s="26" t="s">
        <v>3</v>
      </c>
      <c r="V55" s="26" t="s">
        <v>3</v>
      </c>
      <c r="W55" s="26" t="s">
        <v>3</v>
      </c>
      <c r="X55" s="27" t="s">
        <v>7</v>
      </c>
      <c r="Y55" s="28" t="s">
        <v>11</v>
      </c>
      <c r="Z55" s="26" t="s">
        <v>3</v>
      </c>
      <c r="AA55" s="26" t="s">
        <v>3</v>
      </c>
      <c r="AB55" s="22" t="s">
        <v>5</v>
      </c>
      <c r="AC55" s="22" t="s">
        <v>5</v>
      </c>
      <c r="AD55" s="22" t="s">
        <v>5</v>
      </c>
      <c r="AE55" s="23" t="s">
        <v>7</v>
      </c>
      <c r="AF55" s="28" t="s">
        <v>11</v>
      </c>
      <c r="AG55" s="26" t="s">
        <v>3</v>
      </c>
      <c r="AH55" s="8">
        <f t="shared" si="16"/>
        <v>16</v>
      </c>
      <c r="AI55" s="8">
        <f t="shared" si="17"/>
        <v>5</v>
      </c>
      <c r="AJ55" s="29">
        <f t="shared" si="18"/>
        <v>5</v>
      </c>
      <c r="AK55" s="62">
        <v>1</v>
      </c>
      <c r="AL55" s="33">
        <f t="shared" si="19"/>
        <v>21.5</v>
      </c>
      <c r="AM55" s="63">
        <f t="shared" si="20"/>
        <v>168</v>
      </c>
      <c r="AN55" s="63">
        <f t="shared" si="21"/>
        <v>1</v>
      </c>
      <c r="AO55" s="63">
        <f t="shared" si="22"/>
        <v>4</v>
      </c>
      <c r="AP55" s="53">
        <f t="shared" si="23"/>
        <v>21</v>
      </c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</row>
    <row r="56" spans="1:55" ht="22" customHeight="1" x14ac:dyDescent="0.35">
      <c r="A56" s="8" t="s">
        <v>139</v>
      </c>
      <c r="B56" s="8" t="s">
        <v>140</v>
      </c>
      <c r="C56" s="8" t="s">
        <v>104</v>
      </c>
      <c r="D56" s="28" t="s">
        <v>11</v>
      </c>
      <c r="E56" s="26" t="s">
        <v>3</v>
      </c>
      <c r="F56" s="26" t="s">
        <v>3</v>
      </c>
      <c r="G56" s="26" t="s">
        <v>3</v>
      </c>
      <c r="H56" s="26" t="s">
        <v>3</v>
      </c>
      <c r="I56" s="26" t="s">
        <v>3</v>
      </c>
      <c r="J56" s="23" t="s">
        <v>7</v>
      </c>
      <c r="K56" s="24" t="s">
        <v>9</v>
      </c>
      <c r="L56" s="26" t="s">
        <v>3</v>
      </c>
      <c r="M56" s="22" t="s">
        <v>5</v>
      </c>
      <c r="N56" s="22" t="s">
        <v>5</v>
      </c>
      <c r="O56" s="22" t="s">
        <v>5</v>
      </c>
      <c r="P56" s="22" t="s">
        <v>5</v>
      </c>
      <c r="Q56" s="23" t="s">
        <v>7</v>
      </c>
      <c r="R56" s="24" t="s">
        <v>9</v>
      </c>
      <c r="S56" s="22" t="s">
        <v>5</v>
      </c>
      <c r="T56" s="22" t="s">
        <v>5</v>
      </c>
      <c r="U56" s="22" t="s">
        <v>5</v>
      </c>
      <c r="V56" s="26" t="s">
        <v>3</v>
      </c>
      <c r="W56" s="26" t="s">
        <v>3</v>
      </c>
      <c r="X56" s="27" t="s">
        <v>7</v>
      </c>
      <c r="Y56" s="28" t="s">
        <v>11</v>
      </c>
      <c r="Z56" s="26" t="s">
        <v>3</v>
      </c>
      <c r="AA56" s="26" t="s">
        <v>3</v>
      </c>
      <c r="AB56" s="26" t="s">
        <v>3</v>
      </c>
      <c r="AC56" s="26" t="s">
        <v>3</v>
      </c>
      <c r="AD56" s="26" t="s">
        <v>3</v>
      </c>
      <c r="AE56" s="27" t="s">
        <v>7</v>
      </c>
      <c r="AF56" s="28" t="s">
        <v>11</v>
      </c>
      <c r="AG56" s="26" t="s">
        <v>3</v>
      </c>
      <c r="AH56" s="8">
        <f t="shared" si="16"/>
        <v>14</v>
      </c>
      <c r="AI56" s="8">
        <f t="shared" si="17"/>
        <v>7</v>
      </c>
      <c r="AJ56" s="29">
        <f t="shared" si="18"/>
        <v>3</v>
      </c>
      <c r="AK56" s="62">
        <v>2</v>
      </c>
      <c r="AL56" s="33">
        <f t="shared" si="19"/>
        <v>18</v>
      </c>
      <c r="AM56" s="63">
        <f t="shared" si="20"/>
        <v>168</v>
      </c>
      <c r="AN56" s="63">
        <f t="shared" si="21"/>
        <v>1</v>
      </c>
      <c r="AO56" s="63">
        <f t="shared" si="22"/>
        <v>4</v>
      </c>
      <c r="AP56" s="53">
        <f t="shared" si="23"/>
        <v>17.5</v>
      </c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</row>
    <row r="57" spans="1:55" ht="22" customHeight="1" x14ac:dyDescent="0.35">
      <c r="A57" s="8" t="s">
        <v>141</v>
      </c>
      <c r="B57" s="8" t="s">
        <v>142</v>
      </c>
      <c r="C57" s="8" t="s">
        <v>104</v>
      </c>
      <c r="D57" s="24" t="s">
        <v>9</v>
      </c>
      <c r="E57" s="26" t="s">
        <v>3</v>
      </c>
      <c r="F57" s="26" t="s">
        <v>3</v>
      </c>
      <c r="G57" s="26" t="s">
        <v>3</v>
      </c>
      <c r="H57" s="26" t="s">
        <v>3</v>
      </c>
      <c r="I57" s="26" t="s">
        <v>3</v>
      </c>
      <c r="J57" s="27" t="s">
        <v>7</v>
      </c>
      <c r="K57" s="28" t="s">
        <v>11</v>
      </c>
      <c r="L57" s="22" t="s">
        <v>5</v>
      </c>
      <c r="M57" s="22" t="s">
        <v>5</v>
      </c>
      <c r="N57" s="22" t="s">
        <v>5</v>
      </c>
      <c r="O57" s="26" t="s">
        <v>3</v>
      </c>
      <c r="P57" s="26" t="s">
        <v>3</v>
      </c>
      <c r="Q57" s="27" t="s">
        <v>7</v>
      </c>
      <c r="R57" s="28" t="s">
        <v>11</v>
      </c>
      <c r="S57" s="26" t="s">
        <v>3</v>
      </c>
      <c r="T57" s="26" t="s">
        <v>3</v>
      </c>
      <c r="U57" s="26" t="s">
        <v>3</v>
      </c>
      <c r="V57" s="26" t="s">
        <v>3</v>
      </c>
      <c r="W57" s="26" t="s">
        <v>3</v>
      </c>
      <c r="X57" s="23" t="s">
        <v>7</v>
      </c>
      <c r="Y57" s="24" t="s">
        <v>9</v>
      </c>
      <c r="Z57" s="26" t="s">
        <v>3</v>
      </c>
      <c r="AA57" s="26" t="s">
        <v>3</v>
      </c>
      <c r="AB57" s="26" t="s">
        <v>3</v>
      </c>
      <c r="AC57" s="26" t="s">
        <v>3</v>
      </c>
      <c r="AD57" s="26" t="s">
        <v>3</v>
      </c>
      <c r="AE57" s="27" t="s">
        <v>7</v>
      </c>
      <c r="AF57" s="24" t="s">
        <v>9</v>
      </c>
      <c r="AG57" s="22" t="s">
        <v>5</v>
      </c>
      <c r="AH57" s="8">
        <f t="shared" si="16"/>
        <v>17</v>
      </c>
      <c r="AI57" s="8">
        <f t="shared" si="17"/>
        <v>4</v>
      </c>
      <c r="AJ57" s="29">
        <f t="shared" si="18"/>
        <v>2</v>
      </c>
      <c r="AK57" s="62">
        <v>3</v>
      </c>
      <c r="AL57" s="33">
        <f t="shared" si="19"/>
        <v>20.5</v>
      </c>
      <c r="AM57" s="63">
        <f t="shared" si="20"/>
        <v>168</v>
      </c>
      <c r="AN57" s="63">
        <f t="shared" si="21"/>
        <v>1</v>
      </c>
      <c r="AO57" s="63">
        <f t="shared" si="22"/>
        <v>4</v>
      </c>
      <c r="AP57" s="53">
        <f t="shared" si="23"/>
        <v>20</v>
      </c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</row>
    <row r="58" spans="1:55" ht="22" customHeight="1" x14ac:dyDescent="0.35">
      <c r="A58" s="8" t="s">
        <v>143</v>
      </c>
      <c r="B58" s="8" t="s">
        <v>144</v>
      </c>
      <c r="C58" s="8" t="s">
        <v>104</v>
      </c>
      <c r="D58" s="24" t="s">
        <v>9</v>
      </c>
      <c r="E58" s="26" t="s">
        <v>3</v>
      </c>
      <c r="F58" s="26" t="s">
        <v>3</v>
      </c>
      <c r="G58" s="26" t="s">
        <v>3</v>
      </c>
      <c r="H58" s="26" t="s">
        <v>3</v>
      </c>
      <c r="I58" s="26" t="s">
        <v>3</v>
      </c>
      <c r="J58" s="23" t="s">
        <v>7</v>
      </c>
      <c r="K58" s="24" t="s">
        <v>9</v>
      </c>
      <c r="L58" s="22" t="s">
        <v>5</v>
      </c>
      <c r="M58" s="22" t="s">
        <v>5</v>
      </c>
      <c r="N58" s="26" t="s">
        <v>3</v>
      </c>
      <c r="O58" s="26" t="s">
        <v>3</v>
      </c>
      <c r="P58" s="26" t="s">
        <v>3</v>
      </c>
      <c r="Q58" s="27" t="s">
        <v>7</v>
      </c>
      <c r="R58" s="28" t="s">
        <v>11</v>
      </c>
      <c r="S58" s="26" t="s">
        <v>3</v>
      </c>
      <c r="T58" s="26" t="s">
        <v>3</v>
      </c>
      <c r="U58" s="26" t="s">
        <v>3</v>
      </c>
      <c r="V58" s="26" t="s">
        <v>3</v>
      </c>
      <c r="W58" s="26" t="s">
        <v>3</v>
      </c>
      <c r="X58" s="23" t="s">
        <v>7</v>
      </c>
      <c r="Y58" s="24" t="s">
        <v>9</v>
      </c>
      <c r="Z58" s="22" t="s">
        <v>5</v>
      </c>
      <c r="AA58" s="22" t="s">
        <v>5</v>
      </c>
      <c r="AB58" s="26" t="s">
        <v>3</v>
      </c>
      <c r="AC58" s="26" t="s">
        <v>3</v>
      </c>
      <c r="AD58" s="26" t="s">
        <v>3</v>
      </c>
      <c r="AE58" s="27" t="s">
        <v>7</v>
      </c>
      <c r="AF58" s="28" t="s">
        <v>11</v>
      </c>
      <c r="AG58" s="26" t="s">
        <v>3</v>
      </c>
      <c r="AH58" s="8">
        <f t="shared" si="16"/>
        <v>17</v>
      </c>
      <c r="AI58" s="8">
        <f t="shared" si="17"/>
        <v>4</v>
      </c>
      <c r="AJ58" s="29">
        <f t="shared" si="18"/>
        <v>2</v>
      </c>
      <c r="AK58" s="62">
        <v>2</v>
      </c>
      <c r="AL58" s="33">
        <f t="shared" si="19"/>
        <v>20</v>
      </c>
      <c r="AM58" s="63">
        <f t="shared" si="20"/>
        <v>168</v>
      </c>
      <c r="AN58" s="63">
        <f t="shared" si="21"/>
        <v>2</v>
      </c>
      <c r="AO58" s="63">
        <f t="shared" si="22"/>
        <v>8</v>
      </c>
      <c r="AP58" s="53">
        <f t="shared" si="23"/>
        <v>19</v>
      </c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</row>
    <row r="59" spans="1:55" ht="22" customHeight="1" x14ac:dyDescent="0.35">
      <c r="A59" s="8" t="s">
        <v>145</v>
      </c>
      <c r="B59" s="8" t="s">
        <v>146</v>
      </c>
      <c r="C59" s="8" t="s">
        <v>104</v>
      </c>
      <c r="D59" s="28" t="s">
        <v>11</v>
      </c>
      <c r="E59" s="26" t="s">
        <v>3</v>
      </c>
      <c r="F59" s="26" t="s">
        <v>3</v>
      </c>
      <c r="G59" s="26" t="s">
        <v>3</v>
      </c>
      <c r="H59" s="26" t="s">
        <v>3</v>
      </c>
      <c r="I59" s="26" t="s">
        <v>3</v>
      </c>
      <c r="J59" s="27" t="s">
        <v>7</v>
      </c>
      <c r="K59" s="28" t="s">
        <v>11</v>
      </c>
      <c r="L59" s="22" t="s">
        <v>5</v>
      </c>
      <c r="M59" s="22" t="s">
        <v>5</v>
      </c>
      <c r="N59" s="22" t="s">
        <v>5</v>
      </c>
      <c r="O59" s="26" t="s">
        <v>3</v>
      </c>
      <c r="P59" s="26" t="s">
        <v>3</v>
      </c>
      <c r="Q59" s="27" t="s">
        <v>7</v>
      </c>
      <c r="R59" s="28" t="s">
        <v>11</v>
      </c>
      <c r="S59" s="26" t="s">
        <v>3</v>
      </c>
      <c r="T59" s="26" t="s">
        <v>3</v>
      </c>
      <c r="U59" s="26" t="s">
        <v>3</v>
      </c>
      <c r="V59" s="26" t="s">
        <v>3</v>
      </c>
      <c r="W59" s="26" t="s">
        <v>3</v>
      </c>
      <c r="X59" s="23" t="s">
        <v>7</v>
      </c>
      <c r="Y59" s="24" t="s">
        <v>9</v>
      </c>
      <c r="Z59" s="22" t="s">
        <v>5</v>
      </c>
      <c r="AA59" s="22" t="s">
        <v>5</v>
      </c>
      <c r="AB59" s="26" t="s">
        <v>3</v>
      </c>
      <c r="AC59" s="26" t="s">
        <v>3</v>
      </c>
      <c r="AD59" s="26" t="s">
        <v>3</v>
      </c>
      <c r="AE59" s="27" t="s">
        <v>7</v>
      </c>
      <c r="AF59" s="28" t="s">
        <v>11</v>
      </c>
      <c r="AG59" s="26" t="s">
        <v>3</v>
      </c>
      <c r="AH59" s="8">
        <f t="shared" si="16"/>
        <v>16</v>
      </c>
      <c r="AI59" s="8">
        <f t="shared" si="17"/>
        <v>5</v>
      </c>
      <c r="AJ59" s="29">
        <f t="shared" si="18"/>
        <v>4</v>
      </c>
      <c r="AK59" s="62">
        <v>3</v>
      </c>
      <c r="AL59" s="33">
        <f t="shared" si="19"/>
        <v>21.5</v>
      </c>
      <c r="AM59" s="63">
        <f t="shared" si="20"/>
        <v>168</v>
      </c>
      <c r="AN59" s="63">
        <f t="shared" si="21"/>
        <v>1</v>
      </c>
      <c r="AO59" s="63">
        <f t="shared" si="22"/>
        <v>4</v>
      </c>
      <c r="AP59" s="53">
        <f t="shared" si="23"/>
        <v>21</v>
      </c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</row>
    <row r="60" spans="1:55" ht="22" customHeight="1" x14ac:dyDescent="0.35">
      <c r="A60" s="8" t="s">
        <v>147</v>
      </c>
      <c r="B60" s="8" t="s">
        <v>148</v>
      </c>
      <c r="C60" s="8" t="s">
        <v>104</v>
      </c>
      <c r="D60" s="28" t="s">
        <v>11</v>
      </c>
      <c r="E60" s="26" t="s">
        <v>3</v>
      </c>
      <c r="F60" s="26" t="s">
        <v>3</v>
      </c>
      <c r="G60" s="26" t="s">
        <v>3</v>
      </c>
      <c r="H60" s="26" t="s">
        <v>3</v>
      </c>
      <c r="I60" s="26" t="s">
        <v>3</v>
      </c>
      <c r="J60" s="27" t="s">
        <v>7</v>
      </c>
      <c r="K60" s="28" t="s">
        <v>11</v>
      </c>
      <c r="L60" s="26" t="s">
        <v>3</v>
      </c>
      <c r="M60" s="26" t="s">
        <v>3</v>
      </c>
      <c r="N60" s="26" t="s">
        <v>3</v>
      </c>
      <c r="O60" s="22" t="s">
        <v>5</v>
      </c>
      <c r="P60" s="26" t="s">
        <v>3</v>
      </c>
      <c r="Q60" s="27" t="s">
        <v>7</v>
      </c>
      <c r="R60" s="28" t="s">
        <v>11</v>
      </c>
      <c r="S60" s="26" t="s">
        <v>3</v>
      </c>
      <c r="T60" s="22" t="s">
        <v>5</v>
      </c>
      <c r="U60" s="22" t="s">
        <v>5</v>
      </c>
      <c r="V60" s="26" t="s">
        <v>3</v>
      </c>
      <c r="W60" s="26" t="s">
        <v>3</v>
      </c>
      <c r="X60" s="27" t="s">
        <v>7</v>
      </c>
      <c r="Y60" s="28" t="s">
        <v>11</v>
      </c>
      <c r="Z60" s="26" t="s">
        <v>3</v>
      </c>
      <c r="AA60" s="26" t="s">
        <v>3</v>
      </c>
      <c r="AB60" s="26" t="s">
        <v>3</v>
      </c>
      <c r="AC60" s="26" t="s">
        <v>3</v>
      </c>
      <c r="AD60" s="26" t="s">
        <v>3</v>
      </c>
      <c r="AE60" s="27" t="s">
        <v>7</v>
      </c>
      <c r="AF60" s="24" t="s">
        <v>9</v>
      </c>
      <c r="AG60" s="22" t="s">
        <v>5</v>
      </c>
      <c r="AH60" s="8">
        <f t="shared" si="16"/>
        <v>17</v>
      </c>
      <c r="AI60" s="8">
        <f t="shared" si="17"/>
        <v>4</v>
      </c>
      <c r="AJ60" s="29">
        <f t="shared" si="18"/>
        <v>4</v>
      </c>
      <c r="AK60" s="62">
        <v>4</v>
      </c>
      <c r="AL60" s="33">
        <f t="shared" si="19"/>
        <v>23</v>
      </c>
      <c r="AM60" s="63">
        <f t="shared" si="20"/>
        <v>168</v>
      </c>
      <c r="AN60" s="63">
        <f t="shared" si="21"/>
        <v>0</v>
      </c>
      <c r="AO60" s="63">
        <f t="shared" si="22"/>
        <v>0</v>
      </c>
      <c r="AP60" s="53">
        <f t="shared" si="23"/>
        <v>23</v>
      </c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</row>
    <row r="61" spans="1:55" ht="22" customHeight="1" x14ac:dyDescent="0.35">
      <c r="A61" s="8" t="s">
        <v>149</v>
      </c>
      <c r="B61" s="8" t="s">
        <v>150</v>
      </c>
      <c r="C61" s="8" t="s">
        <v>104</v>
      </c>
      <c r="D61" s="28" t="s">
        <v>11</v>
      </c>
      <c r="E61" s="26" t="s">
        <v>3</v>
      </c>
      <c r="F61" s="26" t="s">
        <v>3</v>
      </c>
      <c r="G61" s="26" t="s">
        <v>3</v>
      </c>
      <c r="H61" s="26" t="s">
        <v>3</v>
      </c>
      <c r="I61" s="26" t="s">
        <v>3</v>
      </c>
      <c r="J61" s="23" t="s">
        <v>7</v>
      </c>
      <c r="K61" s="24" t="s">
        <v>9</v>
      </c>
      <c r="L61" s="22" t="s">
        <v>5</v>
      </c>
      <c r="M61" s="22" t="s">
        <v>5</v>
      </c>
      <c r="N61" s="22" t="s">
        <v>5</v>
      </c>
      <c r="O61" s="26" t="s">
        <v>3</v>
      </c>
      <c r="P61" s="26" t="s">
        <v>3</v>
      </c>
      <c r="Q61" s="27" t="s">
        <v>7</v>
      </c>
      <c r="R61" s="28" t="s">
        <v>11</v>
      </c>
      <c r="S61" s="26" t="s">
        <v>3</v>
      </c>
      <c r="T61" s="26" t="s">
        <v>3</v>
      </c>
      <c r="U61" s="26" t="s">
        <v>3</v>
      </c>
      <c r="V61" s="26" t="s">
        <v>3</v>
      </c>
      <c r="W61" s="26" t="s">
        <v>3</v>
      </c>
      <c r="X61" s="27" t="s">
        <v>7</v>
      </c>
      <c r="Y61" s="28" t="s">
        <v>11</v>
      </c>
      <c r="Z61" s="26" t="s">
        <v>3</v>
      </c>
      <c r="AA61" s="26" t="s">
        <v>3</v>
      </c>
      <c r="AB61" s="26" t="s">
        <v>3</v>
      </c>
      <c r="AC61" s="26" t="s">
        <v>3</v>
      </c>
      <c r="AD61" s="26" t="s">
        <v>3</v>
      </c>
      <c r="AE61" s="27" t="s">
        <v>7</v>
      </c>
      <c r="AF61" s="28" t="s">
        <v>11</v>
      </c>
      <c r="AG61" s="26" t="s">
        <v>3</v>
      </c>
      <c r="AH61" s="8">
        <f t="shared" si="16"/>
        <v>18</v>
      </c>
      <c r="AI61" s="8">
        <f t="shared" si="17"/>
        <v>3</v>
      </c>
      <c r="AJ61" s="29">
        <f t="shared" si="18"/>
        <v>4</v>
      </c>
      <c r="AK61" s="62">
        <v>3</v>
      </c>
      <c r="AL61" s="33">
        <f t="shared" si="19"/>
        <v>23.5</v>
      </c>
      <c r="AM61" s="63">
        <f t="shared" si="20"/>
        <v>168</v>
      </c>
      <c r="AN61" s="63">
        <f t="shared" si="21"/>
        <v>1</v>
      </c>
      <c r="AO61" s="63">
        <f t="shared" si="22"/>
        <v>4</v>
      </c>
      <c r="AP61" s="53">
        <f t="shared" si="23"/>
        <v>23</v>
      </c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</row>
    <row r="62" spans="1:55" ht="22" customHeight="1" x14ac:dyDescent="0.35">
      <c r="A62" s="8" t="s">
        <v>151</v>
      </c>
      <c r="B62" s="8" t="s">
        <v>152</v>
      </c>
      <c r="C62" s="8" t="s">
        <v>104</v>
      </c>
      <c r="D62" s="28" t="s">
        <v>11</v>
      </c>
      <c r="E62" s="26" t="s">
        <v>3</v>
      </c>
      <c r="F62" s="26" t="s">
        <v>3</v>
      </c>
      <c r="G62" s="26" t="s">
        <v>3</v>
      </c>
      <c r="H62" s="22" t="s">
        <v>5</v>
      </c>
      <c r="I62" s="22" t="s">
        <v>5</v>
      </c>
      <c r="J62" s="23" t="s">
        <v>7</v>
      </c>
      <c r="K62" s="24" t="s">
        <v>9</v>
      </c>
      <c r="L62" s="22" t="s">
        <v>5</v>
      </c>
      <c r="M62" s="22" t="s">
        <v>5</v>
      </c>
      <c r="N62" s="22" t="s">
        <v>5</v>
      </c>
      <c r="O62" s="26" t="s">
        <v>3</v>
      </c>
      <c r="P62" s="26" t="s">
        <v>3</v>
      </c>
      <c r="Q62" s="27" t="s">
        <v>7</v>
      </c>
      <c r="R62" s="28" t="s">
        <v>11</v>
      </c>
      <c r="S62" s="26" t="s">
        <v>3</v>
      </c>
      <c r="T62" s="26" t="s">
        <v>3</v>
      </c>
      <c r="U62" s="26" t="s">
        <v>3</v>
      </c>
      <c r="V62" s="26" t="s">
        <v>3</v>
      </c>
      <c r="W62" s="26" t="s">
        <v>3</v>
      </c>
      <c r="X62" s="27" t="s">
        <v>7</v>
      </c>
      <c r="Y62" s="28" t="s">
        <v>11</v>
      </c>
      <c r="Z62" s="26" t="s">
        <v>3</v>
      </c>
      <c r="AA62" s="26" t="s">
        <v>3</v>
      </c>
      <c r="AB62" s="26" t="s">
        <v>3</v>
      </c>
      <c r="AC62" s="26" t="s">
        <v>3</v>
      </c>
      <c r="AD62" s="26" t="s">
        <v>3</v>
      </c>
      <c r="AE62" s="27" t="s">
        <v>7</v>
      </c>
      <c r="AF62" s="28" t="s">
        <v>11</v>
      </c>
      <c r="AG62" s="26" t="s">
        <v>3</v>
      </c>
      <c r="AH62" s="8">
        <f t="shared" si="16"/>
        <v>16</v>
      </c>
      <c r="AI62" s="8">
        <f t="shared" si="17"/>
        <v>5</v>
      </c>
      <c r="AJ62" s="29">
        <f t="shared" si="18"/>
        <v>4</v>
      </c>
      <c r="AK62" s="62">
        <v>3</v>
      </c>
      <c r="AL62" s="33">
        <f t="shared" si="19"/>
        <v>21.5</v>
      </c>
      <c r="AM62" s="63">
        <f t="shared" si="20"/>
        <v>168</v>
      </c>
      <c r="AN62" s="63">
        <f t="shared" si="21"/>
        <v>0</v>
      </c>
      <c r="AO62" s="63">
        <f t="shared" si="22"/>
        <v>0</v>
      </c>
      <c r="AP62" s="53">
        <f t="shared" si="23"/>
        <v>21.5</v>
      </c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</row>
    <row r="63" spans="1:55" ht="22" customHeight="1" x14ac:dyDescent="0.35">
      <c r="A63" s="8" t="s">
        <v>153</v>
      </c>
      <c r="B63" s="8" t="s">
        <v>154</v>
      </c>
      <c r="C63" s="8" t="s">
        <v>104</v>
      </c>
      <c r="D63" s="28" t="s">
        <v>11</v>
      </c>
      <c r="E63" s="26" t="s">
        <v>3</v>
      </c>
      <c r="F63" s="26" t="s">
        <v>3</v>
      </c>
      <c r="G63" s="26" t="s">
        <v>3</v>
      </c>
      <c r="H63" s="26" t="s">
        <v>3</v>
      </c>
      <c r="I63" s="26" t="s">
        <v>3</v>
      </c>
      <c r="J63" s="27" t="s">
        <v>7</v>
      </c>
      <c r="K63" s="28" t="s">
        <v>11</v>
      </c>
      <c r="L63" s="26" t="s">
        <v>3</v>
      </c>
      <c r="M63" s="26" t="s">
        <v>3</v>
      </c>
      <c r="N63" s="26" t="s">
        <v>3</v>
      </c>
      <c r="O63" s="22" t="s">
        <v>5</v>
      </c>
      <c r="P63" s="26" t="s">
        <v>3</v>
      </c>
      <c r="Q63" s="27" t="s">
        <v>7</v>
      </c>
      <c r="R63" s="28" t="s">
        <v>11</v>
      </c>
      <c r="S63" s="26" t="s">
        <v>3</v>
      </c>
      <c r="T63" s="22" t="s">
        <v>5</v>
      </c>
      <c r="U63" s="22" t="s">
        <v>5</v>
      </c>
      <c r="V63" s="26" t="s">
        <v>3</v>
      </c>
      <c r="W63" s="26" t="s">
        <v>3</v>
      </c>
      <c r="X63" s="27" t="s">
        <v>7</v>
      </c>
      <c r="Y63" s="28" t="s">
        <v>11</v>
      </c>
      <c r="Z63" s="26" t="s">
        <v>3</v>
      </c>
      <c r="AA63" s="26" t="s">
        <v>3</v>
      </c>
      <c r="AB63" s="26" t="s">
        <v>3</v>
      </c>
      <c r="AC63" s="26" t="s">
        <v>3</v>
      </c>
      <c r="AD63" s="26" t="s">
        <v>3</v>
      </c>
      <c r="AE63" s="27" t="s">
        <v>7</v>
      </c>
      <c r="AF63" s="28" t="s">
        <v>11</v>
      </c>
      <c r="AG63" s="26" t="s">
        <v>3</v>
      </c>
      <c r="AH63" s="8">
        <f t="shared" si="16"/>
        <v>18</v>
      </c>
      <c r="AI63" s="8">
        <f t="shared" si="17"/>
        <v>3</v>
      </c>
      <c r="AJ63" s="29">
        <f t="shared" si="18"/>
        <v>5</v>
      </c>
      <c r="AK63" s="62">
        <v>4</v>
      </c>
      <c r="AL63" s="33">
        <f t="shared" si="19"/>
        <v>25</v>
      </c>
      <c r="AM63" s="63">
        <f t="shared" si="20"/>
        <v>168</v>
      </c>
      <c r="AN63" s="63">
        <f t="shared" si="21"/>
        <v>0</v>
      </c>
      <c r="AO63" s="63">
        <f t="shared" si="22"/>
        <v>0</v>
      </c>
      <c r="AP63" s="53">
        <f t="shared" si="23"/>
        <v>25</v>
      </c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</row>
    <row r="64" spans="1:55" ht="22" customHeight="1" x14ac:dyDescent="0.35">
      <c r="A64" s="8" t="s">
        <v>155</v>
      </c>
      <c r="B64" s="8" t="s">
        <v>156</v>
      </c>
      <c r="C64" s="8" t="s">
        <v>104</v>
      </c>
      <c r="D64" s="28" t="s">
        <v>11</v>
      </c>
      <c r="E64" s="26" t="s">
        <v>3</v>
      </c>
      <c r="F64" s="26" t="s">
        <v>3</v>
      </c>
      <c r="G64" s="26" t="s">
        <v>3</v>
      </c>
      <c r="H64" s="26" t="s">
        <v>3</v>
      </c>
      <c r="I64" s="26" t="s">
        <v>3</v>
      </c>
      <c r="J64" s="27" t="s">
        <v>7</v>
      </c>
      <c r="K64" s="28" t="s">
        <v>11</v>
      </c>
      <c r="L64" s="22" t="s">
        <v>5</v>
      </c>
      <c r="M64" s="22" t="s">
        <v>5</v>
      </c>
      <c r="N64" s="22" t="s">
        <v>5</v>
      </c>
      <c r="O64" s="22" t="s">
        <v>5</v>
      </c>
      <c r="P64" s="22" t="s">
        <v>5</v>
      </c>
      <c r="Q64" s="23" t="s">
        <v>7</v>
      </c>
      <c r="R64" s="28" t="s">
        <v>11</v>
      </c>
      <c r="S64" s="26" t="s">
        <v>3</v>
      </c>
      <c r="T64" s="26" t="s">
        <v>3</v>
      </c>
      <c r="U64" s="26" t="s">
        <v>3</v>
      </c>
      <c r="V64" s="26" t="s">
        <v>3</v>
      </c>
      <c r="W64" s="26" t="s">
        <v>3</v>
      </c>
      <c r="X64" s="23" t="s">
        <v>7</v>
      </c>
      <c r="Y64" s="24" t="s">
        <v>9</v>
      </c>
      <c r="Z64" s="22" t="s">
        <v>5</v>
      </c>
      <c r="AA64" s="22" t="s">
        <v>5</v>
      </c>
      <c r="AB64" s="22" t="s">
        <v>5</v>
      </c>
      <c r="AC64" s="22" t="s">
        <v>5</v>
      </c>
      <c r="AD64" s="22" t="s">
        <v>5</v>
      </c>
      <c r="AE64" s="23" t="s">
        <v>7</v>
      </c>
      <c r="AF64" s="24" t="s">
        <v>9</v>
      </c>
      <c r="AG64" s="26" t="s">
        <v>3</v>
      </c>
      <c r="AH64" s="8">
        <f t="shared" si="16"/>
        <v>11</v>
      </c>
      <c r="AI64" s="8">
        <f t="shared" si="17"/>
        <v>10</v>
      </c>
      <c r="AJ64" s="29">
        <f t="shared" si="18"/>
        <v>3</v>
      </c>
      <c r="AK64" s="62">
        <v>1</v>
      </c>
      <c r="AL64" s="33">
        <f t="shared" si="19"/>
        <v>14.5</v>
      </c>
      <c r="AM64" s="63">
        <f t="shared" si="20"/>
        <v>168</v>
      </c>
      <c r="AN64" s="63">
        <f t="shared" si="21"/>
        <v>1</v>
      </c>
      <c r="AO64" s="63">
        <f t="shared" si="22"/>
        <v>4</v>
      </c>
      <c r="AP64" s="53">
        <f t="shared" si="23"/>
        <v>14</v>
      </c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</row>
    <row r="65" spans="1:55" ht="22" customHeight="1" x14ac:dyDescent="0.35">
      <c r="A65" s="8" t="s">
        <v>157</v>
      </c>
      <c r="B65" s="8" t="s">
        <v>158</v>
      </c>
      <c r="C65" s="8" t="s">
        <v>104</v>
      </c>
      <c r="D65" s="24" t="s">
        <v>9</v>
      </c>
      <c r="E65" s="22" t="s">
        <v>5</v>
      </c>
      <c r="F65" s="22" t="s">
        <v>5</v>
      </c>
      <c r="G65" s="22" t="s">
        <v>5</v>
      </c>
      <c r="H65" s="22" t="s">
        <v>5</v>
      </c>
      <c r="I65" s="22" t="s">
        <v>5</v>
      </c>
      <c r="J65" s="23" t="s">
        <v>7</v>
      </c>
      <c r="K65" s="24" t="s">
        <v>9</v>
      </c>
      <c r="L65" s="22" t="s">
        <v>5</v>
      </c>
      <c r="M65" s="22" t="s">
        <v>5</v>
      </c>
      <c r="N65" s="22" t="s">
        <v>5</v>
      </c>
      <c r="O65" s="22" t="s">
        <v>5</v>
      </c>
      <c r="P65" s="22" t="s">
        <v>5</v>
      </c>
      <c r="Q65" s="23" t="s">
        <v>7</v>
      </c>
      <c r="R65" s="24" t="s">
        <v>9</v>
      </c>
      <c r="S65" s="22" t="s">
        <v>5</v>
      </c>
      <c r="T65" s="22" t="s">
        <v>5</v>
      </c>
      <c r="U65" s="22" t="s">
        <v>5</v>
      </c>
      <c r="V65" s="22" t="s">
        <v>5</v>
      </c>
      <c r="W65" s="22" t="s">
        <v>5</v>
      </c>
      <c r="X65" s="23" t="s">
        <v>7</v>
      </c>
      <c r="Y65" s="24" t="s">
        <v>9</v>
      </c>
      <c r="Z65" s="22" t="s">
        <v>5</v>
      </c>
      <c r="AA65" s="22" t="s">
        <v>5</v>
      </c>
      <c r="AB65" s="22" t="s">
        <v>5</v>
      </c>
      <c r="AC65" s="22" t="s">
        <v>5</v>
      </c>
      <c r="AD65" s="22" t="s">
        <v>5</v>
      </c>
      <c r="AE65" s="23" t="s">
        <v>7</v>
      </c>
      <c r="AF65" s="24" t="s">
        <v>9</v>
      </c>
      <c r="AG65" s="22" t="s">
        <v>5</v>
      </c>
      <c r="AH65" s="8">
        <f t="shared" si="16"/>
        <v>0</v>
      </c>
      <c r="AI65" s="25">
        <f t="shared" si="17"/>
        <v>21</v>
      </c>
      <c r="AJ65" s="8">
        <f t="shared" si="18"/>
        <v>0</v>
      </c>
      <c r="AK65" s="62">
        <v>0</v>
      </c>
      <c r="AL65" s="33">
        <f t="shared" si="19"/>
        <v>0</v>
      </c>
      <c r="AM65" s="63">
        <f t="shared" si="20"/>
        <v>168</v>
      </c>
      <c r="AN65" s="63">
        <f t="shared" si="21"/>
        <v>0</v>
      </c>
      <c r="AO65" s="63">
        <f t="shared" si="22"/>
        <v>0</v>
      </c>
      <c r="AP65" s="53">
        <f t="shared" si="23"/>
        <v>0</v>
      </c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</row>
    <row r="66" spans="1:55" ht="22" customHeight="1" x14ac:dyDescent="0.35">
      <c r="A66" s="8" t="s">
        <v>159</v>
      </c>
      <c r="B66" s="8" t="s">
        <v>160</v>
      </c>
      <c r="C66" s="8" t="s">
        <v>104</v>
      </c>
      <c r="D66" s="24" t="s">
        <v>9</v>
      </c>
      <c r="E66" s="22" t="s">
        <v>5</v>
      </c>
      <c r="F66" s="22" t="s">
        <v>5</v>
      </c>
      <c r="G66" s="22" t="s">
        <v>5</v>
      </c>
      <c r="H66" s="22" t="s">
        <v>5</v>
      </c>
      <c r="I66" s="22" t="s">
        <v>5</v>
      </c>
      <c r="J66" s="23" t="s">
        <v>7</v>
      </c>
      <c r="K66" s="24" t="s">
        <v>9</v>
      </c>
      <c r="L66" s="22" t="s">
        <v>5</v>
      </c>
      <c r="M66" s="22" t="s">
        <v>5</v>
      </c>
      <c r="N66" s="22" t="s">
        <v>5</v>
      </c>
      <c r="O66" s="22" t="s">
        <v>5</v>
      </c>
      <c r="P66" s="22" t="s">
        <v>5</v>
      </c>
      <c r="Q66" s="23" t="s">
        <v>7</v>
      </c>
      <c r="R66" s="24" t="s">
        <v>9</v>
      </c>
      <c r="S66" s="22" t="s">
        <v>5</v>
      </c>
      <c r="T66" s="22" t="s">
        <v>5</v>
      </c>
      <c r="U66" s="22" t="s">
        <v>5</v>
      </c>
      <c r="V66" s="22" t="s">
        <v>5</v>
      </c>
      <c r="W66" s="22" t="s">
        <v>5</v>
      </c>
      <c r="X66" s="23" t="s">
        <v>7</v>
      </c>
      <c r="Y66" s="24" t="s">
        <v>9</v>
      </c>
      <c r="Z66" s="22" t="s">
        <v>5</v>
      </c>
      <c r="AA66" s="22" t="s">
        <v>5</v>
      </c>
      <c r="AB66" s="22" t="s">
        <v>5</v>
      </c>
      <c r="AC66" s="22" t="s">
        <v>5</v>
      </c>
      <c r="AD66" s="22" t="s">
        <v>5</v>
      </c>
      <c r="AE66" s="23" t="s">
        <v>7</v>
      </c>
      <c r="AF66" s="24" t="s">
        <v>9</v>
      </c>
      <c r="AG66" s="22" t="s">
        <v>5</v>
      </c>
      <c r="AH66" s="8">
        <f t="shared" si="16"/>
        <v>0</v>
      </c>
      <c r="AI66" s="25">
        <f t="shared" si="17"/>
        <v>21</v>
      </c>
      <c r="AJ66" s="8">
        <f t="shared" si="18"/>
        <v>0</v>
      </c>
      <c r="AK66" s="62">
        <v>0</v>
      </c>
      <c r="AL66" s="33">
        <f t="shared" si="19"/>
        <v>0</v>
      </c>
      <c r="AM66" s="63">
        <f t="shared" si="20"/>
        <v>168</v>
      </c>
      <c r="AN66" s="63">
        <f t="shared" si="21"/>
        <v>0</v>
      </c>
      <c r="AO66" s="63">
        <f t="shared" si="22"/>
        <v>0</v>
      </c>
      <c r="AP66" s="53">
        <f t="shared" si="23"/>
        <v>0</v>
      </c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</row>
    <row r="67" spans="1:55" ht="22" customHeight="1" x14ac:dyDescent="0.35">
      <c r="A67" s="8" t="s">
        <v>161</v>
      </c>
      <c r="B67" s="8" t="s">
        <v>162</v>
      </c>
      <c r="C67" s="8" t="s">
        <v>104</v>
      </c>
      <c r="D67" s="24" t="s">
        <v>9</v>
      </c>
      <c r="E67" s="22" t="s">
        <v>5</v>
      </c>
      <c r="F67" s="22" t="s">
        <v>5</v>
      </c>
      <c r="G67" s="22" t="s">
        <v>5</v>
      </c>
      <c r="H67" s="22" t="s">
        <v>5</v>
      </c>
      <c r="I67" s="22" t="s">
        <v>5</v>
      </c>
      <c r="J67" s="23" t="s">
        <v>7</v>
      </c>
      <c r="K67" s="24" t="s">
        <v>9</v>
      </c>
      <c r="L67" s="22" t="s">
        <v>5</v>
      </c>
      <c r="M67" s="22" t="s">
        <v>5</v>
      </c>
      <c r="N67" s="22" t="s">
        <v>5</v>
      </c>
      <c r="O67" s="22" t="s">
        <v>5</v>
      </c>
      <c r="P67" s="22" t="s">
        <v>5</v>
      </c>
      <c r="Q67" s="23" t="s">
        <v>7</v>
      </c>
      <c r="R67" s="24" t="s">
        <v>9</v>
      </c>
      <c r="S67" s="22" t="s">
        <v>5</v>
      </c>
      <c r="T67" s="22" t="s">
        <v>5</v>
      </c>
      <c r="U67" s="22" t="s">
        <v>5</v>
      </c>
      <c r="V67" s="22" t="s">
        <v>5</v>
      </c>
      <c r="W67" s="22" t="s">
        <v>5</v>
      </c>
      <c r="X67" s="23" t="s">
        <v>7</v>
      </c>
      <c r="Y67" s="24" t="s">
        <v>9</v>
      </c>
      <c r="Z67" s="22" t="s">
        <v>5</v>
      </c>
      <c r="AA67" s="22" t="s">
        <v>5</v>
      </c>
      <c r="AB67" s="22" t="s">
        <v>5</v>
      </c>
      <c r="AC67" s="22" t="s">
        <v>5</v>
      </c>
      <c r="AD67" s="22" t="s">
        <v>5</v>
      </c>
      <c r="AE67" s="23" t="s">
        <v>7</v>
      </c>
      <c r="AF67" s="24" t="s">
        <v>9</v>
      </c>
      <c r="AG67" s="22" t="s">
        <v>5</v>
      </c>
      <c r="AH67" s="8">
        <f t="shared" si="16"/>
        <v>0</v>
      </c>
      <c r="AI67" s="25">
        <f t="shared" si="17"/>
        <v>21</v>
      </c>
      <c r="AJ67" s="8">
        <f t="shared" si="18"/>
        <v>0</v>
      </c>
      <c r="AK67" s="62">
        <v>0</v>
      </c>
      <c r="AL67" s="33">
        <f t="shared" si="19"/>
        <v>0</v>
      </c>
      <c r="AM67" s="63">
        <f t="shared" si="20"/>
        <v>168</v>
      </c>
      <c r="AN67" s="63">
        <f t="shared" si="21"/>
        <v>0</v>
      </c>
      <c r="AO67" s="63">
        <f t="shared" si="22"/>
        <v>0</v>
      </c>
      <c r="AP67" s="53">
        <f t="shared" si="23"/>
        <v>0</v>
      </c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</row>
    <row r="68" spans="1:55" ht="22" customHeight="1" x14ac:dyDescent="0.35">
      <c r="A68" s="8" t="s">
        <v>163</v>
      </c>
      <c r="B68" s="8" t="s">
        <v>164</v>
      </c>
      <c r="C68" s="8" t="s">
        <v>104</v>
      </c>
      <c r="D68" s="24" t="s">
        <v>9</v>
      </c>
      <c r="E68" s="22" t="s">
        <v>5</v>
      </c>
      <c r="F68" s="22" t="s">
        <v>5</v>
      </c>
      <c r="G68" s="22" t="s">
        <v>5</v>
      </c>
      <c r="H68" s="22" t="s">
        <v>5</v>
      </c>
      <c r="I68" s="22" t="s">
        <v>5</v>
      </c>
      <c r="J68" s="23" t="s">
        <v>7</v>
      </c>
      <c r="K68" s="24" t="s">
        <v>9</v>
      </c>
      <c r="L68" s="22" t="s">
        <v>5</v>
      </c>
      <c r="M68" s="22" t="s">
        <v>5</v>
      </c>
      <c r="N68" s="22" t="s">
        <v>5</v>
      </c>
      <c r="O68" s="22" t="s">
        <v>5</v>
      </c>
      <c r="P68" s="22" t="s">
        <v>5</v>
      </c>
      <c r="Q68" s="23" t="s">
        <v>7</v>
      </c>
      <c r="R68" s="24" t="s">
        <v>9</v>
      </c>
      <c r="S68" s="22" t="s">
        <v>5</v>
      </c>
      <c r="T68" s="22" t="s">
        <v>5</v>
      </c>
      <c r="U68" s="22" t="s">
        <v>5</v>
      </c>
      <c r="V68" s="22" t="s">
        <v>5</v>
      </c>
      <c r="W68" s="22" t="s">
        <v>5</v>
      </c>
      <c r="X68" s="23" t="s">
        <v>7</v>
      </c>
      <c r="Y68" s="24" t="s">
        <v>9</v>
      </c>
      <c r="Z68" s="22" t="s">
        <v>5</v>
      </c>
      <c r="AA68" s="22" t="s">
        <v>5</v>
      </c>
      <c r="AB68" s="22" t="s">
        <v>5</v>
      </c>
      <c r="AC68" s="22" t="s">
        <v>5</v>
      </c>
      <c r="AD68" s="22" t="s">
        <v>5</v>
      </c>
      <c r="AE68" s="23" t="s">
        <v>7</v>
      </c>
      <c r="AF68" s="24" t="s">
        <v>9</v>
      </c>
      <c r="AG68" s="22" t="s">
        <v>5</v>
      </c>
      <c r="AH68" s="8">
        <f t="shared" si="16"/>
        <v>0</v>
      </c>
      <c r="AI68" s="25">
        <f t="shared" si="17"/>
        <v>21</v>
      </c>
      <c r="AJ68" s="8">
        <f t="shared" si="18"/>
        <v>0</v>
      </c>
      <c r="AK68" s="62">
        <v>0</v>
      </c>
      <c r="AL68" s="33">
        <f t="shared" si="19"/>
        <v>0</v>
      </c>
      <c r="AM68" s="63">
        <f t="shared" si="20"/>
        <v>168</v>
      </c>
      <c r="AN68" s="63">
        <f t="shared" si="21"/>
        <v>0</v>
      </c>
      <c r="AO68" s="63">
        <f t="shared" si="22"/>
        <v>0</v>
      </c>
      <c r="AP68" s="53">
        <f t="shared" si="23"/>
        <v>0</v>
      </c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</row>
    <row r="69" spans="1:55" ht="22" customHeight="1" x14ac:dyDescent="0.35">
      <c r="A69" s="8" t="s">
        <v>165</v>
      </c>
      <c r="B69" s="8" t="s">
        <v>166</v>
      </c>
      <c r="C69" s="8" t="s">
        <v>104</v>
      </c>
      <c r="D69" s="24" t="s">
        <v>9</v>
      </c>
      <c r="E69" s="26" t="s">
        <v>3</v>
      </c>
      <c r="F69" s="26" t="s">
        <v>3</v>
      </c>
      <c r="G69" s="26" t="s">
        <v>3</v>
      </c>
      <c r="H69" s="26" t="s">
        <v>3</v>
      </c>
      <c r="I69" s="26" t="s">
        <v>3</v>
      </c>
      <c r="J69" s="27" t="s">
        <v>7</v>
      </c>
      <c r="K69" s="28" t="s">
        <v>11</v>
      </c>
      <c r="L69" s="26" t="s">
        <v>3</v>
      </c>
      <c r="M69" s="26" t="s">
        <v>3</v>
      </c>
      <c r="N69" s="26" t="s">
        <v>3</v>
      </c>
      <c r="O69" s="22" t="s">
        <v>5</v>
      </c>
      <c r="P69" s="22" t="s">
        <v>5</v>
      </c>
      <c r="Q69" s="23" t="s">
        <v>7</v>
      </c>
      <c r="R69" s="24" t="s">
        <v>9</v>
      </c>
      <c r="S69" s="22" t="s">
        <v>5</v>
      </c>
      <c r="T69" s="26" t="s">
        <v>3</v>
      </c>
      <c r="U69" s="26" t="s">
        <v>3</v>
      </c>
      <c r="V69" s="26" t="s">
        <v>3</v>
      </c>
      <c r="W69" s="26" t="s">
        <v>3</v>
      </c>
      <c r="X69" s="27" t="s">
        <v>7</v>
      </c>
      <c r="Y69" s="28" t="s">
        <v>11</v>
      </c>
      <c r="Z69" s="26" t="s">
        <v>3</v>
      </c>
      <c r="AA69" s="26" t="s">
        <v>3</v>
      </c>
      <c r="AB69" s="26" t="s">
        <v>3</v>
      </c>
      <c r="AC69" s="22" t="s">
        <v>5</v>
      </c>
      <c r="AD69" s="22" t="s">
        <v>5</v>
      </c>
      <c r="AE69" s="27" t="s">
        <v>7</v>
      </c>
      <c r="AF69" s="28" t="s">
        <v>11</v>
      </c>
      <c r="AG69" s="26" t="s">
        <v>3</v>
      </c>
      <c r="AH69" s="8">
        <f t="shared" si="16"/>
        <v>16</v>
      </c>
      <c r="AI69" s="8">
        <f t="shared" si="17"/>
        <v>5</v>
      </c>
      <c r="AJ69" s="29">
        <f t="shared" si="18"/>
        <v>3</v>
      </c>
      <c r="AK69" s="62">
        <v>3</v>
      </c>
      <c r="AL69" s="33">
        <f t="shared" si="19"/>
        <v>20.5</v>
      </c>
      <c r="AM69" s="63">
        <f t="shared" si="20"/>
        <v>168</v>
      </c>
      <c r="AN69" s="63">
        <f t="shared" si="21"/>
        <v>0</v>
      </c>
      <c r="AO69" s="63">
        <f t="shared" si="22"/>
        <v>0</v>
      </c>
      <c r="AP69" s="53">
        <f t="shared" si="23"/>
        <v>20.5</v>
      </c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</row>
    <row r="70" spans="1:55" ht="22" customHeight="1" x14ac:dyDescent="0.35">
      <c r="A70" s="8" t="s">
        <v>167</v>
      </c>
      <c r="B70" s="8" t="s">
        <v>168</v>
      </c>
      <c r="C70" s="8" t="s">
        <v>104</v>
      </c>
      <c r="D70" s="28" t="s">
        <v>11</v>
      </c>
      <c r="E70" s="26" t="s">
        <v>3</v>
      </c>
      <c r="F70" s="26" t="s">
        <v>3</v>
      </c>
      <c r="G70" s="26" t="s">
        <v>3</v>
      </c>
      <c r="H70" s="26" t="s">
        <v>3</v>
      </c>
      <c r="I70" s="26" t="s">
        <v>3</v>
      </c>
      <c r="J70" s="23" t="s">
        <v>7</v>
      </c>
      <c r="K70" s="28" t="s">
        <v>11</v>
      </c>
      <c r="L70" s="26" t="s">
        <v>3</v>
      </c>
      <c r="M70" s="26" t="s">
        <v>3</v>
      </c>
      <c r="N70" s="26" t="s">
        <v>3</v>
      </c>
      <c r="O70" s="26" t="s">
        <v>3</v>
      </c>
      <c r="P70" s="26" t="s">
        <v>3</v>
      </c>
      <c r="Q70" s="27" t="s">
        <v>7</v>
      </c>
      <c r="R70" s="24" t="s">
        <v>9</v>
      </c>
      <c r="S70" s="22" t="s">
        <v>5</v>
      </c>
      <c r="T70" s="26" t="s">
        <v>3</v>
      </c>
      <c r="U70" s="26" t="s">
        <v>3</v>
      </c>
      <c r="V70" s="26" t="s">
        <v>3</v>
      </c>
      <c r="W70" s="26" t="s">
        <v>3</v>
      </c>
      <c r="X70" s="27" t="s">
        <v>7</v>
      </c>
      <c r="Y70" s="28" t="s">
        <v>11</v>
      </c>
      <c r="Z70" s="26" t="s">
        <v>3</v>
      </c>
      <c r="AA70" s="26" t="s">
        <v>3</v>
      </c>
      <c r="AB70" s="22" t="s">
        <v>5</v>
      </c>
      <c r="AC70" s="22" t="s">
        <v>5</v>
      </c>
      <c r="AD70" s="22" t="s">
        <v>5</v>
      </c>
      <c r="AE70" s="27" t="s">
        <v>7</v>
      </c>
      <c r="AF70" s="28" t="s">
        <v>11</v>
      </c>
      <c r="AG70" s="26" t="s">
        <v>3</v>
      </c>
      <c r="AH70" s="8">
        <f t="shared" si="16"/>
        <v>17</v>
      </c>
      <c r="AI70" s="8">
        <f t="shared" si="17"/>
        <v>4</v>
      </c>
      <c r="AJ70" s="29">
        <f t="shared" si="18"/>
        <v>4</v>
      </c>
      <c r="AK70" s="62">
        <v>3</v>
      </c>
      <c r="AL70" s="33">
        <f t="shared" si="19"/>
        <v>22.5</v>
      </c>
      <c r="AM70" s="63">
        <f t="shared" si="20"/>
        <v>168</v>
      </c>
      <c r="AN70" s="63">
        <f t="shared" si="21"/>
        <v>0</v>
      </c>
      <c r="AO70" s="63">
        <f t="shared" si="22"/>
        <v>0</v>
      </c>
      <c r="AP70" s="53">
        <f t="shared" si="23"/>
        <v>22.5</v>
      </c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</row>
    <row r="71" spans="1:55" ht="22" customHeight="1" x14ac:dyDescent="0.35">
      <c r="A71" s="8" t="s">
        <v>169</v>
      </c>
      <c r="B71" s="8" t="s">
        <v>170</v>
      </c>
      <c r="C71" s="8" t="s">
        <v>104</v>
      </c>
      <c r="D71" s="28" t="s">
        <v>11</v>
      </c>
      <c r="E71" s="22" t="s">
        <v>5</v>
      </c>
      <c r="F71" s="26" t="s">
        <v>3</v>
      </c>
      <c r="G71" s="26" t="s">
        <v>3</v>
      </c>
      <c r="H71" s="26" t="s">
        <v>3</v>
      </c>
      <c r="I71" s="26" t="s">
        <v>3</v>
      </c>
      <c r="J71" s="23" t="s">
        <v>7</v>
      </c>
      <c r="K71" s="24" t="s">
        <v>9</v>
      </c>
      <c r="L71" s="26" t="s">
        <v>3</v>
      </c>
      <c r="M71" s="26" t="s">
        <v>3</v>
      </c>
      <c r="N71" s="22" t="s">
        <v>5</v>
      </c>
      <c r="O71" s="22" t="s">
        <v>5</v>
      </c>
      <c r="P71" s="22" t="s">
        <v>5</v>
      </c>
      <c r="Q71" s="27" t="s">
        <v>7</v>
      </c>
      <c r="R71" s="28" t="s">
        <v>11</v>
      </c>
      <c r="S71" s="26" t="s">
        <v>3</v>
      </c>
      <c r="T71" s="26" t="s">
        <v>3</v>
      </c>
      <c r="U71" s="26" t="s">
        <v>3</v>
      </c>
      <c r="V71" s="26" t="s">
        <v>3</v>
      </c>
      <c r="W71" s="26" t="s">
        <v>3</v>
      </c>
      <c r="X71" s="27" t="s">
        <v>7</v>
      </c>
      <c r="Y71" s="28" t="s">
        <v>11</v>
      </c>
      <c r="Z71" s="26" t="s">
        <v>3</v>
      </c>
      <c r="AA71" s="22" t="s">
        <v>5</v>
      </c>
      <c r="AB71" s="22" t="s">
        <v>5</v>
      </c>
      <c r="AC71" s="26" t="s">
        <v>3</v>
      </c>
      <c r="AD71" s="26" t="s">
        <v>3</v>
      </c>
      <c r="AE71" s="27" t="s">
        <v>7</v>
      </c>
      <c r="AF71" s="28" t="s">
        <v>11</v>
      </c>
      <c r="AG71" s="22" t="s">
        <v>5</v>
      </c>
      <c r="AH71" s="8">
        <f t="shared" si="16"/>
        <v>14</v>
      </c>
      <c r="AI71" s="8">
        <f t="shared" si="17"/>
        <v>7</v>
      </c>
      <c r="AJ71" s="29">
        <f t="shared" si="18"/>
        <v>4</v>
      </c>
      <c r="AK71" s="62">
        <v>3</v>
      </c>
      <c r="AL71" s="33">
        <f t="shared" si="19"/>
        <v>19.5</v>
      </c>
      <c r="AM71" s="63">
        <f t="shared" si="20"/>
        <v>168</v>
      </c>
      <c r="AN71" s="63">
        <f t="shared" si="21"/>
        <v>0</v>
      </c>
      <c r="AO71" s="63">
        <f t="shared" si="22"/>
        <v>0</v>
      </c>
      <c r="AP71" s="53">
        <f t="shared" si="23"/>
        <v>19.5</v>
      </c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</row>
    <row r="72" spans="1:55" ht="22" customHeight="1" x14ac:dyDescent="0.35">
      <c r="A72" s="8" t="s">
        <v>171</v>
      </c>
      <c r="B72" s="8" t="s">
        <v>172</v>
      </c>
      <c r="C72" s="8" t="s">
        <v>104</v>
      </c>
      <c r="D72" s="28" t="s">
        <v>11</v>
      </c>
      <c r="E72" s="26" t="s">
        <v>3</v>
      </c>
      <c r="F72" s="26" t="s">
        <v>3</v>
      </c>
      <c r="G72" s="26" t="s">
        <v>3</v>
      </c>
      <c r="H72" s="26" t="s">
        <v>3</v>
      </c>
      <c r="I72" s="26" t="s">
        <v>3</v>
      </c>
      <c r="J72" s="23" t="s">
        <v>7</v>
      </c>
      <c r="K72" s="24" t="s">
        <v>9</v>
      </c>
      <c r="L72" s="26" t="s">
        <v>3</v>
      </c>
      <c r="M72" s="26" t="s">
        <v>3</v>
      </c>
      <c r="N72" s="26" t="s">
        <v>3</v>
      </c>
      <c r="O72" s="26" t="s">
        <v>3</v>
      </c>
      <c r="P72" s="26" t="s">
        <v>3</v>
      </c>
      <c r="Q72" s="27" t="s">
        <v>7</v>
      </c>
      <c r="R72" s="28" t="s">
        <v>11</v>
      </c>
      <c r="S72" s="26" t="s">
        <v>3</v>
      </c>
      <c r="T72" s="26" t="s">
        <v>3</v>
      </c>
      <c r="U72" s="26" t="s">
        <v>3</v>
      </c>
      <c r="V72" s="26" t="s">
        <v>3</v>
      </c>
      <c r="W72" s="26" t="s">
        <v>3</v>
      </c>
      <c r="X72" s="27" t="s">
        <v>7</v>
      </c>
      <c r="Y72" s="28" t="s">
        <v>11</v>
      </c>
      <c r="Z72" s="26" t="s">
        <v>3</v>
      </c>
      <c r="AA72" s="26" t="s">
        <v>3</v>
      </c>
      <c r="AB72" s="26" t="s">
        <v>3</v>
      </c>
      <c r="AC72" s="26" t="s">
        <v>3</v>
      </c>
      <c r="AD72" s="26" t="s">
        <v>3</v>
      </c>
      <c r="AE72" s="27" t="s">
        <v>7</v>
      </c>
      <c r="AF72" s="28" t="s">
        <v>11</v>
      </c>
      <c r="AG72" s="26" t="s">
        <v>3</v>
      </c>
      <c r="AH72" s="8">
        <f t="shared" si="16"/>
        <v>21</v>
      </c>
      <c r="AI72" s="8">
        <f t="shared" si="17"/>
        <v>0</v>
      </c>
      <c r="AJ72" s="29">
        <f t="shared" si="18"/>
        <v>4</v>
      </c>
      <c r="AK72" s="62">
        <v>3</v>
      </c>
      <c r="AL72" s="33">
        <f t="shared" si="19"/>
        <v>26.5</v>
      </c>
      <c r="AM72" s="63">
        <f t="shared" si="20"/>
        <v>168</v>
      </c>
      <c r="AN72" s="63">
        <f t="shared" si="21"/>
        <v>1</v>
      </c>
      <c r="AO72" s="63">
        <f t="shared" si="22"/>
        <v>4</v>
      </c>
      <c r="AP72" s="53">
        <f t="shared" si="23"/>
        <v>26</v>
      </c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</row>
    <row r="73" spans="1:55" ht="22" customHeight="1" x14ac:dyDescent="0.35">
      <c r="A73" s="8" t="s">
        <v>173</v>
      </c>
      <c r="B73" s="8" t="s">
        <v>174</v>
      </c>
      <c r="C73" s="8" t="s">
        <v>104</v>
      </c>
      <c r="D73" s="28" t="s">
        <v>11</v>
      </c>
      <c r="E73" s="26" t="s">
        <v>3</v>
      </c>
      <c r="F73" s="26" t="s">
        <v>3</v>
      </c>
      <c r="G73" s="26" t="s">
        <v>3</v>
      </c>
      <c r="H73" s="26" t="s">
        <v>3</v>
      </c>
      <c r="I73" s="26" t="s">
        <v>3</v>
      </c>
      <c r="J73" s="23" t="s">
        <v>7</v>
      </c>
      <c r="K73" s="24" t="s">
        <v>9</v>
      </c>
      <c r="L73" s="22" t="s">
        <v>5</v>
      </c>
      <c r="M73" s="22" t="s">
        <v>5</v>
      </c>
      <c r="N73" s="22" t="s">
        <v>5</v>
      </c>
      <c r="O73" s="22" t="s">
        <v>5</v>
      </c>
      <c r="P73" s="22" t="s">
        <v>5</v>
      </c>
      <c r="Q73" s="23" t="s">
        <v>7</v>
      </c>
      <c r="R73" s="28" t="s">
        <v>11</v>
      </c>
      <c r="S73" s="26" t="s">
        <v>3</v>
      </c>
      <c r="T73" s="26" t="s">
        <v>3</v>
      </c>
      <c r="U73" s="26" t="s">
        <v>3</v>
      </c>
      <c r="V73" s="26" t="s">
        <v>3</v>
      </c>
      <c r="W73" s="26" t="s">
        <v>3</v>
      </c>
      <c r="X73" s="27" t="s">
        <v>7</v>
      </c>
      <c r="Y73" s="28" t="s">
        <v>11</v>
      </c>
      <c r="Z73" s="26" t="s">
        <v>3</v>
      </c>
      <c r="AA73" s="26" t="s">
        <v>3</v>
      </c>
      <c r="AB73" s="26" t="s">
        <v>3</v>
      </c>
      <c r="AC73" s="26" t="s">
        <v>3</v>
      </c>
      <c r="AD73" s="26" t="s">
        <v>3</v>
      </c>
      <c r="AE73" s="27" t="s">
        <v>7</v>
      </c>
      <c r="AF73" s="28" t="s">
        <v>11</v>
      </c>
      <c r="AG73" s="26" t="s">
        <v>3</v>
      </c>
      <c r="AH73" s="8">
        <f t="shared" si="16"/>
        <v>16</v>
      </c>
      <c r="AI73" s="8">
        <f t="shared" si="17"/>
        <v>5</v>
      </c>
      <c r="AJ73" s="29">
        <f t="shared" si="18"/>
        <v>4</v>
      </c>
      <c r="AK73" s="62">
        <v>2</v>
      </c>
      <c r="AL73" s="33">
        <f t="shared" si="19"/>
        <v>21</v>
      </c>
      <c r="AM73" s="63">
        <f t="shared" si="20"/>
        <v>168</v>
      </c>
      <c r="AN73" s="63">
        <f t="shared" si="21"/>
        <v>1</v>
      </c>
      <c r="AO73" s="63">
        <f t="shared" si="22"/>
        <v>4</v>
      </c>
      <c r="AP73" s="53">
        <f t="shared" si="23"/>
        <v>20.5</v>
      </c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</row>
    <row r="74" spans="1:55" ht="22" customHeight="1" x14ac:dyDescent="0.35">
      <c r="A74" s="8" t="s">
        <v>175</v>
      </c>
      <c r="B74" s="8" t="s">
        <v>176</v>
      </c>
      <c r="C74" s="8" t="s">
        <v>104</v>
      </c>
      <c r="D74" s="28" t="s">
        <v>11</v>
      </c>
      <c r="E74" s="26" t="s">
        <v>3</v>
      </c>
      <c r="F74" s="26" t="s">
        <v>3</v>
      </c>
      <c r="G74" s="26" t="s">
        <v>3</v>
      </c>
      <c r="H74" s="26" t="s">
        <v>3</v>
      </c>
      <c r="I74" s="26" t="s">
        <v>3</v>
      </c>
      <c r="J74" s="23" t="s">
        <v>7</v>
      </c>
      <c r="K74" s="28" t="s">
        <v>11</v>
      </c>
      <c r="L74" s="26" t="s">
        <v>3</v>
      </c>
      <c r="M74" s="26" t="s">
        <v>3</v>
      </c>
      <c r="N74" s="26" t="s">
        <v>3</v>
      </c>
      <c r="O74" s="26" t="s">
        <v>3</v>
      </c>
      <c r="P74" s="22" t="s">
        <v>5</v>
      </c>
      <c r="Q74" s="23" t="s">
        <v>7</v>
      </c>
      <c r="R74" s="24" t="s">
        <v>9</v>
      </c>
      <c r="S74" s="22" t="s">
        <v>5</v>
      </c>
      <c r="T74" s="26" t="s">
        <v>3</v>
      </c>
      <c r="U74" s="26" t="s">
        <v>3</v>
      </c>
      <c r="V74" s="26" t="s">
        <v>3</v>
      </c>
      <c r="W74" s="26" t="s">
        <v>3</v>
      </c>
      <c r="X74" s="27" t="s">
        <v>7</v>
      </c>
      <c r="Y74" s="28" t="s">
        <v>11</v>
      </c>
      <c r="Z74" s="26" t="s">
        <v>3</v>
      </c>
      <c r="AA74" s="26" t="s">
        <v>3</v>
      </c>
      <c r="AB74" s="26" t="s">
        <v>3</v>
      </c>
      <c r="AC74" s="26" t="s">
        <v>3</v>
      </c>
      <c r="AD74" s="26" t="s">
        <v>3</v>
      </c>
      <c r="AE74" s="27" t="s">
        <v>7</v>
      </c>
      <c r="AF74" s="28" t="s">
        <v>11</v>
      </c>
      <c r="AG74" s="22" t="s">
        <v>5</v>
      </c>
      <c r="AH74" s="8">
        <f t="shared" si="16"/>
        <v>18</v>
      </c>
      <c r="AI74" s="8">
        <f t="shared" si="17"/>
        <v>3</v>
      </c>
      <c r="AJ74" s="29">
        <f t="shared" si="18"/>
        <v>4</v>
      </c>
      <c r="AK74" s="62">
        <v>2</v>
      </c>
      <c r="AL74" s="33">
        <f t="shared" si="19"/>
        <v>23</v>
      </c>
      <c r="AM74" s="63">
        <f t="shared" si="20"/>
        <v>168</v>
      </c>
      <c r="AN74" s="63">
        <f t="shared" si="21"/>
        <v>1</v>
      </c>
      <c r="AO74" s="63">
        <f t="shared" si="22"/>
        <v>4</v>
      </c>
      <c r="AP74" s="53">
        <f t="shared" si="23"/>
        <v>22.5</v>
      </c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</row>
    <row r="75" spans="1:55" x14ac:dyDescent="0.35"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</row>
    <row r="76" spans="1:55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</row>
    <row r="77" spans="1:55" ht="22" customHeight="1" x14ac:dyDescent="0.35">
      <c r="A77" s="8" t="s">
        <v>178</v>
      </c>
      <c r="B77" s="8" t="s">
        <v>179</v>
      </c>
      <c r="C77" s="8" t="s">
        <v>180</v>
      </c>
      <c r="D77" s="28" t="s">
        <v>11</v>
      </c>
      <c r="E77" s="22" t="s">
        <v>5</v>
      </c>
      <c r="F77" s="22" t="s">
        <v>5</v>
      </c>
      <c r="G77" s="26" t="s">
        <v>3</v>
      </c>
      <c r="H77" s="26" t="s">
        <v>3</v>
      </c>
      <c r="I77" s="26" t="s">
        <v>3</v>
      </c>
      <c r="J77" s="27" t="s">
        <v>7</v>
      </c>
      <c r="K77" s="28" t="s">
        <v>11</v>
      </c>
      <c r="L77" s="26" t="s">
        <v>3</v>
      </c>
      <c r="M77" s="26" t="s">
        <v>3</v>
      </c>
      <c r="N77" s="26" t="s">
        <v>3</v>
      </c>
      <c r="O77" s="26" t="s">
        <v>3</v>
      </c>
      <c r="P77" s="26" t="s">
        <v>3</v>
      </c>
      <c r="Q77" s="27" t="s">
        <v>7</v>
      </c>
      <c r="R77" s="28" t="s">
        <v>11</v>
      </c>
      <c r="S77" s="26" t="s">
        <v>3</v>
      </c>
      <c r="T77" s="26" t="s">
        <v>3</v>
      </c>
      <c r="U77" s="26" t="s">
        <v>3</v>
      </c>
      <c r="V77" s="26" t="s">
        <v>3</v>
      </c>
      <c r="W77" s="26" t="s">
        <v>3</v>
      </c>
      <c r="X77" s="27" t="s">
        <v>7</v>
      </c>
      <c r="Y77" s="28" t="s">
        <v>11</v>
      </c>
      <c r="Z77" s="26" t="s">
        <v>3</v>
      </c>
      <c r="AA77" s="26" t="s">
        <v>3</v>
      </c>
      <c r="AB77" s="26" t="s">
        <v>3</v>
      </c>
      <c r="AC77" s="26" t="s">
        <v>3</v>
      </c>
      <c r="AD77" s="26" t="s">
        <v>3</v>
      </c>
      <c r="AE77" s="23" t="s">
        <v>7</v>
      </c>
      <c r="AF77" s="24" t="s">
        <v>9</v>
      </c>
      <c r="AG77" s="26" t="s">
        <v>3</v>
      </c>
      <c r="AH77" s="8">
        <f t="shared" ref="AH77:AH82" si="24">COUNTIF(D77:AG77,"ON")</f>
        <v>19</v>
      </c>
      <c r="AI77" s="8">
        <f t="shared" ref="AI77:AI82" si="25">COUNTIF(D77:AG77,"OFF")</f>
        <v>2</v>
      </c>
      <c r="AJ77" s="29">
        <f t="shared" ref="AJ77:AJ82" si="26">COUNTIF(D77:AG77,"OT")</f>
        <v>4</v>
      </c>
      <c r="AK77" s="62">
        <v>3</v>
      </c>
      <c r="AL77" s="33">
        <f t="shared" ref="AL77:AL82" si="27">AH77+AJ77+AK77*0.5</f>
        <v>24.5</v>
      </c>
      <c r="AM77" s="63">
        <f t="shared" ref="AM77:AM82" si="28">NETWORKDAYS(DATE(2025,6,1),EOMONTH(DATE(2025,6,1),0))*8</f>
        <v>168</v>
      </c>
      <c r="AN77" s="63">
        <f t="shared" ref="AN77:AN82" si="29">MAX(0,COUNTIF(I77,"ON")+COUNTIF(P77,"ON")+COUNTIF(W77,"ON")+COUNTIF(AD77,"ON")-AK77)</f>
        <v>1</v>
      </c>
      <c r="AO77" s="63">
        <f t="shared" ref="AO77:AO82" si="30">AN77*$AO$2</f>
        <v>4</v>
      </c>
      <c r="AP77" s="53">
        <f t="shared" ref="AP77:AP82" si="31">AL77-AO77/8</f>
        <v>24</v>
      </c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</row>
    <row r="78" spans="1:55" ht="22" customHeight="1" x14ac:dyDescent="0.35">
      <c r="A78" s="8" t="s">
        <v>181</v>
      </c>
      <c r="B78" s="8" t="s">
        <v>182</v>
      </c>
      <c r="C78" s="8" t="s">
        <v>180</v>
      </c>
      <c r="D78" s="28" t="s">
        <v>11</v>
      </c>
      <c r="E78" s="26" t="s">
        <v>3</v>
      </c>
      <c r="F78" s="26" t="s">
        <v>3</v>
      </c>
      <c r="G78" s="26" t="s">
        <v>3</v>
      </c>
      <c r="H78" s="26" t="s">
        <v>3</v>
      </c>
      <c r="I78" s="26" t="s">
        <v>3</v>
      </c>
      <c r="J78" s="23" t="s">
        <v>7</v>
      </c>
      <c r="K78" s="28" t="s">
        <v>11</v>
      </c>
      <c r="L78" s="26" t="s">
        <v>3</v>
      </c>
      <c r="M78" s="22" t="s">
        <v>5</v>
      </c>
      <c r="N78" s="22" t="s">
        <v>5</v>
      </c>
      <c r="O78" s="22" t="s">
        <v>5</v>
      </c>
      <c r="P78" s="26" t="s">
        <v>3</v>
      </c>
      <c r="Q78" s="27" t="s">
        <v>7</v>
      </c>
      <c r="R78" s="28" t="s">
        <v>11</v>
      </c>
      <c r="S78" s="26" t="s">
        <v>3</v>
      </c>
      <c r="T78" s="26" t="s">
        <v>3</v>
      </c>
      <c r="U78" s="26" t="s">
        <v>3</v>
      </c>
      <c r="V78" s="26" t="s">
        <v>3</v>
      </c>
      <c r="W78" s="26" t="s">
        <v>3</v>
      </c>
      <c r="X78" s="23" t="s">
        <v>7</v>
      </c>
      <c r="Y78" s="24" t="s">
        <v>9</v>
      </c>
      <c r="Z78" s="26" t="s">
        <v>3</v>
      </c>
      <c r="AA78" s="26" t="s">
        <v>3</v>
      </c>
      <c r="AB78" s="26" t="s">
        <v>3</v>
      </c>
      <c r="AC78" s="26" t="s">
        <v>3</v>
      </c>
      <c r="AD78" s="26" t="s">
        <v>3</v>
      </c>
      <c r="AE78" s="27" t="s">
        <v>7</v>
      </c>
      <c r="AF78" s="28" t="s">
        <v>11</v>
      </c>
      <c r="AG78" s="26" t="s">
        <v>3</v>
      </c>
      <c r="AH78" s="8">
        <f t="shared" si="24"/>
        <v>18</v>
      </c>
      <c r="AI78" s="8">
        <f t="shared" si="25"/>
        <v>3</v>
      </c>
      <c r="AJ78" s="29">
        <f t="shared" si="26"/>
        <v>4</v>
      </c>
      <c r="AK78" s="62">
        <v>2</v>
      </c>
      <c r="AL78" s="33">
        <f t="shared" si="27"/>
        <v>23</v>
      </c>
      <c r="AM78" s="63">
        <f t="shared" si="28"/>
        <v>168</v>
      </c>
      <c r="AN78" s="63">
        <f t="shared" si="29"/>
        <v>2</v>
      </c>
      <c r="AO78" s="63">
        <f t="shared" si="30"/>
        <v>8</v>
      </c>
      <c r="AP78" s="53">
        <f t="shared" si="31"/>
        <v>22</v>
      </c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</row>
    <row r="79" spans="1:55" ht="22" customHeight="1" x14ac:dyDescent="0.35">
      <c r="A79" s="8" t="s">
        <v>183</v>
      </c>
      <c r="B79" s="8" t="s">
        <v>184</v>
      </c>
      <c r="C79" s="8" t="s">
        <v>180</v>
      </c>
      <c r="D79" s="24" t="s">
        <v>9</v>
      </c>
      <c r="E79" s="22" t="s">
        <v>5</v>
      </c>
      <c r="F79" s="22" t="s">
        <v>5</v>
      </c>
      <c r="G79" s="22" t="s">
        <v>5</v>
      </c>
      <c r="H79" s="22" t="s">
        <v>5</v>
      </c>
      <c r="I79" s="22" t="s">
        <v>5</v>
      </c>
      <c r="J79" s="23" t="s">
        <v>7</v>
      </c>
      <c r="K79" s="24" t="s">
        <v>9</v>
      </c>
      <c r="L79" s="22" t="s">
        <v>5</v>
      </c>
      <c r="M79" s="22" t="s">
        <v>5</v>
      </c>
      <c r="N79" s="22" t="s">
        <v>5</v>
      </c>
      <c r="O79" s="22" t="s">
        <v>5</v>
      </c>
      <c r="P79" s="22" t="s">
        <v>5</v>
      </c>
      <c r="Q79" s="23" t="s">
        <v>7</v>
      </c>
      <c r="R79" s="24" t="s">
        <v>9</v>
      </c>
      <c r="S79" s="22" t="s">
        <v>5</v>
      </c>
      <c r="T79" s="22" t="s">
        <v>5</v>
      </c>
      <c r="U79" s="22" t="s">
        <v>5</v>
      </c>
      <c r="V79" s="22" t="s">
        <v>5</v>
      </c>
      <c r="W79" s="22" t="s">
        <v>5</v>
      </c>
      <c r="X79" s="23" t="s">
        <v>7</v>
      </c>
      <c r="Y79" s="24" t="s">
        <v>9</v>
      </c>
      <c r="Z79" s="22" t="s">
        <v>5</v>
      </c>
      <c r="AA79" s="22" t="s">
        <v>5</v>
      </c>
      <c r="AB79" s="22" t="s">
        <v>5</v>
      </c>
      <c r="AC79" s="22" t="s">
        <v>5</v>
      </c>
      <c r="AD79" s="22" t="s">
        <v>5</v>
      </c>
      <c r="AE79" s="23" t="s">
        <v>7</v>
      </c>
      <c r="AF79" s="24" t="s">
        <v>9</v>
      </c>
      <c r="AG79" s="22" t="s">
        <v>5</v>
      </c>
      <c r="AH79" s="8">
        <f t="shared" si="24"/>
        <v>0</v>
      </c>
      <c r="AI79" s="25">
        <f t="shared" si="25"/>
        <v>21</v>
      </c>
      <c r="AJ79" s="8">
        <f t="shared" si="26"/>
        <v>0</v>
      </c>
      <c r="AK79" s="62">
        <v>0</v>
      </c>
      <c r="AL79" s="33">
        <f t="shared" si="27"/>
        <v>0</v>
      </c>
      <c r="AM79" s="63">
        <f t="shared" si="28"/>
        <v>168</v>
      </c>
      <c r="AN79" s="63">
        <f t="shared" si="29"/>
        <v>0</v>
      </c>
      <c r="AO79" s="63">
        <f t="shared" si="30"/>
        <v>0</v>
      </c>
      <c r="AP79" s="53">
        <f t="shared" si="31"/>
        <v>0</v>
      </c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</row>
    <row r="80" spans="1:55" ht="22" customHeight="1" x14ac:dyDescent="0.35">
      <c r="A80" s="8" t="s">
        <v>185</v>
      </c>
      <c r="B80" s="8" t="s">
        <v>186</v>
      </c>
      <c r="C80" s="8" t="s">
        <v>180</v>
      </c>
      <c r="D80" s="24" t="s">
        <v>9</v>
      </c>
      <c r="E80" s="22" t="s">
        <v>5</v>
      </c>
      <c r="F80" s="22" t="s">
        <v>5</v>
      </c>
      <c r="G80" s="22" t="s">
        <v>5</v>
      </c>
      <c r="H80" s="22" t="s">
        <v>5</v>
      </c>
      <c r="I80" s="22" t="s">
        <v>5</v>
      </c>
      <c r="J80" s="23" t="s">
        <v>7</v>
      </c>
      <c r="K80" s="24" t="s">
        <v>9</v>
      </c>
      <c r="L80" s="22" t="s">
        <v>5</v>
      </c>
      <c r="M80" s="22" t="s">
        <v>5</v>
      </c>
      <c r="N80" s="22" t="s">
        <v>5</v>
      </c>
      <c r="O80" s="22" t="s">
        <v>5</v>
      </c>
      <c r="P80" s="22" t="s">
        <v>5</v>
      </c>
      <c r="Q80" s="23" t="s">
        <v>7</v>
      </c>
      <c r="R80" s="24" t="s">
        <v>9</v>
      </c>
      <c r="S80" s="22" t="s">
        <v>5</v>
      </c>
      <c r="T80" s="22" t="s">
        <v>5</v>
      </c>
      <c r="U80" s="22" t="s">
        <v>5</v>
      </c>
      <c r="V80" s="22" t="s">
        <v>5</v>
      </c>
      <c r="W80" s="22" t="s">
        <v>5</v>
      </c>
      <c r="X80" s="23" t="s">
        <v>7</v>
      </c>
      <c r="Y80" s="24" t="s">
        <v>9</v>
      </c>
      <c r="Z80" s="22" t="s">
        <v>5</v>
      </c>
      <c r="AA80" s="22" t="s">
        <v>5</v>
      </c>
      <c r="AB80" s="22" t="s">
        <v>5</v>
      </c>
      <c r="AC80" s="22" t="s">
        <v>5</v>
      </c>
      <c r="AD80" s="22" t="s">
        <v>5</v>
      </c>
      <c r="AE80" s="23" t="s">
        <v>7</v>
      </c>
      <c r="AF80" s="24" t="s">
        <v>9</v>
      </c>
      <c r="AG80" s="22" t="s">
        <v>5</v>
      </c>
      <c r="AH80" s="8">
        <f t="shared" si="24"/>
        <v>0</v>
      </c>
      <c r="AI80" s="25">
        <f t="shared" si="25"/>
        <v>21</v>
      </c>
      <c r="AJ80" s="8">
        <f t="shared" si="26"/>
        <v>0</v>
      </c>
      <c r="AK80" s="62">
        <v>0</v>
      </c>
      <c r="AL80" s="33">
        <f t="shared" si="27"/>
        <v>0</v>
      </c>
      <c r="AM80" s="63">
        <f t="shared" si="28"/>
        <v>168</v>
      </c>
      <c r="AN80" s="63">
        <f t="shared" si="29"/>
        <v>0</v>
      </c>
      <c r="AO80" s="63">
        <f t="shared" si="30"/>
        <v>0</v>
      </c>
      <c r="AP80" s="53">
        <f t="shared" si="31"/>
        <v>0</v>
      </c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</row>
    <row r="81" spans="1:55" ht="22" customHeight="1" x14ac:dyDescent="0.35">
      <c r="A81" s="8" t="s">
        <v>187</v>
      </c>
      <c r="B81" s="8" t="s">
        <v>188</v>
      </c>
      <c r="C81" s="8" t="s">
        <v>180</v>
      </c>
      <c r="D81" s="28" t="s">
        <v>11</v>
      </c>
      <c r="E81" s="26" t="s">
        <v>3</v>
      </c>
      <c r="F81" s="26" t="s">
        <v>3</v>
      </c>
      <c r="G81" s="26" t="s">
        <v>3</v>
      </c>
      <c r="H81" s="26" t="s">
        <v>3</v>
      </c>
      <c r="I81" s="26" t="s">
        <v>3</v>
      </c>
      <c r="J81" s="27" t="s">
        <v>7</v>
      </c>
      <c r="K81" s="28" t="s">
        <v>11</v>
      </c>
      <c r="L81" s="26" t="s">
        <v>3</v>
      </c>
      <c r="M81" s="26" t="s">
        <v>3</v>
      </c>
      <c r="N81" s="26" t="s">
        <v>3</v>
      </c>
      <c r="O81" s="26" t="s">
        <v>3</v>
      </c>
      <c r="P81" s="26" t="s">
        <v>3</v>
      </c>
      <c r="Q81" s="27" t="s">
        <v>7</v>
      </c>
      <c r="R81" s="28" t="s">
        <v>11</v>
      </c>
      <c r="S81" s="26" t="s">
        <v>3</v>
      </c>
      <c r="T81" s="26" t="s">
        <v>3</v>
      </c>
      <c r="U81" s="22" t="s">
        <v>5</v>
      </c>
      <c r="V81" s="22" t="s">
        <v>5</v>
      </c>
      <c r="W81" s="26" t="s">
        <v>3</v>
      </c>
      <c r="X81" s="27" t="s">
        <v>7</v>
      </c>
      <c r="Y81" s="28" t="s">
        <v>11</v>
      </c>
      <c r="Z81" s="26" t="s">
        <v>3</v>
      </c>
      <c r="AA81" s="26" t="s">
        <v>3</v>
      </c>
      <c r="AB81" s="26" t="s">
        <v>3</v>
      </c>
      <c r="AC81" s="26" t="s">
        <v>3</v>
      </c>
      <c r="AD81" s="26" t="s">
        <v>3</v>
      </c>
      <c r="AE81" s="27" t="s">
        <v>7</v>
      </c>
      <c r="AF81" s="28" t="s">
        <v>11</v>
      </c>
      <c r="AG81" s="26" t="s">
        <v>3</v>
      </c>
      <c r="AH81" s="8">
        <f t="shared" si="24"/>
        <v>19</v>
      </c>
      <c r="AI81" s="8">
        <f t="shared" si="25"/>
        <v>2</v>
      </c>
      <c r="AJ81" s="29">
        <f t="shared" si="26"/>
        <v>5</v>
      </c>
      <c r="AK81" s="62">
        <v>4</v>
      </c>
      <c r="AL81" s="33">
        <f t="shared" si="27"/>
        <v>26</v>
      </c>
      <c r="AM81" s="63">
        <f t="shared" si="28"/>
        <v>168</v>
      </c>
      <c r="AN81" s="63">
        <f t="shared" si="29"/>
        <v>0</v>
      </c>
      <c r="AO81" s="63">
        <f t="shared" si="30"/>
        <v>0</v>
      </c>
      <c r="AP81" s="53">
        <f t="shared" si="31"/>
        <v>26</v>
      </c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</row>
    <row r="82" spans="1:55" ht="22" customHeight="1" x14ac:dyDescent="0.35">
      <c r="A82" s="8" t="s">
        <v>189</v>
      </c>
      <c r="B82" s="8" t="s">
        <v>190</v>
      </c>
      <c r="C82" s="8" t="s">
        <v>180</v>
      </c>
      <c r="D82" s="28" t="s">
        <v>11</v>
      </c>
      <c r="E82" s="26" t="s">
        <v>3</v>
      </c>
      <c r="F82" s="26" t="s">
        <v>3</v>
      </c>
      <c r="G82" s="26" t="s">
        <v>3</v>
      </c>
      <c r="H82" s="26" t="s">
        <v>3</v>
      </c>
      <c r="I82" s="22" t="s">
        <v>5</v>
      </c>
      <c r="J82" s="23" t="s">
        <v>7</v>
      </c>
      <c r="K82" s="24" t="s">
        <v>9</v>
      </c>
      <c r="L82" s="26" t="s">
        <v>3</v>
      </c>
      <c r="M82" s="26" t="s">
        <v>3</v>
      </c>
      <c r="N82" s="26" t="s">
        <v>3</v>
      </c>
      <c r="O82" s="26" t="s">
        <v>3</v>
      </c>
      <c r="P82" s="26" t="s">
        <v>3</v>
      </c>
      <c r="Q82" s="27" t="s">
        <v>7</v>
      </c>
      <c r="R82" s="28" t="s">
        <v>11</v>
      </c>
      <c r="S82" s="26" t="s">
        <v>3</v>
      </c>
      <c r="T82" s="26" t="s">
        <v>3</v>
      </c>
      <c r="U82" s="26" t="s">
        <v>3</v>
      </c>
      <c r="V82" s="26" t="s">
        <v>3</v>
      </c>
      <c r="W82" s="26" t="s">
        <v>3</v>
      </c>
      <c r="X82" s="27" t="s">
        <v>7</v>
      </c>
      <c r="Y82" s="28" t="s">
        <v>11</v>
      </c>
      <c r="Z82" s="22" t="s">
        <v>5</v>
      </c>
      <c r="AA82" s="22" t="s">
        <v>5</v>
      </c>
      <c r="AB82" s="26" t="s">
        <v>3</v>
      </c>
      <c r="AC82" s="26" t="s">
        <v>3</v>
      </c>
      <c r="AD82" s="26" t="s">
        <v>3</v>
      </c>
      <c r="AE82" s="27" t="s">
        <v>7</v>
      </c>
      <c r="AF82" s="28" t="s">
        <v>11</v>
      </c>
      <c r="AG82" s="26" t="s">
        <v>3</v>
      </c>
      <c r="AH82" s="8">
        <f t="shared" si="24"/>
        <v>18</v>
      </c>
      <c r="AI82" s="8">
        <f t="shared" si="25"/>
        <v>3</v>
      </c>
      <c r="AJ82" s="29">
        <f t="shared" si="26"/>
        <v>4</v>
      </c>
      <c r="AK82" s="62">
        <v>3</v>
      </c>
      <c r="AL82" s="33">
        <f t="shared" si="27"/>
        <v>23.5</v>
      </c>
      <c r="AM82" s="63">
        <f t="shared" si="28"/>
        <v>168</v>
      </c>
      <c r="AN82" s="63">
        <f t="shared" si="29"/>
        <v>0</v>
      </c>
      <c r="AO82" s="63">
        <f t="shared" si="30"/>
        <v>0</v>
      </c>
      <c r="AP82" s="53">
        <f t="shared" si="31"/>
        <v>23.5</v>
      </c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</row>
    <row r="83" spans="1:55" x14ac:dyDescent="0.35"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</row>
    <row r="84" spans="1:55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</row>
    <row r="85" spans="1:55" ht="22" customHeight="1" x14ac:dyDescent="0.35">
      <c r="A85" s="8" t="s">
        <v>192</v>
      </c>
      <c r="B85" s="8" t="s">
        <v>193</v>
      </c>
      <c r="C85" s="8" t="s">
        <v>194</v>
      </c>
      <c r="D85" s="24" t="s">
        <v>9</v>
      </c>
      <c r="E85" s="26" t="s">
        <v>3</v>
      </c>
      <c r="F85" s="26" t="s">
        <v>3</v>
      </c>
      <c r="G85" s="26" t="s">
        <v>3</v>
      </c>
      <c r="H85" s="26" t="s">
        <v>3</v>
      </c>
      <c r="I85" s="22" t="s">
        <v>5</v>
      </c>
      <c r="J85" s="23" t="s">
        <v>7</v>
      </c>
      <c r="K85" s="24" t="s">
        <v>9</v>
      </c>
      <c r="L85" s="26" t="s">
        <v>3</v>
      </c>
      <c r="M85" s="26" t="s">
        <v>3</v>
      </c>
      <c r="N85" s="22" t="s">
        <v>5</v>
      </c>
      <c r="O85" s="26" t="s">
        <v>3</v>
      </c>
      <c r="P85" s="26" t="s">
        <v>3</v>
      </c>
      <c r="Q85" s="23" t="s">
        <v>7</v>
      </c>
      <c r="R85" s="28" t="s">
        <v>11</v>
      </c>
      <c r="S85" s="26" t="s">
        <v>3</v>
      </c>
      <c r="T85" s="26" t="s">
        <v>3</v>
      </c>
      <c r="U85" s="26" t="s">
        <v>3</v>
      </c>
      <c r="V85" s="26" t="s">
        <v>3</v>
      </c>
      <c r="W85" s="26" t="s">
        <v>3</v>
      </c>
      <c r="X85" s="23" t="s">
        <v>7</v>
      </c>
      <c r="Y85" s="24" t="s">
        <v>9</v>
      </c>
      <c r="Z85" s="26" t="s">
        <v>3</v>
      </c>
      <c r="AA85" s="26" t="s">
        <v>3</v>
      </c>
      <c r="AB85" s="26" t="s">
        <v>3</v>
      </c>
      <c r="AC85" s="26" t="s">
        <v>3</v>
      </c>
      <c r="AD85" s="26" t="s">
        <v>3</v>
      </c>
      <c r="AE85" s="23" t="s">
        <v>7</v>
      </c>
      <c r="AF85" s="24" t="s">
        <v>9</v>
      </c>
      <c r="AG85" s="22" t="s">
        <v>5</v>
      </c>
      <c r="AH85" s="8">
        <f>COUNTIF(D85:AG85,"ON")</f>
        <v>18</v>
      </c>
      <c r="AI85" s="8">
        <f>COUNTIF(D85:AG85,"OFF")</f>
        <v>3</v>
      </c>
      <c r="AJ85" s="29">
        <f>COUNTIF(D85:AG85,"OT")</f>
        <v>1</v>
      </c>
      <c r="AK85" s="62">
        <v>0</v>
      </c>
      <c r="AL85" s="33">
        <f>AH85+AJ85+AK85*0.5</f>
        <v>19</v>
      </c>
      <c r="AM85" s="63">
        <f>NETWORKDAYS(DATE(2025,6,1),EOMONTH(DATE(2025,6,1),0))*8</f>
        <v>168</v>
      </c>
      <c r="AN85" s="63">
        <f>MAX(0,COUNTIF(I85,"ON")+COUNTIF(P85,"ON")+COUNTIF(W85,"ON")+COUNTIF(AD85,"ON")-AK85)</f>
        <v>3</v>
      </c>
      <c r="AO85" s="63">
        <f>AN85*$AO$2</f>
        <v>12</v>
      </c>
      <c r="AP85" s="53">
        <f>AL85-AO85/8</f>
        <v>17.5</v>
      </c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</row>
    <row r="86" spans="1:55" ht="22" customHeight="1" x14ac:dyDescent="0.35">
      <c r="A86" s="8" t="s">
        <v>195</v>
      </c>
      <c r="B86" s="8" t="s">
        <v>196</v>
      </c>
      <c r="C86" s="8" t="s">
        <v>194</v>
      </c>
      <c r="D86" s="24" t="s">
        <v>9</v>
      </c>
      <c r="E86" s="26" t="s">
        <v>3</v>
      </c>
      <c r="F86" s="26" t="s">
        <v>3</v>
      </c>
      <c r="G86" s="26" t="s">
        <v>3</v>
      </c>
      <c r="H86" s="26" t="s">
        <v>3</v>
      </c>
      <c r="I86" s="22" t="s">
        <v>5</v>
      </c>
      <c r="J86" s="23" t="s">
        <v>7</v>
      </c>
      <c r="K86" s="24" t="s">
        <v>9</v>
      </c>
      <c r="L86" s="26" t="s">
        <v>3</v>
      </c>
      <c r="M86" s="26" t="s">
        <v>3</v>
      </c>
      <c r="N86" s="26" t="s">
        <v>3</v>
      </c>
      <c r="O86" s="26" t="s">
        <v>3</v>
      </c>
      <c r="P86" s="26" t="s">
        <v>3</v>
      </c>
      <c r="Q86" s="27" t="s">
        <v>7</v>
      </c>
      <c r="R86" s="24" t="s">
        <v>9</v>
      </c>
      <c r="S86" s="26" t="s">
        <v>3</v>
      </c>
      <c r="T86" s="26" t="s">
        <v>3</v>
      </c>
      <c r="U86" s="26" t="s">
        <v>3</v>
      </c>
      <c r="V86" s="26" t="s">
        <v>3</v>
      </c>
      <c r="W86" s="26" t="s">
        <v>3</v>
      </c>
      <c r="X86" s="23" t="s">
        <v>7</v>
      </c>
      <c r="Y86" s="24" t="s">
        <v>9</v>
      </c>
      <c r="Z86" s="26" t="s">
        <v>3</v>
      </c>
      <c r="AA86" s="26" t="s">
        <v>3</v>
      </c>
      <c r="AB86" s="26" t="s">
        <v>3</v>
      </c>
      <c r="AC86" s="26" t="s">
        <v>3</v>
      </c>
      <c r="AD86" s="26" t="s">
        <v>3</v>
      </c>
      <c r="AE86" s="23" t="s">
        <v>7</v>
      </c>
      <c r="AF86" s="28" t="s">
        <v>11</v>
      </c>
      <c r="AG86" s="26" t="s">
        <v>3</v>
      </c>
      <c r="AH86" s="8">
        <f>COUNTIF(D86:AG86,"ON")</f>
        <v>20</v>
      </c>
      <c r="AI86" s="8">
        <f>COUNTIF(D86:AG86,"OFF")</f>
        <v>1</v>
      </c>
      <c r="AJ86" s="29">
        <f>COUNTIF(D86:AG86,"OT")</f>
        <v>1</v>
      </c>
      <c r="AK86" s="62">
        <v>1</v>
      </c>
      <c r="AL86" s="33">
        <f>AH86+AJ86+AK86*0.5</f>
        <v>21.5</v>
      </c>
      <c r="AM86" s="63">
        <f>NETWORKDAYS(DATE(2025,6,1),EOMONTH(DATE(2025,6,1),0))*8</f>
        <v>168</v>
      </c>
      <c r="AN86" s="63">
        <f>MAX(0,COUNTIF(I86,"ON")+COUNTIF(P86,"ON")+COUNTIF(W86,"ON")+COUNTIF(AD86,"ON")-AK86)</f>
        <v>2</v>
      </c>
      <c r="AO86" s="63">
        <f>AN86*$AO$2</f>
        <v>8</v>
      </c>
      <c r="AP86" s="53">
        <f>AL86-AO86/8</f>
        <v>20.5</v>
      </c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</row>
    <row r="87" spans="1:55" ht="22" customHeight="1" x14ac:dyDescent="0.35">
      <c r="A87" s="8" t="s">
        <v>197</v>
      </c>
      <c r="B87" s="8" t="s">
        <v>198</v>
      </c>
      <c r="C87" s="8" t="s">
        <v>194</v>
      </c>
      <c r="D87" s="24" t="s">
        <v>9</v>
      </c>
      <c r="E87" s="26" t="s">
        <v>3</v>
      </c>
      <c r="F87" s="26" t="s">
        <v>3</v>
      </c>
      <c r="G87" s="26" t="s">
        <v>3</v>
      </c>
      <c r="H87" s="26" t="s">
        <v>3</v>
      </c>
      <c r="I87" s="26" t="s">
        <v>3</v>
      </c>
      <c r="J87" s="27" t="s">
        <v>7</v>
      </c>
      <c r="K87" s="24" t="s">
        <v>9</v>
      </c>
      <c r="L87" s="26" t="s">
        <v>3</v>
      </c>
      <c r="M87" s="26" t="s">
        <v>3</v>
      </c>
      <c r="N87" s="26" t="s">
        <v>3</v>
      </c>
      <c r="O87" s="26" t="s">
        <v>3</v>
      </c>
      <c r="P87" s="26" t="s">
        <v>3</v>
      </c>
      <c r="Q87" s="23" t="s">
        <v>7</v>
      </c>
      <c r="R87" s="24" t="s">
        <v>9</v>
      </c>
      <c r="S87" s="22" t="s">
        <v>5</v>
      </c>
      <c r="T87" s="26" t="s">
        <v>3</v>
      </c>
      <c r="U87" s="26" t="s">
        <v>3</v>
      </c>
      <c r="V87" s="26" t="s">
        <v>3</v>
      </c>
      <c r="W87" s="26" t="s">
        <v>3</v>
      </c>
      <c r="X87" s="27" t="s">
        <v>7</v>
      </c>
      <c r="Y87" s="24" t="s">
        <v>9</v>
      </c>
      <c r="Z87" s="26" t="s">
        <v>3</v>
      </c>
      <c r="AA87" s="26" t="s">
        <v>3</v>
      </c>
      <c r="AB87" s="26" t="s">
        <v>3</v>
      </c>
      <c r="AC87" s="26" t="s">
        <v>3</v>
      </c>
      <c r="AD87" s="26" t="s">
        <v>3</v>
      </c>
      <c r="AE87" s="23" t="s">
        <v>7</v>
      </c>
      <c r="AF87" s="24" t="s">
        <v>9</v>
      </c>
      <c r="AG87" s="26" t="s">
        <v>3</v>
      </c>
      <c r="AH87" s="8">
        <f>COUNTIF(D87:AG87,"ON")</f>
        <v>20</v>
      </c>
      <c r="AI87" s="8">
        <f>COUNTIF(D87:AG87,"OFF")</f>
        <v>1</v>
      </c>
      <c r="AJ87" s="8">
        <f>COUNTIF(D87:AG87,"OT")</f>
        <v>0</v>
      </c>
      <c r="AK87" s="62">
        <v>2</v>
      </c>
      <c r="AL87" s="33">
        <f>AH87+AJ87+AK87*0.5</f>
        <v>21</v>
      </c>
      <c r="AM87" s="63">
        <f>NETWORKDAYS(DATE(2025,6,1),EOMONTH(DATE(2025,6,1),0))*8</f>
        <v>168</v>
      </c>
      <c r="AN87" s="63">
        <f>MAX(0,COUNTIF(I87,"ON")+COUNTIF(P87,"ON")+COUNTIF(W87,"ON")+COUNTIF(AD87,"ON")-AK87)</f>
        <v>2</v>
      </c>
      <c r="AO87" s="63">
        <f>AN87*$AO$2</f>
        <v>8</v>
      </c>
      <c r="AP87" s="53">
        <f>AL87-AO87/8</f>
        <v>20</v>
      </c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</row>
    <row r="88" spans="1:55" ht="22" customHeight="1" x14ac:dyDescent="0.35">
      <c r="A88" s="8" t="s">
        <v>199</v>
      </c>
      <c r="B88" s="8" t="s">
        <v>200</v>
      </c>
      <c r="C88" s="8" t="s">
        <v>194</v>
      </c>
      <c r="D88" s="24" t="s">
        <v>9</v>
      </c>
      <c r="E88" s="26" t="s">
        <v>3</v>
      </c>
      <c r="F88" s="26" t="s">
        <v>3</v>
      </c>
      <c r="G88" s="26" t="s">
        <v>3</v>
      </c>
      <c r="H88" s="26" t="s">
        <v>3</v>
      </c>
      <c r="I88" s="26" t="s">
        <v>3</v>
      </c>
      <c r="J88" s="23" t="s">
        <v>7</v>
      </c>
      <c r="K88" s="24" t="s">
        <v>9</v>
      </c>
      <c r="L88" s="26" t="s">
        <v>3</v>
      </c>
      <c r="M88" s="26" t="s">
        <v>3</v>
      </c>
      <c r="N88" s="26" t="s">
        <v>3</v>
      </c>
      <c r="O88" s="26" t="s">
        <v>3</v>
      </c>
      <c r="P88" s="26" t="s">
        <v>3</v>
      </c>
      <c r="Q88" s="23" t="s">
        <v>7</v>
      </c>
      <c r="R88" s="24" t="s">
        <v>9</v>
      </c>
      <c r="S88" s="22" t="s">
        <v>5</v>
      </c>
      <c r="T88" s="26" t="s">
        <v>3</v>
      </c>
      <c r="U88" s="26" t="s">
        <v>3</v>
      </c>
      <c r="V88" s="26" t="s">
        <v>3</v>
      </c>
      <c r="W88" s="26" t="s">
        <v>3</v>
      </c>
      <c r="X88" s="23" t="s">
        <v>7</v>
      </c>
      <c r="Y88" s="28" t="s">
        <v>11</v>
      </c>
      <c r="Z88" s="26" t="s">
        <v>3</v>
      </c>
      <c r="AA88" s="26" t="s">
        <v>3</v>
      </c>
      <c r="AB88" s="26" t="s">
        <v>3</v>
      </c>
      <c r="AC88" s="26" t="s">
        <v>3</v>
      </c>
      <c r="AD88" s="26" t="s">
        <v>3</v>
      </c>
      <c r="AE88" s="27" t="s">
        <v>7</v>
      </c>
      <c r="AF88" s="24" t="s">
        <v>9</v>
      </c>
      <c r="AG88" s="26" t="s">
        <v>3</v>
      </c>
      <c r="AH88" s="8">
        <f>COUNTIF(D88:AG88,"ON")</f>
        <v>20</v>
      </c>
      <c r="AI88" s="8">
        <f>COUNTIF(D88:AG88,"OFF")</f>
        <v>1</v>
      </c>
      <c r="AJ88" s="29">
        <f>COUNTIF(D88:AG88,"OT")</f>
        <v>1</v>
      </c>
      <c r="AK88" s="62">
        <v>1</v>
      </c>
      <c r="AL88" s="33">
        <f>AH88+AJ88+AK88*0.5</f>
        <v>21.5</v>
      </c>
      <c r="AM88" s="63">
        <f>NETWORKDAYS(DATE(2025,6,1),EOMONTH(DATE(2025,6,1),0))*8</f>
        <v>168</v>
      </c>
      <c r="AN88" s="63">
        <f>MAX(0,COUNTIF(I88,"ON")+COUNTIF(P88,"ON")+COUNTIF(W88,"ON")+COUNTIF(AD88,"ON")-AK88)</f>
        <v>3</v>
      </c>
      <c r="AO88" s="63">
        <f>AN88*$AO$2</f>
        <v>12</v>
      </c>
      <c r="AP88" s="53">
        <f>AL88-AO88/8</f>
        <v>20</v>
      </c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</row>
    <row r="89" spans="1:55" ht="22" customHeight="1" x14ac:dyDescent="0.35">
      <c r="A89" s="8" t="s">
        <v>201</v>
      </c>
      <c r="B89" s="8" t="s">
        <v>202</v>
      </c>
      <c r="C89" s="8" t="s">
        <v>194</v>
      </c>
      <c r="D89" s="24" t="s">
        <v>9</v>
      </c>
      <c r="E89" s="22" t="s">
        <v>5</v>
      </c>
      <c r="F89" s="22" t="s">
        <v>5</v>
      </c>
      <c r="G89" s="22" t="s">
        <v>5</v>
      </c>
      <c r="H89" s="22" t="s">
        <v>5</v>
      </c>
      <c r="I89" s="22" t="s">
        <v>5</v>
      </c>
      <c r="J89" s="23" t="s">
        <v>7</v>
      </c>
      <c r="K89" s="24" t="s">
        <v>9</v>
      </c>
      <c r="L89" s="22" t="s">
        <v>5</v>
      </c>
      <c r="M89" s="22" t="s">
        <v>5</v>
      </c>
      <c r="N89" s="22" t="s">
        <v>5</v>
      </c>
      <c r="O89" s="22" t="s">
        <v>5</v>
      </c>
      <c r="P89" s="22" t="s">
        <v>5</v>
      </c>
      <c r="Q89" s="23" t="s">
        <v>7</v>
      </c>
      <c r="R89" s="24" t="s">
        <v>9</v>
      </c>
      <c r="S89" s="22" t="s">
        <v>5</v>
      </c>
      <c r="T89" s="22" t="s">
        <v>5</v>
      </c>
      <c r="U89" s="22" t="s">
        <v>5</v>
      </c>
      <c r="V89" s="22" t="s">
        <v>5</v>
      </c>
      <c r="W89" s="22" t="s">
        <v>5</v>
      </c>
      <c r="X89" s="23" t="s">
        <v>7</v>
      </c>
      <c r="Y89" s="24" t="s">
        <v>9</v>
      </c>
      <c r="Z89" s="22" t="s">
        <v>5</v>
      </c>
      <c r="AA89" s="22" t="s">
        <v>5</v>
      </c>
      <c r="AB89" s="22" t="s">
        <v>5</v>
      </c>
      <c r="AC89" s="22" t="s">
        <v>5</v>
      </c>
      <c r="AD89" s="22" t="s">
        <v>5</v>
      </c>
      <c r="AE89" s="23" t="s">
        <v>7</v>
      </c>
      <c r="AF89" s="24" t="s">
        <v>9</v>
      </c>
      <c r="AG89" s="22" t="s">
        <v>5</v>
      </c>
      <c r="AH89" s="8">
        <f>COUNTIF(D89:AG89,"ON")</f>
        <v>0</v>
      </c>
      <c r="AI89" s="25">
        <f>COUNTIF(D89:AG89,"OFF")</f>
        <v>21</v>
      </c>
      <c r="AJ89" s="8">
        <f>COUNTIF(D89:AG89,"OT")</f>
        <v>0</v>
      </c>
      <c r="AK89" s="62">
        <v>0</v>
      </c>
      <c r="AL89" s="33">
        <f>AH89+AJ89+AK89*0.5</f>
        <v>0</v>
      </c>
      <c r="AM89" s="63">
        <f>NETWORKDAYS(DATE(2025,6,1),EOMONTH(DATE(2025,6,1),0))*8</f>
        <v>168</v>
      </c>
      <c r="AN89" s="63">
        <f>MAX(0,COUNTIF(I89,"ON")+COUNTIF(P89,"ON")+COUNTIF(W89,"ON")+COUNTIF(AD89,"ON")-AK89)</f>
        <v>0</v>
      </c>
      <c r="AO89" s="63">
        <f>AN89*$AO$2</f>
        <v>0</v>
      </c>
      <c r="AP89" s="53">
        <f>AL89-AO89/8</f>
        <v>0</v>
      </c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</row>
    <row r="90" spans="1:55" x14ac:dyDescent="0.35"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</row>
    <row r="91" spans="1:55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</row>
    <row r="92" spans="1:55" ht="22" customHeight="1" x14ac:dyDescent="0.35">
      <c r="A92" s="8" t="s">
        <v>204</v>
      </c>
      <c r="B92" s="8" t="s">
        <v>205</v>
      </c>
      <c r="C92" s="8" t="s">
        <v>206</v>
      </c>
      <c r="D92" s="24" t="s">
        <v>9</v>
      </c>
      <c r="E92" s="26" t="s">
        <v>3</v>
      </c>
      <c r="F92" s="26" t="s">
        <v>3</v>
      </c>
      <c r="G92" s="26" t="s">
        <v>3</v>
      </c>
      <c r="H92" s="26" t="s">
        <v>3</v>
      </c>
      <c r="I92" s="22" t="s">
        <v>5</v>
      </c>
      <c r="J92" s="23" t="s">
        <v>7</v>
      </c>
      <c r="K92" s="24" t="s">
        <v>9</v>
      </c>
      <c r="L92" s="26" t="s">
        <v>3</v>
      </c>
      <c r="M92" s="26" t="s">
        <v>3</v>
      </c>
      <c r="N92" s="26" t="s">
        <v>3</v>
      </c>
      <c r="O92" s="26" t="s">
        <v>3</v>
      </c>
      <c r="P92" s="26" t="s">
        <v>3</v>
      </c>
      <c r="Q92" s="23" t="s">
        <v>7</v>
      </c>
      <c r="R92" s="24" t="s">
        <v>9</v>
      </c>
      <c r="S92" s="26" t="s">
        <v>3</v>
      </c>
      <c r="T92" s="26" t="s">
        <v>3</v>
      </c>
      <c r="U92" s="26" t="s">
        <v>3</v>
      </c>
      <c r="V92" s="22" t="s">
        <v>5</v>
      </c>
      <c r="W92" s="26" t="s">
        <v>3</v>
      </c>
      <c r="X92" s="23" t="s">
        <v>7</v>
      </c>
      <c r="Y92" s="24" t="s">
        <v>9</v>
      </c>
      <c r="Z92" s="26" t="s">
        <v>3</v>
      </c>
      <c r="AA92" s="26" t="s">
        <v>3</v>
      </c>
      <c r="AB92" s="26" t="s">
        <v>3</v>
      </c>
      <c r="AC92" s="26" t="s">
        <v>3</v>
      </c>
      <c r="AD92" s="22" t="s">
        <v>5</v>
      </c>
      <c r="AE92" s="23" t="s">
        <v>7</v>
      </c>
      <c r="AF92" s="24" t="s">
        <v>9</v>
      </c>
      <c r="AG92" s="26" t="s">
        <v>3</v>
      </c>
      <c r="AH92" s="8">
        <f>COUNTIF(D92:AG92,"ON")</f>
        <v>18</v>
      </c>
      <c r="AI92" s="8">
        <f>COUNTIF(D92:AG92,"OFF")</f>
        <v>3</v>
      </c>
      <c r="AJ92" s="8">
        <f>COUNTIF(D92:AG92,"OT")</f>
        <v>0</v>
      </c>
      <c r="AK92" s="62">
        <v>0</v>
      </c>
      <c r="AL92" s="33">
        <f>AH92+AJ92+AK92*0.5</f>
        <v>18</v>
      </c>
      <c r="AM92" s="63">
        <f>NETWORKDAYS(DATE(2025,6,1),EOMONTH(DATE(2025,6,1),0))*8</f>
        <v>168</v>
      </c>
      <c r="AN92" s="63">
        <f>MAX(0,COUNTIF(I92,"ON")+COUNTIF(P92,"ON")+COUNTIF(W92,"ON")+COUNTIF(AD92,"ON")-AK92)</f>
        <v>2</v>
      </c>
      <c r="AO92" s="63">
        <f>AN92*$AO$2</f>
        <v>8</v>
      </c>
      <c r="AP92" s="53">
        <f>AL92-AO92/8</f>
        <v>17</v>
      </c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</row>
    <row r="93" spans="1:55" ht="22" customHeight="1" x14ac:dyDescent="0.35">
      <c r="A93" s="8" t="s">
        <v>207</v>
      </c>
      <c r="B93" s="8" t="s">
        <v>208</v>
      </c>
      <c r="C93" s="8" t="s">
        <v>206</v>
      </c>
      <c r="D93" s="24" t="s">
        <v>9</v>
      </c>
      <c r="E93" s="26" t="s">
        <v>3</v>
      </c>
      <c r="F93" s="26" t="s">
        <v>3</v>
      </c>
      <c r="G93" s="26" t="s">
        <v>3</v>
      </c>
      <c r="H93" s="26" t="s">
        <v>3</v>
      </c>
      <c r="I93" s="26" t="s">
        <v>3</v>
      </c>
      <c r="J93" s="27" t="s">
        <v>7</v>
      </c>
      <c r="K93" s="24" t="s">
        <v>9</v>
      </c>
      <c r="L93" s="26" t="s">
        <v>3</v>
      </c>
      <c r="M93" s="26" t="s">
        <v>3</v>
      </c>
      <c r="N93" s="26" t="s">
        <v>3</v>
      </c>
      <c r="O93" s="26" t="s">
        <v>3</v>
      </c>
      <c r="P93" s="26" t="s">
        <v>3</v>
      </c>
      <c r="Q93" s="23" t="s">
        <v>7</v>
      </c>
      <c r="R93" s="24" t="s">
        <v>9</v>
      </c>
      <c r="S93" s="22" t="s">
        <v>5</v>
      </c>
      <c r="T93" s="26" t="s">
        <v>3</v>
      </c>
      <c r="U93" s="26" t="s">
        <v>3</v>
      </c>
      <c r="V93" s="26" t="s">
        <v>3</v>
      </c>
      <c r="W93" s="26" t="s">
        <v>3</v>
      </c>
      <c r="X93" s="23" t="s">
        <v>7</v>
      </c>
      <c r="Y93" s="24" t="s">
        <v>9</v>
      </c>
      <c r="Z93" s="26" t="s">
        <v>3</v>
      </c>
      <c r="AA93" s="26" t="s">
        <v>3</v>
      </c>
      <c r="AB93" s="26" t="s">
        <v>3</v>
      </c>
      <c r="AC93" s="26" t="s">
        <v>3</v>
      </c>
      <c r="AD93" s="26" t="s">
        <v>3</v>
      </c>
      <c r="AE93" s="27" t="s">
        <v>7</v>
      </c>
      <c r="AF93" s="24" t="s">
        <v>9</v>
      </c>
      <c r="AG93" s="26" t="s">
        <v>3</v>
      </c>
      <c r="AH93" s="8">
        <f>COUNTIF(D93:AG93,"ON")</f>
        <v>20</v>
      </c>
      <c r="AI93" s="8">
        <f>COUNTIF(D93:AG93,"OFF")</f>
        <v>1</v>
      </c>
      <c r="AJ93" s="8">
        <f>COUNTIF(D93:AG93,"OT")</f>
        <v>0</v>
      </c>
      <c r="AK93" s="62">
        <v>2</v>
      </c>
      <c r="AL93" s="33">
        <f>AH93+AJ93+AK93*0.5</f>
        <v>21</v>
      </c>
      <c r="AM93" s="63">
        <f>NETWORKDAYS(DATE(2025,6,1),EOMONTH(DATE(2025,6,1),0))*8</f>
        <v>168</v>
      </c>
      <c r="AN93" s="63">
        <f>MAX(0,COUNTIF(I93,"ON")+COUNTIF(P93,"ON")+COUNTIF(W93,"ON")+COUNTIF(AD93,"ON")-AK93)</f>
        <v>2</v>
      </c>
      <c r="AO93" s="63">
        <f>AN93*$AO$2</f>
        <v>8</v>
      </c>
      <c r="AP93" s="53">
        <f>AL93-AO93/8</f>
        <v>20</v>
      </c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</row>
    <row r="94" spans="1:55" ht="22" customHeight="1" x14ac:dyDescent="0.35">
      <c r="A94" s="8" t="s">
        <v>209</v>
      </c>
      <c r="B94" s="8" t="s">
        <v>210</v>
      </c>
      <c r="C94" s="8" t="s">
        <v>206</v>
      </c>
      <c r="D94" s="24" t="s">
        <v>9</v>
      </c>
      <c r="E94" s="26" t="s">
        <v>3</v>
      </c>
      <c r="F94" s="26" t="s">
        <v>3</v>
      </c>
      <c r="G94" s="26" t="s">
        <v>3</v>
      </c>
      <c r="H94" s="26" t="s">
        <v>3</v>
      </c>
      <c r="I94" s="22" t="s">
        <v>5</v>
      </c>
      <c r="J94" s="23" t="s">
        <v>7</v>
      </c>
      <c r="K94" s="24" t="s">
        <v>9</v>
      </c>
      <c r="L94" s="26" t="s">
        <v>3</v>
      </c>
      <c r="M94" s="26" t="s">
        <v>3</v>
      </c>
      <c r="N94" s="26" t="s">
        <v>3</v>
      </c>
      <c r="O94" s="26" t="s">
        <v>3</v>
      </c>
      <c r="P94" s="26" t="s">
        <v>3</v>
      </c>
      <c r="Q94" s="23" t="s">
        <v>7</v>
      </c>
      <c r="R94" s="24" t="s">
        <v>9</v>
      </c>
      <c r="S94" s="26" t="s">
        <v>3</v>
      </c>
      <c r="T94" s="26" t="s">
        <v>3</v>
      </c>
      <c r="U94" s="26" t="s">
        <v>3</v>
      </c>
      <c r="V94" s="26" t="s">
        <v>3</v>
      </c>
      <c r="W94" s="26" t="s">
        <v>3</v>
      </c>
      <c r="X94" s="23" t="s">
        <v>7</v>
      </c>
      <c r="Y94" s="24" t="s">
        <v>9</v>
      </c>
      <c r="Z94" s="22" t="s">
        <v>5</v>
      </c>
      <c r="AA94" s="22" t="s">
        <v>5</v>
      </c>
      <c r="AB94" s="26" t="s">
        <v>3</v>
      </c>
      <c r="AC94" s="26" t="s">
        <v>3</v>
      </c>
      <c r="AD94" s="26" t="s">
        <v>3</v>
      </c>
      <c r="AE94" s="23" t="s">
        <v>7</v>
      </c>
      <c r="AF94" s="24" t="s">
        <v>9</v>
      </c>
      <c r="AG94" s="26" t="s">
        <v>3</v>
      </c>
      <c r="AH94" s="8">
        <f>COUNTIF(D94:AG94,"ON")</f>
        <v>18</v>
      </c>
      <c r="AI94" s="8">
        <f>COUNTIF(D94:AG94,"OFF")</f>
        <v>3</v>
      </c>
      <c r="AJ94" s="8">
        <f>COUNTIF(D94:AG94,"OT")</f>
        <v>0</v>
      </c>
      <c r="AK94" s="62">
        <v>0</v>
      </c>
      <c r="AL94" s="33">
        <f>AH94+AJ94+AK94*0.5</f>
        <v>18</v>
      </c>
      <c r="AM94" s="63">
        <f>NETWORKDAYS(DATE(2025,6,1),EOMONTH(DATE(2025,6,1),0))*8</f>
        <v>168</v>
      </c>
      <c r="AN94" s="63">
        <f>MAX(0,COUNTIF(I94,"ON")+COUNTIF(P94,"ON")+COUNTIF(W94,"ON")+COUNTIF(AD94,"ON")-AK94)</f>
        <v>3</v>
      </c>
      <c r="AO94" s="63">
        <f>AN94*$AO$2</f>
        <v>12</v>
      </c>
      <c r="AP94" s="53">
        <f>AL94-AO94/8</f>
        <v>16.5</v>
      </c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</row>
    <row r="95" spans="1:55" ht="22" customHeight="1" x14ac:dyDescent="0.35">
      <c r="A95" s="8" t="s">
        <v>211</v>
      </c>
      <c r="B95" s="8" t="s">
        <v>212</v>
      </c>
      <c r="C95" s="8" t="s">
        <v>206</v>
      </c>
      <c r="D95" s="24" t="s">
        <v>9</v>
      </c>
      <c r="E95" s="26" t="s">
        <v>3</v>
      </c>
      <c r="F95" s="26" t="s">
        <v>3</v>
      </c>
      <c r="G95" s="26" t="s">
        <v>3</v>
      </c>
      <c r="H95" s="26" t="s">
        <v>3</v>
      </c>
      <c r="I95" s="22" t="s">
        <v>5</v>
      </c>
      <c r="J95" s="23" t="s">
        <v>7</v>
      </c>
      <c r="K95" s="24" t="s">
        <v>9</v>
      </c>
      <c r="L95" s="26" t="s">
        <v>3</v>
      </c>
      <c r="M95" s="26" t="s">
        <v>3</v>
      </c>
      <c r="N95" s="26" t="s">
        <v>3</v>
      </c>
      <c r="O95" s="26" t="s">
        <v>3</v>
      </c>
      <c r="P95" s="26" t="s">
        <v>3</v>
      </c>
      <c r="Q95" s="27" t="s">
        <v>7</v>
      </c>
      <c r="R95" s="24" t="s">
        <v>9</v>
      </c>
      <c r="S95" s="26" t="s">
        <v>3</v>
      </c>
      <c r="T95" s="26" t="s">
        <v>3</v>
      </c>
      <c r="U95" s="26" t="s">
        <v>3</v>
      </c>
      <c r="V95" s="26" t="s">
        <v>3</v>
      </c>
      <c r="W95" s="26" t="s">
        <v>3</v>
      </c>
      <c r="X95" s="27" t="s">
        <v>7</v>
      </c>
      <c r="Y95" s="24" t="s">
        <v>9</v>
      </c>
      <c r="Z95" s="26" t="s">
        <v>3</v>
      </c>
      <c r="AA95" s="26" t="s">
        <v>3</v>
      </c>
      <c r="AB95" s="22" t="s">
        <v>5</v>
      </c>
      <c r="AC95" s="22" t="s">
        <v>5</v>
      </c>
      <c r="AD95" s="22" t="s">
        <v>5</v>
      </c>
      <c r="AE95" s="23" t="s">
        <v>7</v>
      </c>
      <c r="AF95" s="24" t="s">
        <v>9</v>
      </c>
      <c r="AG95" s="22" t="s">
        <v>5</v>
      </c>
      <c r="AH95" s="8">
        <f>COUNTIF(D95:AG95,"ON")</f>
        <v>16</v>
      </c>
      <c r="AI95" s="8">
        <f>COUNTIF(D95:AG95,"OFF")</f>
        <v>5</v>
      </c>
      <c r="AJ95" s="8">
        <f>COUNTIF(D95:AG95,"OT")</f>
        <v>0</v>
      </c>
      <c r="AK95" s="62">
        <v>2</v>
      </c>
      <c r="AL95" s="33">
        <f>AH95+AJ95+AK95*0.5</f>
        <v>17</v>
      </c>
      <c r="AM95" s="63">
        <f>NETWORKDAYS(DATE(2025,6,1),EOMONTH(DATE(2025,6,1),0))*8</f>
        <v>168</v>
      </c>
      <c r="AN95" s="63">
        <f>MAX(0,COUNTIF(I95,"ON")+COUNTIF(P95,"ON")+COUNTIF(W95,"ON")+COUNTIF(AD95,"ON")-AK95)</f>
        <v>0</v>
      </c>
      <c r="AO95" s="63">
        <f>AN95*$AO$2</f>
        <v>0</v>
      </c>
      <c r="AP95" s="53">
        <f>AL95-AO95/8</f>
        <v>17</v>
      </c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</row>
    <row r="96" spans="1:55" x14ac:dyDescent="0.35"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</row>
    <row r="97" spans="1:55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</row>
    <row r="98" spans="1:55" ht="22" customHeight="1" x14ac:dyDescent="0.35">
      <c r="A98" s="8" t="s">
        <v>214</v>
      </c>
      <c r="B98" s="8" t="s">
        <v>215</v>
      </c>
      <c r="C98" s="8" t="s">
        <v>216</v>
      </c>
      <c r="D98" s="24" t="s">
        <v>9</v>
      </c>
      <c r="E98" s="26" t="s">
        <v>3</v>
      </c>
      <c r="F98" s="26" t="s">
        <v>3</v>
      </c>
      <c r="G98" s="26" t="s">
        <v>3</v>
      </c>
      <c r="H98" s="22" t="s">
        <v>5</v>
      </c>
      <c r="I98" s="26" t="s">
        <v>3</v>
      </c>
      <c r="J98" s="23" t="s">
        <v>7</v>
      </c>
      <c r="K98" s="24" t="s">
        <v>9</v>
      </c>
      <c r="L98" s="26" t="s">
        <v>3</v>
      </c>
      <c r="M98" s="26" t="s">
        <v>3</v>
      </c>
      <c r="N98" s="26" t="s">
        <v>3</v>
      </c>
      <c r="O98" s="26" t="s">
        <v>3</v>
      </c>
      <c r="P98" s="26" t="s">
        <v>3</v>
      </c>
      <c r="Q98" s="23" t="s">
        <v>7</v>
      </c>
      <c r="R98" s="24" t="s">
        <v>9</v>
      </c>
      <c r="S98" s="26" t="s">
        <v>3</v>
      </c>
      <c r="T98" s="26" t="s">
        <v>3</v>
      </c>
      <c r="U98" s="26" t="s">
        <v>3</v>
      </c>
      <c r="V98" s="26" t="s">
        <v>3</v>
      </c>
      <c r="W98" s="26" t="s">
        <v>3</v>
      </c>
      <c r="X98" s="23" t="s">
        <v>7</v>
      </c>
      <c r="Y98" s="24" t="s">
        <v>9</v>
      </c>
      <c r="Z98" s="26" t="s">
        <v>3</v>
      </c>
      <c r="AA98" s="26" t="s">
        <v>3</v>
      </c>
      <c r="AB98" s="26" t="s">
        <v>3</v>
      </c>
      <c r="AC98" s="26" t="s">
        <v>3</v>
      </c>
      <c r="AD98" s="22" t="s">
        <v>5</v>
      </c>
      <c r="AE98" s="23" t="s">
        <v>7</v>
      </c>
      <c r="AF98" s="24" t="s">
        <v>9</v>
      </c>
      <c r="AG98" s="26" t="s">
        <v>3</v>
      </c>
      <c r="AH98" s="8">
        <f t="shared" ref="AH98:AH111" si="32">COUNTIF(D98:AG98,"ON")</f>
        <v>19</v>
      </c>
      <c r="AI98" s="8">
        <f t="shared" ref="AI98:AI111" si="33">COUNTIF(D98:AG98,"OFF")</f>
        <v>2</v>
      </c>
      <c r="AJ98" s="8">
        <f t="shared" ref="AJ98:AJ111" si="34">COUNTIF(D98:AG98,"OT")</f>
        <v>0</v>
      </c>
      <c r="AK98" s="62">
        <v>0</v>
      </c>
      <c r="AL98" s="33">
        <f t="shared" ref="AL98:AL111" si="35">AH98+AJ98+AK98*0.5</f>
        <v>19</v>
      </c>
      <c r="AM98" s="63">
        <f t="shared" ref="AM98:AM111" si="36">NETWORKDAYS(DATE(2025,6,1),EOMONTH(DATE(2025,6,1),0))*8</f>
        <v>168</v>
      </c>
      <c r="AN98" s="63">
        <f t="shared" ref="AN98:AN111" si="37">MAX(0,COUNTIF(I98,"ON")+COUNTIF(P98,"ON")+COUNTIF(W98,"ON")+COUNTIF(AD98,"ON")-AK98)</f>
        <v>3</v>
      </c>
      <c r="AO98" s="63">
        <f t="shared" ref="AO98:AO111" si="38">AN98*$AO$2</f>
        <v>12</v>
      </c>
      <c r="AP98" s="53">
        <f t="shared" ref="AP98:AP111" si="39">AL98-AO98/8</f>
        <v>17.5</v>
      </c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</row>
    <row r="99" spans="1:55" ht="22" customHeight="1" x14ac:dyDescent="0.35">
      <c r="A99" s="8" t="s">
        <v>217</v>
      </c>
      <c r="B99" s="8" t="s">
        <v>218</v>
      </c>
      <c r="C99" s="8" t="s">
        <v>216</v>
      </c>
      <c r="D99" s="24" t="s">
        <v>9</v>
      </c>
      <c r="E99" s="26" t="s">
        <v>3</v>
      </c>
      <c r="F99" s="26" t="s">
        <v>3</v>
      </c>
      <c r="G99" s="26" t="s">
        <v>3</v>
      </c>
      <c r="H99" s="26" t="s">
        <v>3</v>
      </c>
      <c r="I99" s="22" t="s">
        <v>5</v>
      </c>
      <c r="J99" s="23" t="s">
        <v>7</v>
      </c>
      <c r="K99" s="24" t="s">
        <v>9</v>
      </c>
      <c r="L99" s="26" t="s">
        <v>3</v>
      </c>
      <c r="M99" s="26" t="s">
        <v>3</v>
      </c>
      <c r="N99" s="26" t="s">
        <v>3</v>
      </c>
      <c r="O99" s="26" t="s">
        <v>3</v>
      </c>
      <c r="P99" s="26" t="s">
        <v>3</v>
      </c>
      <c r="Q99" s="27" t="s">
        <v>7</v>
      </c>
      <c r="R99" s="28" t="s">
        <v>11</v>
      </c>
      <c r="S99" s="26" t="s">
        <v>3</v>
      </c>
      <c r="T99" s="26" t="s">
        <v>3</v>
      </c>
      <c r="U99" s="22" t="s">
        <v>5</v>
      </c>
      <c r="V99" s="26" t="s">
        <v>3</v>
      </c>
      <c r="W99" s="26" t="s">
        <v>3</v>
      </c>
      <c r="X99" s="23" t="s">
        <v>7</v>
      </c>
      <c r="Y99" s="24" t="s">
        <v>9</v>
      </c>
      <c r="Z99" s="22" t="s">
        <v>5</v>
      </c>
      <c r="AA99" s="22" t="s">
        <v>5</v>
      </c>
      <c r="AB99" s="22" t="s">
        <v>5</v>
      </c>
      <c r="AC99" s="26" t="s">
        <v>3</v>
      </c>
      <c r="AD99" s="26" t="s">
        <v>3</v>
      </c>
      <c r="AE99" s="23" t="s">
        <v>7</v>
      </c>
      <c r="AF99" s="24" t="s">
        <v>9</v>
      </c>
      <c r="AG99" s="26" t="s">
        <v>3</v>
      </c>
      <c r="AH99" s="8">
        <f t="shared" si="32"/>
        <v>16</v>
      </c>
      <c r="AI99" s="8">
        <f t="shared" si="33"/>
        <v>5</v>
      </c>
      <c r="AJ99" s="29">
        <f t="shared" si="34"/>
        <v>1</v>
      </c>
      <c r="AK99" s="62">
        <v>1</v>
      </c>
      <c r="AL99" s="33">
        <f t="shared" si="35"/>
        <v>17.5</v>
      </c>
      <c r="AM99" s="63">
        <f t="shared" si="36"/>
        <v>168</v>
      </c>
      <c r="AN99" s="63">
        <f t="shared" si="37"/>
        <v>2</v>
      </c>
      <c r="AO99" s="63">
        <f t="shared" si="38"/>
        <v>8</v>
      </c>
      <c r="AP99" s="53">
        <f t="shared" si="39"/>
        <v>16.5</v>
      </c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</row>
    <row r="100" spans="1:55" ht="22" customHeight="1" x14ac:dyDescent="0.35">
      <c r="A100" s="8" t="s">
        <v>219</v>
      </c>
      <c r="B100" s="8" t="s">
        <v>220</v>
      </c>
      <c r="C100" s="8" t="s">
        <v>216</v>
      </c>
      <c r="D100" s="24" t="s">
        <v>9</v>
      </c>
      <c r="E100" s="26" t="s">
        <v>3</v>
      </c>
      <c r="F100" s="26" t="s">
        <v>3</v>
      </c>
      <c r="G100" s="26" t="s">
        <v>3</v>
      </c>
      <c r="H100" s="26" t="s">
        <v>3</v>
      </c>
      <c r="I100" s="26" t="s">
        <v>3</v>
      </c>
      <c r="J100" s="23" t="s">
        <v>7</v>
      </c>
      <c r="K100" s="24" t="s">
        <v>9</v>
      </c>
      <c r="L100" s="22" t="s">
        <v>5</v>
      </c>
      <c r="M100" s="26" t="s">
        <v>3</v>
      </c>
      <c r="N100" s="26" t="s">
        <v>3</v>
      </c>
      <c r="O100" s="26" t="s">
        <v>3</v>
      </c>
      <c r="P100" s="26" t="s">
        <v>3</v>
      </c>
      <c r="Q100" s="23" t="s">
        <v>7</v>
      </c>
      <c r="R100" s="24" t="s">
        <v>9</v>
      </c>
      <c r="S100" s="22" t="s">
        <v>5</v>
      </c>
      <c r="T100" s="22" t="s">
        <v>5</v>
      </c>
      <c r="U100" s="26" t="s">
        <v>3</v>
      </c>
      <c r="V100" s="26" t="s">
        <v>3</v>
      </c>
      <c r="W100" s="26" t="s">
        <v>3</v>
      </c>
      <c r="X100" s="23" t="s">
        <v>7</v>
      </c>
      <c r="Y100" s="24" t="s">
        <v>9</v>
      </c>
      <c r="Z100" s="26" t="s">
        <v>3</v>
      </c>
      <c r="AA100" s="26" t="s">
        <v>3</v>
      </c>
      <c r="AB100" s="26" t="s">
        <v>3</v>
      </c>
      <c r="AC100" s="26" t="s">
        <v>3</v>
      </c>
      <c r="AD100" s="26" t="s">
        <v>3</v>
      </c>
      <c r="AE100" s="23" t="s">
        <v>7</v>
      </c>
      <c r="AF100" s="24" t="s">
        <v>9</v>
      </c>
      <c r="AG100" s="26" t="s">
        <v>3</v>
      </c>
      <c r="AH100" s="8">
        <f t="shared" si="32"/>
        <v>18</v>
      </c>
      <c r="AI100" s="8">
        <f t="shared" si="33"/>
        <v>3</v>
      </c>
      <c r="AJ100" s="8">
        <f t="shared" si="34"/>
        <v>0</v>
      </c>
      <c r="AK100" s="62">
        <v>0</v>
      </c>
      <c r="AL100" s="33">
        <f t="shared" si="35"/>
        <v>18</v>
      </c>
      <c r="AM100" s="63">
        <f t="shared" si="36"/>
        <v>168</v>
      </c>
      <c r="AN100" s="63">
        <f t="shared" si="37"/>
        <v>4</v>
      </c>
      <c r="AO100" s="63">
        <f t="shared" si="38"/>
        <v>16</v>
      </c>
      <c r="AP100" s="53">
        <f t="shared" si="39"/>
        <v>16</v>
      </c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</row>
    <row r="101" spans="1:55" ht="22" customHeight="1" x14ac:dyDescent="0.35">
      <c r="A101" s="8" t="s">
        <v>221</v>
      </c>
      <c r="B101" s="8" t="s">
        <v>222</v>
      </c>
      <c r="C101" s="8" t="s">
        <v>216</v>
      </c>
      <c r="D101" s="24" t="s">
        <v>9</v>
      </c>
      <c r="E101" s="26" t="s">
        <v>3</v>
      </c>
      <c r="F101" s="26" t="s">
        <v>3</v>
      </c>
      <c r="G101" s="26" t="s">
        <v>3</v>
      </c>
      <c r="H101" s="26" t="s">
        <v>3</v>
      </c>
      <c r="I101" s="26" t="s">
        <v>3</v>
      </c>
      <c r="J101" s="23" t="s">
        <v>7</v>
      </c>
      <c r="K101" s="24" t="s">
        <v>9</v>
      </c>
      <c r="L101" s="26" t="s">
        <v>3</v>
      </c>
      <c r="M101" s="26" t="s">
        <v>3</v>
      </c>
      <c r="N101" s="26" t="s">
        <v>3</v>
      </c>
      <c r="O101" s="26" t="s">
        <v>3</v>
      </c>
      <c r="P101" s="26" t="s">
        <v>3</v>
      </c>
      <c r="Q101" s="23" t="s">
        <v>7</v>
      </c>
      <c r="R101" s="24" t="s">
        <v>9</v>
      </c>
      <c r="S101" s="26" t="s">
        <v>3</v>
      </c>
      <c r="T101" s="26" t="s">
        <v>3</v>
      </c>
      <c r="U101" s="26" t="s">
        <v>3</v>
      </c>
      <c r="V101" s="26" t="s">
        <v>3</v>
      </c>
      <c r="W101" s="26" t="s">
        <v>3</v>
      </c>
      <c r="X101" s="23" t="s">
        <v>7</v>
      </c>
      <c r="Y101" s="24" t="s">
        <v>9</v>
      </c>
      <c r="Z101" s="26" t="s">
        <v>3</v>
      </c>
      <c r="AA101" s="26" t="s">
        <v>3</v>
      </c>
      <c r="AB101" s="26" t="s">
        <v>3</v>
      </c>
      <c r="AC101" s="26" t="s">
        <v>3</v>
      </c>
      <c r="AD101" s="26" t="s">
        <v>3</v>
      </c>
      <c r="AE101" s="23" t="s">
        <v>7</v>
      </c>
      <c r="AF101" s="24" t="s">
        <v>9</v>
      </c>
      <c r="AG101" s="26" t="s">
        <v>3</v>
      </c>
      <c r="AH101" s="8">
        <f t="shared" si="32"/>
        <v>21</v>
      </c>
      <c r="AI101" s="8">
        <f t="shared" si="33"/>
        <v>0</v>
      </c>
      <c r="AJ101" s="8">
        <f t="shared" si="34"/>
        <v>0</v>
      </c>
      <c r="AK101" s="62">
        <v>0</v>
      </c>
      <c r="AL101" s="33">
        <f t="shared" si="35"/>
        <v>21</v>
      </c>
      <c r="AM101" s="63">
        <f t="shared" si="36"/>
        <v>168</v>
      </c>
      <c r="AN101" s="63">
        <f t="shared" si="37"/>
        <v>4</v>
      </c>
      <c r="AO101" s="63">
        <f t="shared" si="38"/>
        <v>16</v>
      </c>
      <c r="AP101" s="53">
        <f t="shared" si="39"/>
        <v>19</v>
      </c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</row>
    <row r="102" spans="1:55" ht="22" customHeight="1" x14ac:dyDescent="0.35">
      <c r="A102" s="8" t="s">
        <v>223</v>
      </c>
      <c r="B102" s="8" t="s">
        <v>224</v>
      </c>
      <c r="C102" s="8" t="s">
        <v>216</v>
      </c>
      <c r="D102" s="24" t="s">
        <v>9</v>
      </c>
      <c r="E102" s="22" t="s">
        <v>5</v>
      </c>
      <c r="F102" s="22" t="s">
        <v>5</v>
      </c>
      <c r="G102" s="22" t="s">
        <v>5</v>
      </c>
      <c r="H102" s="22" t="s">
        <v>5</v>
      </c>
      <c r="I102" s="22" t="s">
        <v>5</v>
      </c>
      <c r="J102" s="23" t="s">
        <v>7</v>
      </c>
      <c r="K102" s="24" t="s">
        <v>9</v>
      </c>
      <c r="L102" s="22" t="s">
        <v>5</v>
      </c>
      <c r="M102" s="22" t="s">
        <v>5</v>
      </c>
      <c r="N102" s="22" t="s">
        <v>5</v>
      </c>
      <c r="O102" s="22" t="s">
        <v>5</v>
      </c>
      <c r="P102" s="22" t="s">
        <v>5</v>
      </c>
      <c r="Q102" s="23" t="s">
        <v>7</v>
      </c>
      <c r="R102" s="24" t="s">
        <v>9</v>
      </c>
      <c r="S102" s="22" t="s">
        <v>5</v>
      </c>
      <c r="T102" s="22" t="s">
        <v>5</v>
      </c>
      <c r="U102" s="22" t="s">
        <v>5</v>
      </c>
      <c r="V102" s="22" t="s">
        <v>5</v>
      </c>
      <c r="W102" s="22" t="s">
        <v>5</v>
      </c>
      <c r="X102" s="23" t="s">
        <v>7</v>
      </c>
      <c r="Y102" s="24" t="s">
        <v>9</v>
      </c>
      <c r="Z102" s="22" t="s">
        <v>5</v>
      </c>
      <c r="AA102" s="22" t="s">
        <v>5</v>
      </c>
      <c r="AB102" s="22" t="s">
        <v>5</v>
      </c>
      <c r="AC102" s="22" t="s">
        <v>5</v>
      </c>
      <c r="AD102" s="22" t="s">
        <v>5</v>
      </c>
      <c r="AE102" s="23" t="s">
        <v>7</v>
      </c>
      <c r="AF102" s="24" t="s">
        <v>9</v>
      </c>
      <c r="AG102" s="22" t="s">
        <v>5</v>
      </c>
      <c r="AH102" s="8">
        <f t="shared" si="32"/>
        <v>0</v>
      </c>
      <c r="AI102" s="25">
        <f t="shared" si="33"/>
        <v>21</v>
      </c>
      <c r="AJ102" s="8">
        <f t="shared" si="34"/>
        <v>0</v>
      </c>
      <c r="AK102" s="62">
        <v>0</v>
      </c>
      <c r="AL102" s="33">
        <f t="shared" si="35"/>
        <v>0</v>
      </c>
      <c r="AM102" s="63">
        <f t="shared" si="36"/>
        <v>168</v>
      </c>
      <c r="AN102" s="63">
        <f t="shared" si="37"/>
        <v>0</v>
      </c>
      <c r="AO102" s="63">
        <f t="shared" si="38"/>
        <v>0</v>
      </c>
      <c r="AP102" s="53">
        <f t="shared" si="39"/>
        <v>0</v>
      </c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</row>
    <row r="103" spans="1:55" ht="22" customHeight="1" x14ac:dyDescent="0.35">
      <c r="A103" s="8" t="s">
        <v>225</v>
      </c>
      <c r="B103" s="8" t="s">
        <v>226</v>
      </c>
      <c r="C103" s="8" t="s">
        <v>216</v>
      </c>
      <c r="D103" s="24" t="s">
        <v>9</v>
      </c>
      <c r="E103" s="22" t="s">
        <v>5</v>
      </c>
      <c r="F103" s="22" t="s">
        <v>5</v>
      </c>
      <c r="G103" s="22" t="s">
        <v>5</v>
      </c>
      <c r="H103" s="22" t="s">
        <v>5</v>
      </c>
      <c r="I103" s="22" t="s">
        <v>5</v>
      </c>
      <c r="J103" s="23" t="s">
        <v>7</v>
      </c>
      <c r="K103" s="24" t="s">
        <v>9</v>
      </c>
      <c r="L103" s="22" t="s">
        <v>5</v>
      </c>
      <c r="M103" s="22" t="s">
        <v>5</v>
      </c>
      <c r="N103" s="22" t="s">
        <v>5</v>
      </c>
      <c r="O103" s="22" t="s">
        <v>5</v>
      </c>
      <c r="P103" s="22" t="s">
        <v>5</v>
      </c>
      <c r="Q103" s="23" t="s">
        <v>7</v>
      </c>
      <c r="R103" s="24" t="s">
        <v>9</v>
      </c>
      <c r="S103" s="22" t="s">
        <v>5</v>
      </c>
      <c r="T103" s="22" t="s">
        <v>5</v>
      </c>
      <c r="U103" s="22" t="s">
        <v>5</v>
      </c>
      <c r="V103" s="22" t="s">
        <v>5</v>
      </c>
      <c r="W103" s="22" t="s">
        <v>5</v>
      </c>
      <c r="X103" s="23" t="s">
        <v>7</v>
      </c>
      <c r="Y103" s="24" t="s">
        <v>9</v>
      </c>
      <c r="Z103" s="22" t="s">
        <v>5</v>
      </c>
      <c r="AA103" s="22" t="s">
        <v>5</v>
      </c>
      <c r="AB103" s="22" t="s">
        <v>5</v>
      </c>
      <c r="AC103" s="22" t="s">
        <v>5</v>
      </c>
      <c r="AD103" s="22" t="s">
        <v>5</v>
      </c>
      <c r="AE103" s="23" t="s">
        <v>7</v>
      </c>
      <c r="AF103" s="24" t="s">
        <v>9</v>
      </c>
      <c r="AG103" s="22" t="s">
        <v>5</v>
      </c>
      <c r="AH103" s="8">
        <f t="shared" si="32"/>
        <v>0</v>
      </c>
      <c r="AI103" s="25">
        <f t="shared" si="33"/>
        <v>21</v>
      </c>
      <c r="AJ103" s="8">
        <f t="shared" si="34"/>
        <v>0</v>
      </c>
      <c r="AK103" s="62">
        <v>0</v>
      </c>
      <c r="AL103" s="33">
        <f t="shared" si="35"/>
        <v>0</v>
      </c>
      <c r="AM103" s="63">
        <f t="shared" si="36"/>
        <v>168</v>
      </c>
      <c r="AN103" s="63">
        <f t="shared" si="37"/>
        <v>0</v>
      </c>
      <c r="AO103" s="63">
        <f t="shared" si="38"/>
        <v>0</v>
      </c>
      <c r="AP103" s="53">
        <f t="shared" si="39"/>
        <v>0</v>
      </c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</row>
    <row r="104" spans="1:55" ht="22" customHeight="1" x14ac:dyDescent="0.35">
      <c r="A104" s="8" t="s">
        <v>227</v>
      </c>
      <c r="B104" s="8" t="s">
        <v>228</v>
      </c>
      <c r="C104" s="8" t="s">
        <v>216</v>
      </c>
      <c r="D104" s="24" t="s">
        <v>9</v>
      </c>
      <c r="E104" s="26" t="s">
        <v>3</v>
      </c>
      <c r="F104" s="26" t="s">
        <v>3</v>
      </c>
      <c r="G104" s="26" t="s">
        <v>3</v>
      </c>
      <c r="H104" s="26" t="s">
        <v>3</v>
      </c>
      <c r="I104" s="26" t="s">
        <v>3</v>
      </c>
      <c r="J104" s="23" t="s">
        <v>7</v>
      </c>
      <c r="K104" s="24" t="s">
        <v>9</v>
      </c>
      <c r="L104" s="26" t="s">
        <v>3</v>
      </c>
      <c r="M104" s="26" t="s">
        <v>3</v>
      </c>
      <c r="N104" s="26" t="s">
        <v>3</v>
      </c>
      <c r="O104" s="26" t="s">
        <v>3</v>
      </c>
      <c r="P104" s="26" t="s">
        <v>3</v>
      </c>
      <c r="Q104" s="23" t="s">
        <v>7</v>
      </c>
      <c r="R104" s="24" t="s">
        <v>9</v>
      </c>
      <c r="S104" s="26" t="s">
        <v>3</v>
      </c>
      <c r="T104" s="26" t="s">
        <v>3</v>
      </c>
      <c r="U104" s="26" t="s">
        <v>3</v>
      </c>
      <c r="V104" s="26" t="s">
        <v>3</v>
      </c>
      <c r="W104" s="26" t="s">
        <v>3</v>
      </c>
      <c r="X104" s="23" t="s">
        <v>7</v>
      </c>
      <c r="Y104" s="24" t="s">
        <v>9</v>
      </c>
      <c r="Z104" s="26" t="s">
        <v>3</v>
      </c>
      <c r="AA104" s="26" t="s">
        <v>3</v>
      </c>
      <c r="AB104" s="26" t="s">
        <v>3</v>
      </c>
      <c r="AC104" s="26" t="s">
        <v>3</v>
      </c>
      <c r="AD104" s="26" t="s">
        <v>3</v>
      </c>
      <c r="AE104" s="23" t="s">
        <v>7</v>
      </c>
      <c r="AF104" s="24" t="s">
        <v>9</v>
      </c>
      <c r="AG104" s="26" t="s">
        <v>3</v>
      </c>
      <c r="AH104" s="8">
        <f t="shared" si="32"/>
        <v>21</v>
      </c>
      <c r="AI104" s="8">
        <f t="shared" si="33"/>
        <v>0</v>
      </c>
      <c r="AJ104" s="8">
        <f t="shared" si="34"/>
        <v>0</v>
      </c>
      <c r="AK104" s="62">
        <v>0</v>
      </c>
      <c r="AL104" s="33">
        <f t="shared" si="35"/>
        <v>21</v>
      </c>
      <c r="AM104" s="63">
        <f t="shared" si="36"/>
        <v>168</v>
      </c>
      <c r="AN104" s="63">
        <f t="shared" si="37"/>
        <v>4</v>
      </c>
      <c r="AO104" s="63">
        <f t="shared" si="38"/>
        <v>16</v>
      </c>
      <c r="AP104" s="53">
        <f t="shared" si="39"/>
        <v>19</v>
      </c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</row>
    <row r="105" spans="1:55" ht="22" customHeight="1" x14ac:dyDescent="0.35">
      <c r="A105" s="8" t="s">
        <v>229</v>
      </c>
      <c r="B105" s="8" t="s">
        <v>230</v>
      </c>
      <c r="C105" s="8" t="s">
        <v>216</v>
      </c>
      <c r="D105" s="24" t="s">
        <v>9</v>
      </c>
      <c r="E105" s="22" t="s">
        <v>5</v>
      </c>
      <c r="F105" s="26" t="s">
        <v>3</v>
      </c>
      <c r="G105" s="22" t="s">
        <v>5</v>
      </c>
      <c r="H105" s="26" t="s">
        <v>3</v>
      </c>
      <c r="I105" s="22" t="s">
        <v>5</v>
      </c>
      <c r="J105" s="23" t="s">
        <v>7</v>
      </c>
      <c r="K105" s="24" t="s">
        <v>9</v>
      </c>
      <c r="L105" s="22" t="s">
        <v>5</v>
      </c>
      <c r="M105" s="22" t="s">
        <v>5</v>
      </c>
      <c r="N105" s="26" t="s">
        <v>3</v>
      </c>
      <c r="O105" s="26" t="s">
        <v>3</v>
      </c>
      <c r="P105" s="26" t="s">
        <v>3</v>
      </c>
      <c r="Q105" s="23" t="s">
        <v>7</v>
      </c>
      <c r="R105" s="24" t="s">
        <v>9</v>
      </c>
      <c r="S105" s="22" t="s">
        <v>5</v>
      </c>
      <c r="T105" s="26" t="s">
        <v>3</v>
      </c>
      <c r="U105" s="26" t="s">
        <v>3</v>
      </c>
      <c r="V105" s="26" t="s">
        <v>3</v>
      </c>
      <c r="W105" s="26" t="s">
        <v>3</v>
      </c>
      <c r="X105" s="23" t="s">
        <v>7</v>
      </c>
      <c r="Y105" s="24" t="s">
        <v>9</v>
      </c>
      <c r="Z105" s="22" t="s">
        <v>5</v>
      </c>
      <c r="AA105" s="22" t="s">
        <v>5</v>
      </c>
      <c r="AB105" s="22" t="s">
        <v>5</v>
      </c>
      <c r="AC105" s="22" t="s">
        <v>5</v>
      </c>
      <c r="AD105" s="26" t="s">
        <v>3</v>
      </c>
      <c r="AE105" s="23" t="s">
        <v>7</v>
      </c>
      <c r="AF105" s="28" t="s">
        <v>11</v>
      </c>
      <c r="AG105" s="22" t="s">
        <v>5</v>
      </c>
      <c r="AH105" s="8">
        <f t="shared" si="32"/>
        <v>10</v>
      </c>
      <c r="AI105" s="25">
        <f t="shared" si="33"/>
        <v>11</v>
      </c>
      <c r="AJ105" s="29">
        <f t="shared" si="34"/>
        <v>1</v>
      </c>
      <c r="AK105" s="62">
        <v>0</v>
      </c>
      <c r="AL105" s="33">
        <f t="shared" si="35"/>
        <v>11</v>
      </c>
      <c r="AM105" s="63">
        <f t="shared" si="36"/>
        <v>168</v>
      </c>
      <c r="AN105" s="63">
        <f t="shared" si="37"/>
        <v>3</v>
      </c>
      <c r="AO105" s="63">
        <f t="shared" si="38"/>
        <v>12</v>
      </c>
      <c r="AP105" s="53">
        <f t="shared" si="39"/>
        <v>9.5</v>
      </c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</row>
    <row r="106" spans="1:55" ht="22" customHeight="1" x14ac:dyDescent="0.35">
      <c r="A106" s="8" t="s">
        <v>231</v>
      </c>
      <c r="B106" s="8" t="s">
        <v>232</v>
      </c>
      <c r="C106" s="8" t="s">
        <v>216</v>
      </c>
      <c r="D106" s="24" t="s">
        <v>9</v>
      </c>
      <c r="E106" s="26" t="s">
        <v>3</v>
      </c>
      <c r="F106" s="22" t="s">
        <v>5</v>
      </c>
      <c r="G106" s="26" t="s">
        <v>3</v>
      </c>
      <c r="H106" s="26" t="s">
        <v>3</v>
      </c>
      <c r="I106" s="26" t="s">
        <v>3</v>
      </c>
      <c r="J106" s="23" t="s">
        <v>7</v>
      </c>
      <c r="K106" s="24" t="s">
        <v>9</v>
      </c>
      <c r="L106" s="26" t="s">
        <v>3</v>
      </c>
      <c r="M106" s="26" t="s">
        <v>3</v>
      </c>
      <c r="N106" s="26" t="s">
        <v>3</v>
      </c>
      <c r="O106" s="26" t="s">
        <v>3</v>
      </c>
      <c r="P106" s="26" t="s">
        <v>3</v>
      </c>
      <c r="Q106" s="27" t="s">
        <v>7</v>
      </c>
      <c r="R106" s="24" t="s">
        <v>9</v>
      </c>
      <c r="S106" s="22" t="s">
        <v>5</v>
      </c>
      <c r="T106" s="26" t="s">
        <v>3</v>
      </c>
      <c r="U106" s="22" t="s">
        <v>5</v>
      </c>
      <c r="V106" s="26" t="s">
        <v>3</v>
      </c>
      <c r="W106" s="26" t="s">
        <v>3</v>
      </c>
      <c r="X106" s="23" t="s">
        <v>7</v>
      </c>
      <c r="Y106" s="24" t="s">
        <v>9</v>
      </c>
      <c r="Z106" s="26" t="s">
        <v>3</v>
      </c>
      <c r="AA106" s="22" t="s">
        <v>5</v>
      </c>
      <c r="AB106" s="26" t="s">
        <v>3</v>
      </c>
      <c r="AC106" s="22" t="s">
        <v>5</v>
      </c>
      <c r="AD106" s="26" t="s">
        <v>3</v>
      </c>
      <c r="AE106" s="27" t="s">
        <v>7</v>
      </c>
      <c r="AF106" s="24" t="s">
        <v>9</v>
      </c>
      <c r="AG106" s="26" t="s">
        <v>3</v>
      </c>
      <c r="AH106" s="8">
        <f t="shared" si="32"/>
        <v>16</v>
      </c>
      <c r="AI106" s="8">
        <f t="shared" si="33"/>
        <v>5</v>
      </c>
      <c r="AJ106" s="8">
        <f t="shared" si="34"/>
        <v>0</v>
      </c>
      <c r="AK106" s="62">
        <v>2</v>
      </c>
      <c r="AL106" s="33">
        <f t="shared" si="35"/>
        <v>17</v>
      </c>
      <c r="AM106" s="63">
        <f t="shared" si="36"/>
        <v>168</v>
      </c>
      <c r="AN106" s="63">
        <f t="shared" si="37"/>
        <v>2</v>
      </c>
      <c r="AO106" s="63">
        <f t="shared" si="38"/>
        <v>8</v>
      </c>
      <c r="AP106" s="53">
        <f t="shared" si="39"/>
        <v>16</v>
      </c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</row>
    <row r="107" spans="1:55" ht="22" customHeight="1" x14ac:dyDescent="0.35">
      <c r="A107" s="8" t="s">
        <v>233</v>
      </c>
      <c r="B107" s="8" t="s">
        <v>234</v>
      </c>
      <c r="C107" s="8" t="s">
        <v>216</v>
      </c>
      <c r="D107" s="24" t="s">
        <v>9</v>
      </c>
      <c r="E107" s="26" t="s">
        <v>3</v>
      </c>
      <c r="F107" s="26" t="s">
        <v>3</v>
      </c>
      <c r="G107" s="26" t="s">
        <v>3</v>
      </c>
      <c r="H107" s="26" t="s">
        <v>3</v>
      </c>
      <c r="I107" s="26" t="s">
        <v>3</v>
      </c>
      <c r="J107" s="23" t="s">
        <v>7</v>
      </c>
      <c r="K107" s="24" t="s">
        <v>9</v>
      </c>
      <c r="L107" s="26" t="s">
        <v>3</v>
      </c>
      <c r="M107" s="26" t="s">
        <v>3</v>
      </c>
      <c r="N107" s="26" t="s">
        <v>3</v>
      </c>
      <c r="O107" s="26" t="s">
        <v>3</v>
      </c>
      <c r="P107" s="26" t="s">
        <v>3</v>
      </c>
      <c r="Q107" s="23" t="s">
        <v>7</v>
      </c>
      <c r="R107" s="24" t="s">
        <v>9</v>
      </c>
      <c r="S107" s="26" t="s">
        <v>3</v>
      </c>
      <c r="T107" s="26" t="s">
        <v>3</v>
      </c>
      <c r="U107" s="26" t="s">
        <v>3</v>
      </c>
      <c r="V107" s="26" t="s">
        <v>3</v>
      </c>
      <c r="W107" s="26" t="s">
        <v>3</v>
      </c>
      <c r="X107" s="27" t="s">
        <v>7</v>
      </c>
      <c r="Y107" s="24" t="s">
        <v>9</v>
      </c>
      <c r="Z107" s="26" t="s">
        <v>3</v>
      </c>
      <c r="AA107" s="26" t="s">
        <v>3</v>
      </c>
      <c r="AB107" s="26" t="s">
        <v>3</v>
      </c>
      <c r="AC107" s="26" t="s">
        <v>3</v>
      </c>
      <c r="AD107" s="26" t="s">
        <v>3</v>
      </c>
      <c r="AE107" s="23" t="s">
        <v>7</v>
      </c>
      <c r="AF107" s="24" t="s">
        <v>9</v>
      </c>
      <c r="AG107" s="26" t="s">
        <v>3</v>
      </c>
      <c r="AH107" s="8">
        <f t="shared" si="32"/>
        <v>21</v>
      </c>
      <c r="AI107" s="8">
        <f t="shared" si="33"/>
        <v>0</v>
      </c>
      <c r="AJ107" s="8">
        <f t="shared" si="34"/>
        <v>0</v>
      </c>
      <c r="AK107" s="62">
        <v>1</v>
      </c>
      <c r="AL107" s="33">
        <f t="shared" si="35"/>
        <v>21.5</v>
      </c>
      <c r="AM107" s="63">
        <f t="shared" si="36"/>
        <v>168</v>
      </c>
      <c r="AN107" s="63">
        <f t="shared" si="37"/>
        <v>3</v>
      </c>
      <c r="AO107" s="63">
        <f t="shared" si="38"/>
        <v>12</v>
      </c>
      <c r="AP107" s="53">
        <f t="shared" si="39"/>
        <v>20</v>
      </c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</row>
    <row r="108" spans="1:55" ht="22" customHeight="1" x14ac:dyDescent="0.35">
      <c r="A108" s="8" t="s">
        <v>235</v>
      </c>
      <c r="B108" s="8" t="s">
        <v>236</v>
      </c>
      <c r="C108" s="8" t="s">
        <v>216</v>
      </c>
      <c r="D108" s="24" t="s">
        <v>9</v>
      </c>
      <c r="E108" s="26" t="s">
        <v>3</v>
      </c>
      <c r="F108" s="26" t="s">
        <v>3</v>
      </c>
      <c r="G108" s="26" t="s">
        <v>3</v>
      </c>
      <c r="H108" s="26" t="s">
        <v>3</v>
      </c>
      <c r="I108" s="22" t="s">
        <v>5</v>
      </c>
      <c r="J108" s="23" t="s">
        <v>7</v>
      </c>
      <c r="K108" s="24" t="s">
        <v>9</v>
      </c>
      <c r="L108" s="26" t="s">
        <v>3</v>
      </c>
      <c r="M108" s="22" t="s">
        <v>5</v>
      </c>
      <c r="N108" s="26" t="s">
        <v>3</v>
      </c>
      <c r="O108" s="26" t="s">
        <v>3</v>
      </c>
      <c r="P108" s="26" t="s">
        <v>3</v>
      </c>
      <c r="Q108" s="23" t="s">
        <v>7</v>
      </c>
      <c r="R108" s="24" t="s">
        <v>9</v>
      </c>
      <c r="S108" s="22" t="s">
        <v>5</v>
      </c>
      <c r="T108" s="26" t="s">
        <v>3</v>
      </c>
      <c r="U108" s="26" t="s">
        <v>3</v>
      </c>
      <c r="V108" s="22" t="s">
        <v>5</v>
      </c>
      <c r="W108" s="26" t="s">
        <v>3</v>
      </c>
      <c r="X108" s="27" t="s">
        <v>7</v>
      </c>
      <c r="Y108" s="24" t="s">
        <v>9</v>
      </c>
      <c r="Z108" s="26" t="s">
        <v>3</v>
      </c>
      <c r="AA108" s="26" t="s">
        <v>3</v>
      </c>
      <c r="AB108" s="26" t="s">
        <v>3</v>
      </c>
      <c r="AC108" s="26" t="s">
        <v>3</v>
      </c>
      <c r="AD108" s="26" t="s">
        <v>3</v>
      </c>
      <c r="AE108" s="23" t="s">
        <v>7</v>
      </c>
      <c r="AF108" s="24" t="s">
        <v>9</v>
      </c>
      <c r="AG108" s="26" t="s">
        <v>3</v>
      </c>
      <c r="AH108" s="8">
        <f t="shared" si="32"/>
        <v>17</v>
      </c>
      <c r="AI108" s="8">
        <f t="shared" si="33"/>
        <v>4</v>
      </c>
      <c r="AJ108" s="8">
        <f t="shared" si="34"/>
        <v>0</v>
      </c>
      <c r="AK108" s="62">
        <v>1</v>
      </c>
      <c r="AL108" s="33">
        <f t="shared" si="35"/>
        <v>17.5</v>
      </c>
      <c r="AM108" s="63">
        <f t="shared" si="36"/>
        <v>168</v>
      </c>
      <c r="AN108" s="63">
        <f t="shared" si="37"/>
        <v>2</v>
      </c>
      <c r="AO108" s="63">
        <f t="shared" si="38"/>
        <v>8</v>
      </c>
      <c r="AP108" s="53">
        <f t="shared" si="39"/>
        <v>16.5</v>
      </c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</row>
    <row r="109" spans="1:55" ht="22" customHeight="1" x14ac:dyDescent="0.35">
      <c r="A109" s="8" t="s">
        <v>237</v>
      </c>
      <c r="B109" s="8" t="s">
        <v>238</v>
      </c>
      <c r="C109" s="8" t="s">
        <v>216</v>
      </c>
      <c r="D109" s="24" t="s">
        <v>9</v>
      </c>
      <c r="E109" s="26" t="s">
        <v>3</v>
      </c>
      <c r="F109" s="26" t="s">
        <v>3</v>
      </c>
      <c r="G109" s="26" t="s">
        <v>3</v>
      </c>
      <c r="H109" s="26" t="s">
        <v>3</v>
      </c>
      <c r="I109" s="26" t="s">
        <v>3</v>
      </c>
      <c r="J109" s="23" t="s">
        <v>7</v>
      </c>
      <c r="K109" s="24" t="s">
        <v>9</v>
      </c>
      <c r="L109" s="26" t="s">
        <v>3</v>
      </c>
      <c r="M109" s="26" t="s">
        <v>3</v>
      </c>
      <c r="N109" s="26" t="s">
        <v>3</v>
      </c>
      <c r="O109" s="26" t="s">
        <v>3</v>
      </c>
      <c r="P109" s="26" t="s">
        <v>3</v>
      </c>
      <c r="Q109" s="23" t="s">
        <v>7</v>
      </c>
      <c r="R109" s="24" t="s">
        <v>9</v>
      </c>
      <c r="S109" s="26" t="s">
        <v>3</v>
      </c>
      <c r="T109" s="26" t="s">
        <v>3</v>
      </c>
      <c r="U109" s="26" t="s">
        <v>3</v>
      </c>
      <c r="V109" s="26" t="s">
        <v>3</v>
      </c>
      <c r="W109" s="26" t="s">
        <v>3</v>
      </c>
      <c r="X109" s="23" t="s">
        <v>7</v>
      </c>
      <c r="Y109" s="24" t="s">
        <v>9</v>
      </c>
      <c r="Z109" s="26" t="s">
        <v>3</v>
      </c>
      <c r="AA109" s="26" t="s">
        <v>3</v>
      </c>
      <c r="AB109" s="26" t="s">
        <v>3</v>
      </c>
      <c r="AC109" s="26" t="s">
        <v>3</v>
      </c>
      <c r="AD109" s="22" t="s">
        <v>5</v>
      </c>
      <c r="AE109" s="23" t="s">
        <v>7</v>
      </c>
      <c r="AF109" s="24" t="s">
        <v>9</v>
      </c>
      <c r="AG109" s="22" t="s">
        <v>5</v>
      </c>
      <c r="AH109" s="8">
        <f t="shared" si="32"/>
        <v>19</v>
      </c>
      <c r="AI109" s="8">
        <f t="shared" si="33"/>
        <v>2</v>
      </c>
      <c r="AJ109" s="8">
        <f t="shared" si="34"/>
        <v>0</v>
      </c>
      <c r="AK109" s="62">
        <v>0</v>
      </c>
      <c r="AL109" s="33">
        <f t="shared" si="35"/>
        <v>19</v>
      </c>
      <c r="AM109" s="63">
        <f t="shared" si="36"/>
        <v>168</v>
      </c>
      <c r="AN109" s="63">
        <f t="shared" si="37"/>
        <v>3</v>
      </c>
      <c r="AO109" s="63">
        <f t="shared" si="38"/>
        <v>12</v>
      </c>
      <c r="AP109" s="53">
        <f t="shared" si="39"/>
        <v>17.5</v>
      </c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</row>
    <row r="110" spans="1:55" ht="22" customHeight="1" x14ac:dyDescent="0.35">
      <c r="A110" s="8" t="s">
        <v>239</v>
      </c>
      <c r="B110" s="8" t="s">
        <v>240</v>
      </c>
      <c r="C110" s="8" t="s">
        <v>216</v>
      </c>
      <c r="D110" s="24" t="s">
        <v>9</v>
      </c>
      <c r="E110" s="26" t="s">
        <v>3</v>
      </c>
      <c r="F110" s="26" t="s">
        <v>3</v>
      </c>
      <c r="G110" s="26" t="s">
        <v>3</v>
      </c>
      <c r="H110" s="26" t="s">
        <v>3</v>
      </c>
      <c r="I110" s="26" t="s">
        <v>3</v>
      </c>
      <c r="J110" s="23" t="s">
        <v>7</v>
      </c>
      <c r="K110" s="24" t="s">
        <v>9</v>
      </c>
      <c r="L110" s="26" t="s">
        <v>3</v>
      </c>
      <c r="M110" s="26" t="s">
        <v>3</v>
      </c>
      <c r="N110" s="22" t="s">
        <v>5</v>
      </c>
      <c r="O110" s="22" t="s">
        <v>5</v>
      </c>
      <c r="P110" s="22" t="s">
        <v>5</v>
      </c>
      <c r="Q110" s="23" t="s">
        <v>7</v>
      </c>
      <c r="R110" s="24" t="s">
        <v>9</v>
      </c>
      <c r="S110" s="26" t="s">
        <v>3</v>
      </c>
      <c r="T110" s="26" t="s">
        <v>3</v>
      </c>
      <c r="U110" s="26" t="s">
        <v>3</v>
      </c>
      <c r="V110" s="26" t="s">
        <v>3</v>
      </c>
      <c r="W110" s="26" t="s">
        <v>3</v>
      </c>
      <c r="X110" s="23" t="s">
        <v>7</v>
      </c>
      <c r="Y110" s="24" t="s">
        <v>9</v>
      </c>
      <c r="Z110" s="26" t="s">
        <v>3</v>
      </c>
      <c r="AA110" s="26" t="s">
        <v>3</v>
      </c>
      <c r="AB110" s="26" t="s">
        <v>3</v>
      </c>
      <c r="AC110" s="26" t="s">
        <v>3</v>
      </c>
      <c r="AD110" s="26" t="s">
        <v>3</v>
      </c>
      <c r="AE110" s="23" t="s">
        <v>7</v>
      </c>
      <c r="AF110" s="24" t="s">
        <v>9</v>
      </c>
      <c r="AG110" s="26" t="s">
        <v>3</v>
      </c>
      <c r="AH110" s="8">
        <f t="shared" si="32"/>
        <v>18</v>
      </c>
      <c r="AI110" s="8">
        <f t="shared" si="33"/>
        <v>3</v>
      </c>
      <c r="AJ110" s="8">
        <f t="shared" si="34"/>
        <v>0</v>
      </c>
      <c r="AK110" s="62">
        <v>0</v>
      </c>
      <c r="AL110" s="33">
        <f t="shared" si="35"/>
        <v>18</v>
      </c>
      <c r="AM110" s="63">
        <f t="shared" si="36"/>
        <v>168</v>
      </c>
      <c r="AN110" s="63">
        <f t="shared" si="37"/>
        <v>3</v>
      </c>
      <c r="AO110" s="63">
        <f t="shared" si="38"/>
        <v>12</v>
      </c>
      <c r="AP110" s="53">
        <f t="shared" si="39"/>
        <v>16.5</v>
      </c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</row>
    <row r="111" spans="1:55" ht="22" customHeight="1" x14ac:dyDescent="0.35">
      <c r="A111" s="8" t="s">
        <v>241</v>
      </c>
      <c r="B111" s="8" t="s">
        <v>242</v>
      </c>
      <c r="C111" s="8" t="s">
        <v>216</v>
      </c>
      <c r="D111" s="24" t="s">
        <v>9</v>
      </c>
      <c r="E111" s="26" t="s">
        <v>3</v>
      </c>
      <c r="F111" s="26" t="s">
        <v>3</v>
      </c>
      <c r="G111" s="26" t="s">
        <v>3</v>
      </c>
      <c r="H111" s="26" t="s">
        <v>3</v>
      </c>
      <c r="I111" s="26" t="s">
        <v>3</v>
      </c>
      <c r="J111" s="23" t="s">
        <v>7</v>
      </c>
      <c r="K111" s="24" t="s">
        <v>9</v>
      </c>
      <c r="L111" s="26" t="s">
        <v>3</v>
      </c>
      <c r="M111" s="26" t="s">
        <v>3</v>
      </c>
      <c r="N111" s="26" t="s">
        <v>3</v>
      </c>
      <c r="O111" s="26" t="s">
        <v>3</v>
      </c>
      <c r="P111" s="26" t="s">
        <v>3</v>
      </c>
      <c r="Q111" s="23" t="s">
        <v>7</v>
      </c>
      <c r="R111" s="24" t="s">
        <v>9</v>
      </c>
      <c r="S111" s="26" t="s">
        <v>3</v>
      </c>
      <c r="T111" s="26" t="s">
        <v>3</v>
      </c>
      <c r="U111" s="26" t="s">
        <v>3</v>
      </c>
      <c r="V111" s="26" t="s">
        <v>3</v>
      </c>
      <c r="W111" s="26" t="s">
        <v>3</v>
      </c>
      <c r="X111" s="23" t="s">
        <v>7</v>
      </c>
      <c r="Y111" s="24" t="s">
        <v>9</v>
      </c>
      <c r="Z111" s="26" t="s">
        <v>3</v>
      </c>
      <c r="AA111" s="26" t="s">
        <v>3</v>
      </c>
      <c r="AB111" s="26" t="s">
        <v>3</v>
      </c>
      <c r="AC111" s="26" t="s">
        <v>3</v>
      </c>
      <c r="AD111" s="26" t="s">
        <v>3</v>
      </c>
      <c r="AE111" s="23" t="s">
        <v>7</v>
      </c>
      <c r="AF111" s="24" t="s">
        <v>9</v>
      </c>
      <c r="AG111" s="26" t="s">
        <v>3</v>
      </c>
      <c r="AH111" s="8">
        <f t="shared" si="32"/>
        <v>21</v>
      </c>
      <c r="AI111" s="8">
        <f t="shared" si="33"/>
        <v>0</v>
      </c>
      <c r="AJ111" s="8">
        <f t="shared" si="34"/>
        <v>0</v>
      </c>
      <c r="AK111" s="62">
        <v>0</v>
      </c>
      <c r="AL111" s="33">
        <f t="shared" si="35"/>
        <v>21</v>
      </c>
      <c r="AM111" s="63">
        <f t="shared" si="36"/>
        <v>168</v>
      </c>
      <c r="AN111" s="63">
        <f t="shared" si="37"/>
        <v>4</v>
      </c>
      <c r="AO111" s="63">
        <f t="shared" si="38"/>
        <v>16</v>
      </c>
      <c r="AP111" s="53">
        <f t="shared" si="39"/>
        <v>19</v>
      </c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</row>
    <row r="112" spans="1:55" x14ac:dyDescent="0.35"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</row>
    <row r="113" spans="1:55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</row>
    <row r="114" spans="1:55" ht="22" customHeight="1" x14ac:dyDescent="0.35">
      <c r="A114" s="8" t="s">
        <v>244</v>
      </c>
      <c r="B114" s="8" t="s">
        <v>245</v>
      </c>
      <c r="C114" s="8" t="s">
        <v>354</v>
      </c>
      <c r="D114" s="24" t="s">
        <v>9</v>
      </c>
      <c r="E114" s="22" t="s">
        <v>5</v>
      </c>
      <c r="F114" s="22" t="s">
        <v>5</v>
      </c>
      <c r="G114" s="22" t="s">
        <v>5</v>
      </c>
      <c r="H114" s="22" t="s">
        <v>5</v>
      </c>
      <c r="I114" s="22" t="s">
        <v>5</v>
      </c>
      <c r="J114" s="23" t="s">
        <v>7</v>
      </c>
      <c r="K114" s="24" t="s">
        <v>9</v>
      </c>
      <c r="L114" s="22" t="s">
        <v>5</v>
      </c>
      <c r="M114" s="22" t="s">
        <v>5</v>
      </c>
      <c r="N114" s="22" t="s">
        <v>5</v>
      </c>
      <c r="O114" s="26" t="s">
        <v>3</v>
      </c>
      <c r="P114" s="26" t="s">
        <v>3</v>
      </c>
      <c r="Q114" s="27" t="s">
        <v>7</v>
      </c>
      <c r="R114" s="28" t="s">
        <v>11</v>
      </c>
      <c r="S114" s="26" t="s">
        <v>3</v>
      </c>
      <c r="T114" s="26" t="s">
        <v>3</v>
      </c>
      <c r="U114" s="26" t="s">
        <v>3</v>
      </c>
      <c r="V114" s="26" t="s">
        <v>3</v>
      </c>
      <c r="W114" s="26" t="s">
        <v>3</v>
      </c>
      <c r="X114" s="27" t="s">
        <v>7</v>
      </c>
      <c r="Y114" s="28" t="s">
        <v>11</v>
      </c>
      <c r="Z114" s="26" t="s">
        <v>3</v>
      </c>
      <c r="AA114" s="26" t="s">
        <v>3</v>
      </c>
      <c r="AB114" s="26" t="s">
        <v>3</v>
      </c>
      <c r="AC114" s="26" t="s">
        <v>3</v>
      </c>
      <c r="AD114" s="22" t="s">
        <v>5</v>
      </c>
      <c r="AE114" s="27" t="s">
        <v>7</v>
      </c>
      <c r="AF114" s="28" t="s">
        <v>11</v>
      </c>
      <c r="AG114" s="26" t="s">
        <v>3</v>
      </c>
      <c r="AH114" s="8">
        <f>COUNTIF(D114:AG114,"ON")</f>
        <v>12</v>
      </c>
      <c r="AI114" s="8">
        <f>COUNTIF(D114:AG114,"OFF")</f>
        <v>9</v>
      </c>
      <c r="AJ114" s="29">
        <f>COUNTIF(D114:AG114,"OT")</f>
        <v>3</v>
      </c>
      <c r="AK114" s="62">
        <v>3</v>
      </c>
      <c r="AL114" s="33">
        <f>AH114+AJ114+AK114*0.5</f>
        <v>16.5</v>
      </c>
      <c r="AM114" s="63">
        <f>NETWORKDAYS(DATE(2025,6,1),EOMONTH(DATE(2025,6,1),0))*8</f>
        <v>168</v>
      </c>
      <c r="AN114" s="63">
        <f>MAX(0,COUNTIF(I114,"ON")+COUNTIF(P114,"ON")+COUNTIF(W114,"ON")+COUNTIF(AD114,"ON")-AK114)</f>
        <v>0</v>
      </c>
      <c r="AO114" s="63">
        <f>AN114*$AO$2</f>
        <v>0</v>
      </c>
      <c r="AP114" s="53">
        <f>AL114-AO114/8</f>
        <v>16.5</v>
      </c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</row>
    <row r="115" spans="1:55" ht="22" customHeight="1" x14ac:dyDescent="0.35">
      <c r="A115" s="8" t="s">
        <v>247</v>
      </c>
      <c r="B115" s="8" t="s">
        <v>248</v>
      </c>
      <c r="C115" s="8" t="s">
        <v>354</v>
      </c>
      <c r="D115" s="24" t="s">
        <v>9</v>
      </c>
      <c r="E115" s="22" t="s">
        <v>5</v>
      </c>
      <c r="F115" s="26" t="s">
        <v>3</v>
      </c>
      <c r="G115" s="26" t="s">
        <v>3</v>
      </c>
      <c r="H115" s="26" t="s">
        <v>3</v>
      </c>
      <c r="I115" s="26" t="s">
        <v>3</v>
      </c>
      <c r="J115" s="27" t="s">
        <v>7</v>
      </c>
      <c r="K115" s="28" t="s">
        <v>11</v>
      </c>
      <c r="L115" s="26" t="s">
        <v>3</v>
      </c>
      <c r="M115" s="26" t="s">
        <v>3</v>
      </c>
      <c r="N115" s="26" t="s">
        <v>3</v>
      </c>
      <c r="O115" s="26" t="s">
        <v>3</v>
      </c>
      <c r="P115" s="26" t="s">
        <v>3</v>
      </c>
      <c r="Q115" s="27" t="s">
        <v>7</v>
      </c>
      <c r="R115" s="28" t="s">
        <v>11</v>
      </c>
      <c r="S115" s="26" t="s">
        <v>3</v>
      </c>
      <c r="T115" s="26" t="s">
        <v>3</v>
      </c>
      <c r="U115" s="26" t="s">
        <v>3</v>
      </c>
      <c r="V115" s="26" t="s">
        <v>3</v>
      </c>
      <c r="W115" s="26" t="s">
        <v>3</v>
      </c>
      <c r="X115" s="27" t="s">
        <v>7</v>
      </c>
      <c r="Y115" s="28" t="s">
        <v>11</v>
      </c>
      <c r="Z115" s="26" t="s">
        <v>3</v>
      </c>
      <c r="AA115" s="26" t="s">
        <v>3</v>
      </c>
      <c r="AB115" s="26" t="s">
        <v>3</v>
      </c>
      <c r="AC115" s="26" t="s">
        <v>3</v>
      </c>
      <c r="AD115" s="26" t="s">
        <v>3</v>
      </c>
      <c r="AE115" s="27" t="s">
        <v>7</v>
      </c>
      <c r="AF115" s="28" t="s">
        <v>11</v>
      </c>
      <c r="AG115" s="26" t="s">
        <v>3</v>
      </c>
      <c r="AH115" s="8">
        <f>COUNTIF(D115:AG115,"ON")</f>
        <v>20</v>
      </c>
      <c r="AI115" s="8">
        <f>COUNTIF(D115:AG115,"OFF")</f>
        <v>1</v>
      </c>
      <c r="AJ115" s="29">
        <f>COUNTIF(D115:AG115,"OT")</f>
        <v>4</v>
      </c>
      <c r="AK115" s="62">
        <v>4</v>
      </c>
      <c r="AL115" s="33">
        <f>AH115+AJ115+AK115*0.5</f>
        <v>26</v>
      </c>
      <c r="AM115" s="63">
        <f>NETWORKDAYS(DATE(2025,6,1),EOMONTH(DATE(2025,6,1),0))*8</f>
        <v>168</v>
      </c>
      <c r="AN115" s="63">
        <f>MAX(0,COUNTIF(I115,"ON")+COUNTIF(P115,"ON")+COUNTIF(W115,"ON")+COUNTIF(AD115,"ON")-AK115)</f>
        <v>0</v>
      </c>
      <c r="AO115" s="63">
        <f>AN115*$AO$2</f>
        <v>0</v>
      </c>
      <c r="AP115" s="53">
        <f>AL115-AO115/8</f>
        <v>26</v>
      </c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</row>
    <row r="116" spans="1:55" ht="22" customHeight="1" x14ac:dyDescent="0.35">
      <c r="A116" s="8" t="s">
        <v>249</v>
      </c>
      <c r="B116" s="8" t="s">
        <v>250</v>
      </c>
      <c r="C116" s="8" t="s">
        <v>354</v>
      </c>
      <c r="D116" s="28" t="s">
        <v>11</v>
      </c>
      <c r="E116" s="26" t="s">
        <v>3</v>
      </c>
      <c r="F116" s="22" t="s">
        <v>5</v>
      </c>
      <c r="G116" s="22" t="s">
        <v>5</v>
      </c>
      <c r="H116" s="22" t="s">
        <v>5</v>
      </c>
      <c r="I116" s="22" t="s">
        <v>5</v>
      </c>
      <c r="J116" s="23" t="s">
        <v>7</v>
      </c>
      <c r="K116" s="24" t="s">
        <v>9</v>
      </c>
      <c r="L116" s="22" t="s">
        <v>5</v>
      </c>
      <c r="M116" s="22" t="s">
        <v>5</v>
      </c>
      <c r="N116" s="22" t="s">
        <v>5</v>
      </c>
      <c r="O116" s="22" t="s">
        <v>5</v>
      </c>
      <c r="P116" s="22" t="s">
        <v>5</v>
      </c>
      <c r="Q116" s="23" t="s">
        <v>7</v>
      </c>
      <c r="R116" s="24" t="s">
        <v>9</v>
      </c>
      <c r="S116" s="22" t="s">
        <v>5</v>
      </c>
      <c r="T116" s="22" t="s">
        <v>5</v>
      </c>
      <c r="U116" s="22" t="s">
        <v>5</v>
      </c>
      <c r="V116" s="22" t="s">
        <v>5</v>
      </c>
      <c r="W116" s="22" t="s">
        <v>5</v>
      </c>
      <c r="X116" s="23" t="s">
        <v>7</v>
      </c>
      <c r="Y116" s="24" t="s">
        <v>9</v>
      </c>
      <c r="Z116" s="22" t="s">
        <v>5</v>
      </c>
      <c r="AA116" s="22" t="s">
        <v>5</v>
      </c>
      <c r="AB116" s="22" t="s">
        <v>5</v>
      </c>
      <c r="AC116" s="22" t="s">
        <v>5</v>
      </c>
      <c r="AD116" s="22" t="s">
        <v>5</v>
      </c>
      <c r="AE116" s="23" t="s">
        <v>7</v>
      </c>
      <c r="AF116" s="24" t="s">
        <v>9</v>
      </c>
      <c r="AG116" s="22" t="s">
        <v>5</v>
      </c>
      <c r="AH116" s="8">
        <f>COUNTIF(D116:AG116,"ON")</f>
        <v>1</v>
      </c>
      <c r="AI116" s="25">
        <f>COUNTIF(D116:AG116,"OFF")</f>
        <v>20</v>
      </c>
      <c r="AJ116" s="29">
        <f>COUNTIF(D116:AG116,"OT")</f>
        <v>1</v>
      </c>
      <c r="AK116" s="62">
        <v>0</v>
      </c>
      <c r="AL116" s="33">
        <f>AH116+AJ116+AK116*0.5</f>
        <v>2</v>
      </c>
      <c r="AM116" s="63">
        <f>NETWORKDAYS(DATE(2025,6,1),EOMONTH(DATE(2025,6,1),0))*8</f>
        <v>168</v>
      </c>
      <c r="AN116" s="63">
        <f>MAX(0,COUNTIF(I116,"ON")+COUNTIF(P116,"ON")+COUNTIF(W116,"ON")+COUNTIF(AD116,"ON")-AK116)</f>
        <v>0</v>
      </c>
      <c r="AO116" s="63">
        <f>AN116*$AO$2</f>
        <v>0</v>
      </c>
      <c r="AP116" s="53">
        <f>AL116-AO116/8</f>
        <v>2</v>
      </c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</row>
    <row r="117" spans="1:55" x14ac:dyDescent="0.35"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</row>
    <row r="118" spans="1:55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</row>
    <row r="119" spans="1:55" ht="22" customHeight="1" x14ac:dyDescent="0.35">
      <c r="A119" s="8" t="s">
        <v>252</v>
      </c>
      <c r="B119" s="8" t="s">
        <v>253</v>
      </c>
      <c r="C119" s="8" t="s">
        <v>254</v>
      </c>
      <c r="D119" s="24" t="s">
        <v>9</v>
      </c>
      <c r="E119" s="22" t="s">
        <v>5</v>
      </c>
      <c r="F119" s="22" t="s">
        <v>5</v>
      </c>
      <c r="G119" s="22" t="s">
        <v>5</v>
      </c>
      <c r="H119" s="22" t="s">
        <v>5</v>
      </c>
      <c r="I119" s="22" t="s">
        <v>5</v>
      </c>
      <c r="J119" s="23" t="s">
        <v>7</v>
      </c>
      <c r="K119" s="24" t="s">
        <v>9</v>
      </c>
      <c r="L119" s="22" t="s">
        <v>5</v>
      </c>
      <c r="M119" s="22" t="s">
        <v>5</v>
      </c>
      <c r="N119" s="22" t="s">
        <v>5</v>
      </c>
      <c r="O119" s="22" t="s">
        <v>5</v>
      </c>
      <c r="P119" s="22" t="s">
        <v>5</v>
      </c>
      <c r="Q119" s="23" t="s">
        <v>7</v>
      </c>
      <c r="R119" s="24" t="s">
        <v>9</v>
      </c>
      <c r="S119" s="22" t="s">
        <v>5</v>
      </c>
      <c r="T119" s="22" t="s">
        <v>5</v>
      </c>
      <c r="U119" s="22" t="s">
        <v>5</v>
      </c>
      <c r="V119" s="22" t="s">
        <v>5</v>
      </c>
      <c r="W119" s="22" t="s">
        <v>5</v>
      </c>
      <c r="X119" s="23" t="s">
        <v>7</v>
      </c>
      <c r="Y119" s="24" t="s">
        <v>9</v>
      </c>
      <c r="Z119" s="22" t="s">
        <v>5</v>
      </c>
      <c r="AA119" s="22" t="s">
        <v>5</v>
      </c>
      <c r="AB119" s="22" t="s">
        <v>5</v>
      </c>
      <c r="AC119" s="22" t="s">
        <v>5</v>
      </c>
      <c r="AD119" s="22" t="s">
        <v>5</v>
      </c>
      <c r="AE119" s="23" t="s">
        <v>7</v>
      </c>
      <c r="AF119" s="24" t="s">
        <v>9</v>
      </c>
      <c r="AG119" s="22" t="s">
        <v>5</v>
      </c>
      <c r="AH119" s="8">
        <f t="shared" ref="AH119:AH129" si="40">COUNTIF(D119:AG119,"ON")</f>
        <v>0</v>
      </c>
      <c r="AI119" s="25">
        <f t="shared" ref="AI119:AI129" si="41">COUNTIF(D119:AG119,"OFF")</f>
        <v>21</v>
      </c>
      <c r="AJ119" s="8">
        <f t="shared" ref="AJ119:AJ129" si="42">COUNTIF(D119:AG119,"OT")</f>
        <v>0</v>
      </c>
      <c r="AK119" s="62">
        <v>0</v>
      </c>
      <c r="AL119" s="33">
        <f t="shared" ref="AL119:AL129" si="43">AH119+AJ119+AK119*0.5</f>
        <v>0</v>
      </c>
      <c r="AM119" s="63">
        <f t="shared" ref="AM119:AM129" si="44">NETWORKDAYS(DATE(2025,6,1),EOMONTH(DATE(2025,6,1),0))*8</f>
        <v>168</v>
      </c>
      <c r="AN119" s="63">
        <f t="shared" ref="AN119:AN129" si="45">MAX(0,COUNTIF(I119,"ON")+COUNTIF(P119,"ON")+COUNTIF(W119,"ON")+COUNTIF(AD119,"ON")-AK119)</f>
        <v>0</v>
      </c>
      <c r="AO119" s="63">
        <f t="shared" ref="AO119:AO129" si="46">AN119*$AO$2</f>
        <v>0</v>
      </c>
      <c r="AP119" s="53">
        <f t="shared" ref="AP119:AP129" si="47">AL119-AO119/8</f>
        <v>0</v>
      </c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</row>
    <row r="120" spans="1:55" ht="22" customHeight="1" x14ac:dyDescent="0.35">
      <c r="A120" s="8" t="s">
        <v>255</v>
      </c>
      <c r="B120" s="8" t="s">
        <v>256</v>
      </c>
      <c r="C120" s="8" t="s">
        <v>254</v>
      </c>
      <c r="D120" s="24" t="s">
        <v>9</v>
      </c>
      <c r="E120" s="22" t="s">
        <v>5</v>
      </c>
      <c r="F120" s="22" t="s">
        <v>5</v>
      </c>
      <c r="G120" s="22" t="s">
        <v>5</v>
      </c>
      <c r="H120" s="22" t="s">
        <v>5</v>
      </c>
      <c r="I120" s="22" t="s">
        <v>5</v>
      </c>
      <c r="J120" s="23" t="s">
        <v>7</v>
      </c>
      <c r="K120" s="24" t="s">
        <v>9</v>
      </c>
      <c r="L120" s="22" t="s">
        <v>5</v>
      </c>
      <c r="M120" s="22" t="s">
        <v>5</v>
      </c>
      <c r="N120" s="22" t="s">
        <v>5</v>
      </c>
      <c r="O120" s="22" t="s">
        <v>5</v>
      </c>
      <c r="P120" s="22" t="s">
        <v>5</v>
      </c>
      <c r="Q120" s="23" t="s">
        <v>7</v>
      </c>
      <c r="R120" s="24" t="s">
        <v>9</v>
      </c>
      <c r="S120" s="22" t="s">
        <v>5</v>
      </c>
      <c r="T120" s="22" t="s">
        <v>5</v>
      </c>
      <c r="U120" s="22" t="s">
        <v>5</v>
      </c>
      <c r="V120" s="22" t="s">
        <v>5</v>
      </c>
      <c r="W120" s="22" t="s">
        <v>5</v>
      </c>
      <c r="X120" s="23" t="s">
        <v>7</v>
      </c>
      <c r="Y120" s="24" t="s">
        <v>9</v>
      </c>
      <c r="Z120" s="22" t="s">
        <v>5</v>
      </c>
      <c r="AA120" s="22" t="s">
        <v>5</v>
      </c>
      <c r="AB120" s="22" t="s">
        <v>5</v>
      </c>
      <c r="AC120" s="22" t="s">
        <v>5</v>
      </c>
      <c r="AD120" s="22" t="s">
        <v>5</v>
      </c>
      <c r="AE120" s="23" t="s">
        <v>7</v>
      </c>
      <c r="AF120" s="24" t="s">
        <v>9</v>
      </c>
      <c r="AG120" s="22" t="s">
        <v>5</v>
      </c>
      <c r="AH120" s="8">
        <f t="shared" si="40"/>
        <v>0</v>
      </c>
      <c r="AI120" s="25">
        <f t="shared" si="41"/>
        <v>21</v>
      </c>
      <c r="AJ120" s="8">
        <f t="shared" si="42"/>
        <v>0</v>
      </c>
      <c r="AK120" s="62">
        <v>0</v>
      </c>
      <c r="AL120" s="33">
        <f t="shared" si="43"/>
        <v>0</v>
      </c>
      <c r="AM120" s="63">
        <f t="shared" si="44"/>
        <v>168</v>
      </c>
      <c r="AN120" s="63">
        <f t="shared" si="45"/>
        <v>0</v>
      </c>
      <c r="AO120" s="63">
        <f t="shared" si="46"/>
        <v>0</v>
      </c>
      <c r="AP120" s="53">
        <f t="shared" si="47"/>
        <v>0</v>
      </c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</row>
    <row r="121" spans="1:55" ht="22" customHeight="1" x14ac:dyDescent="0.35">
      <c r="A121" s="8" t="s">
        <v>257</v>
      </c>
      <c r="B121" s="8" t="s">
        <v>258</v>
      </c>
      <c r="C121" s="8" t="s">
        <v>254</v>
      </c>
      <c r="D121" s="24" t="s">
        <v>9</v>
      </c>
      <c r="E121" s="22" t="s">
        <v>5</v>
      </c>
      <c r="F121" s="22" t="s">
        <v>5</v>
      </c>
      <c r="G121" s="22" t="s">
        <v>5</v>
      </c>
      <c r="H121" s="22" t="s">
        <v>5</v>
      </c>
      <c r="I121" s="22" t="s">
        <v>5</v>
      </c>
      <c r="J121" s="23" t="s">
        <v>7</v>
      </c>
      <c r="K121" s="24" t="s">
        <v>9</v>
      </c>
      <c r="L121" s="22" t="s">
        <v>5</v>
      </c>
      <c r="M121" s="22" t="s">
        <v>5</v>
      </c>
      <c r="N121" s="22" t="s">
        <v>5</v>
      </c>
      <c r="O121" s="22" t="s">
        <v>5</v>
      </c>
      <c r="P121" s="22" t="s">
        <v>5</v>
      </c>
      <c r="Q121" s="23" t="s">
        <v>7</v>
      </c>
      <c r="R121" s="24" t="s">
        <v>9</v>
      </c>
      <c r="S121" s="22" t="s">
        <v>5</v>
      </c>
      <c r="T121" s="22" t="s">
        <v>5</v>
      </c>
      <c r="U121" s="22" t="s">
        <v>5</v>
      </c>
      <c r="V121" s="22" t="s">
        <v>5</v>
      </c>
      <c r="W121" s="22" t="s">
        <v>5</v>
      </c>
      <c r="X121" s="23" t="s">
        <v>7</v>
      </c>
      <c r="Y121" s="24" t="s">
        <v>9</v>
      </c>
      <c r="Z121" s="22" t="s">
        <v>5</v>
      </c>
      <c r="AA121" s="22" t="s">
        <v>5</v>
      </c>
      <c r="AB121" s="22" t="s">
        <v>5</v>
      </c>
      <c r="AC121" s="22" t="s">
        <v>5</v>
      </c>
      <c r="AD121" s="22" t="s">
        <v>5</v>
      </c>
      <c r="AE121" s="23" t="s">
        <v>7</v>
      </c>
      <c r="AF121" s="24" t="s">
        <v>9</v>
      </c>
      <c r="AG121" s="22" t="s">
        <v>5</v>
      </c>
      <c r="AH121" s="8">
        <f t="shared" si="40"/>
        <v>0</v>
      </c>
      <c r="AI121" s="25">
        <f t="shared" si="41"/>
        <v>21</v>
      </c>
      <c r="AJ121" s="8">
        <f t="shared" si="42"/>
        <v>0</v>
      </c>
      <c r="AK121" s="62">
        <v>0</v>
      </c>
      <c r="AL121" s="33">
        <f t="shared" si="43"/>
        <v>0</v>
      </c>
      <c r="AM121" s="63">
        <f t="shared" si="44"/>
        <v>168</v>
      </c>
      <c r="AN121" s="63">
        <f t="shared" si="45"/>
        <v>0</v>
      </c>
      <c r="AO121" s="63">
        <f t="shared" si="46"/>
        <v>0</v>
      </c>
      <c r="AP121" s="53">
        <f t="shared" si="47"/>
        <v>0</v>
      </c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</row>
    <row r="122" spans="1:55" ht="22" customHeight="1" x14ac:dyDescent="0.35">
      <c r="A122" s="8" t="s">
        <v>259</v>
      </c>
      <c r="B122" s="8" t="s">
        <v>260</v>
      </c>
      <c r="C122" s="8" t="s">
        <v>254</v>
      </c>
      <c r="D122" s="24" t="s">
        <v>9</v>
      </c>
      <c r="E122" s="22" t="s">
        <v>5</v>
      </c>
      <c r="F122" s="22" t="s">
        <v>5</v>
      </c>
      <c r="G122" s="22" t="s">
        <v>5</v>
      </c>
      <c r="H122" s="22" t="s">
        <v>5</v>
      </c>
      <c r="I122" s="22" t="s">
        <v>5</v>
      </c>
      <c r="J122" s="23" t="s">
        <v>7</v>
      </c>
      <c r="K122" s="24" t="s">
        <v>9</v>
      </c>
      <c r="L122" s="22" t="s">
        <v>5</v>
      </c>
      <c r="M122" s="22" t="s">
        <v>5</v>
      </c>
      <c r="N122" s="22" t="s">
        <v>5</v>
      </c>
      <c r="O122" s="22" t="s">
        <v>5</v>
      </c>
      <c r="P122" s="22" t="s">
        <v>5</v>
      </c>
      <c r="Q122" s="23" t="s">
        <v>7</v>
      </c>
      <c r="R122" s="24" t="s">
        <v>9</v>
      </c>
      <c r="S122" s="22" t="s">
        <v>5</v>
      </c>
      <c r="T122" s="22" t="s">
        <v>5</v>
      </c>
      <c r="U122" s="22" t="s">
        <v>5</v>
      </c>
      <c r="V122" s="22" t="s">
        <v>5</v>
      </c>
      <c r="W122" s="22" t="s">
        <v>5</v>
      </c>
      <c r="X122" s="23" t="s">
        <v>7</v>
      </c>
      <c r="Y122" s="24" t="s">
        <v>9</v>
      </c>
      <c r="Z122" s="22" t="s">
        <v>5</v>
      </c>
      <c r="AA122" s="22" t="s">
        <v>5</v>
      </c>
      <c r="AB122" s="22" t="s">
        <v>5</v>
      </c>
      <c r="AC122" s="22" t="s">
        <v>5</v>
      </c>
      <c r="AD122" s="22" t="s">
        <v>5</v>
      </c>
      <c r="AE122" s="23" t="s">
        <v>7</v>
      </c>
      <c r="AF122" s="24" t="s">
        <v>9</v>
      </c>
      <c r="AG122" s="22" t="s">
        <v>5</v>
      </c>
      <c r="AH122" s="8">
        <f t="shared" si="40"/>
        <v>0</v>
      </c>
      <c r="AI122" s="25">
        <f t="shared" si="41"/>
        <v>21</v>
      </c>
      <c r="AJ122" s="8">
        <f t="shared" si="42"/>
        <v>0</v>
      </c>
      <c r="AK122" s="62">
        <v>0</v>
      </c>
      <c r="AL122" s="33">
        <f t="shared" si="43"/>
        <v>0</v>
      </c>
      <c r="AM122" s="63">
        <f t="shared" si="44"/>
        <v>168</v>
      </c>
      <c r="AN122" s="63">
        <f t="shared" si="45"/>
        <v>0</v>
      </c>
      <c r="AO122" s="63">
        <f t="shared" si="46"/>
        <v>0</v>
      </c>
      <c r="AP122" s="53">
        <f t="shared" si="47"/>
        <v>0</v>
      </c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</row>
    <row r="123" spans="1:55" ht="22" customHeight="1" x14ac:dyDescent="0.35">
      <c r="A123" s="8" t="s">
        <v>261</v>
      </c>
      <c r="B123" s="8" t="s">
        <v>262</v>
      </c>
      <c r="C123" s="8" t="s">
        <v>254</v>
      </c>
      <c r="D123" s="24" t="s">
        <v>9</v>
      </c>
      <c r="E123" s="22" t="s">
        <v>5</v>
      </c>
      <c r="F123" s="22" t="s">
        <v>5</v>
      </c>
      <c r="G123" s="22" t="s">
        <v>5</v>
      </c>
      <c r="H123" s="22" t="s">
        <v>5</v>
      </c>
      <c r="I123" s="22" t="s">
        <v>5</v>
      </c>
      <c r="J123" s="23" t="s">
        <v>7</v>
      </c>
      <c r="K123" s="24" t="s">
        <v>9</v>
      </c>
      <c r="L123" s="22" t="s">
        <v>5</v>
      </c>
      <c r="M123" s="22" t="s">
        <v>5</v>
      </c>
      <c r="N123" s="22" t="s">
        <v>5</v>
      </c>
      <c r="O123" s="22" t="s">
        <v>5</v>
      </c>
      <c r="P123" s="22" t="s">
        <v>5</v>
      </c>
      <c r="Q123" s="23" t="s">
        <v>7</v>
      </c>
      <c r="R123" s="24" t="s">
        <v>9</v>
      </c>
      <c r="S123" s="22" t="s">
        <v>5</v>
      </c>
      <c r="T123" s="22" t="s">
        <v>5</v>
      </c>
      <c r="U123" s="22" t="s">
        <v>5</v>
      </c>
      <c r="V123" s="22" t="s">
        <v>5</v>
      </c>
      <c r="W123" s="22" t="s">
        <v>5</v>
      </c>
      <c r="X123" s="23" t="s">
        <v>7</v>
      </c>
      <c r="Y123" s="24" t="s">
        <v>9</v>
      </c>
      <c r="Z123" s="22" t="s">
        <v>5</v>
      </c>
      <c r="AA123" s="22" t="s">
        <v>5</v>
      </c>
      <c r="AB123" s="22" t="s">
        <v>5</v>
      </c>
      <c r="AC123" s="22" t="s">
        <v>5</v>
      </c>
      <c r="AD123" s="22" t="s">
        <v>5</v>
      </c>
      <c r="AE123" s="23" t="s">
        <v>7</v>
      </c>
      <c r="AF123" s="24" t="s">
        <v>9</v>
      </c>
      <c r="AG123" s="22" t="s">
        <v>5</v>
      </c>
      <c r="AH123" s="8">
        <f t="shared" si="40"/>
        <v>0</v>
      </c>
      <c r="AI123" s="25">
        <f t="shared" si="41"/>
        <v>21</v>
      </c>
      <c r="AJ123" s="8">
        <f t="shared" si="42"/>
        <v>0</v>
      </c>
      <c r="AK123" s="62">
        <v>0</v>
      </c>
      <c r="AL123" s="33">
        <f t="shared" si="43"/>
        <v>0</v>
      </c>
      <c r="AM123" s="63">
        <f t="shared" si="44"/>
        <v>168</v>
      </c>
      <c r="AN123" s="63">
        <f t="shared" si="45"/>
        <v>0</v>
      </c>
      <c r="AO123" s="63">
        <f t="shared" si="46"/>
        <v>0</v>
      </c>
      <c r="AP123" s="53">
        <f t="shared" si="47"/>
        <v>0</v>
      </c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</row>
    <row r="124" spans="1:55" ht="22" customHeight="1" x14ac:dyDescent="0.35">
      <c r="A124" s="8" t="s">
        <v>263</v>
      </c>
      <c r="B124" s="8" t="s">
        <v>264</v>
      </c>
      <c r="C124" s="8" t="s">
        <v>254</v>
      </c>
      <c r="D124" s="24" t="s">
        <v>9</v>
      </c>
      <c r="E124" s="22" t="s">
        <v>5</v>
      </c>
      <c r="F124" s="22" t="s">
        <v>5</v>
      </c>
      <c r="G124" s="22" t="s">
        <v>5</v>
      </c>
      <c r="H124" s="22" t="s">
        <v>5</v>
      </c>
      <c r="I124" s="22" t="s">
        <v>5</v>
      </c>
      <c r="J124" s="23" t="s">
        <v>7</v>
      </c>
      <c r="K124" s="24" t="s">
        <v>9</v>
      </c>
      <c r="L124" s="22" t="s">
        <v>5</v>
      </c>
      <c r="M124" s="22" t="s">
        <v>5</v>
      </c>
      <c r="N124" s="22" t="s">
        <v>5</v>
      </c>
      <c r="O124" s="22" t="s">
        <v>5</v>
      </c>
      <c r="P124" s="22" t="s">
        <v>5</v>
      </c>
      <c r="Q124" s="23" t="s">
        <v>7</v>
      </c>
      <c r="R124" s="24" t="s">
        <v>9</v>
      </c>
      <c r="S124" s="22" t="s">
        <v>5</v>
      </c>
      <c r="T124" s="22" t="s">
        <v>5</v>
      </c>
      <c r="U124" s="22" t="s">
        <v>5</v>
      </c>
      <c r="V124" s="22" t="s">
        <v>5</v>
      </c>
      <c r="W124" s="22" t="s">
        <v>5</v>
      </c>
      <c r="X124" s="23" t="s">
        <v>7</v>
      </c>
      <c r="Y124" s="24" t="s">
        <v>9</v>
      </c>
      <c r="Z124" s="22" t="s">
        <v>5</v>
      </c>
      <c r="AA124" s="22" t="s">
        <v>5</v>
      </c>
      <c r="AB124" s="22" t="s">
        <v>5</v>
      </c>
      <c r="AC124" s="22" t="s">
        <v>5</v>
      </c>
      <c r="AD124" s="22" t="s">
        <v>5</v>
      </c>
      <c r="AE124" s="23" t="s">
        <v>7</v>
      </c>
      <c r="AF124" s="24" t="s">
        <v>9</v>
      </c>
      <c r="AG124" s="22" t="s">
        <v>5</v>
      </c>
      <c r="AH124" s="8">
        <f t="shared" si="40"/>
        <v>0</v>
      </c>
      <c r="AI124" s="25">
        <f t="shared" si="41"/>
        <v>21</v>
      </c>
      <c r="AJ124" s="8">
        <f t="shared" si="42"/>
        <v>0</v>
      </c>
      <c r="AK124" s="62">
        <v>0</v>
      </c>
      <c r="AL124" s="33">
        <f t="shared" si="43"/>
        <v>0</v>
      </c>
      <c r="AM124" s="63">
        <f t="shared" si="44"/>
        <v>168</v>
      </c>
      <c r="AN124" s="63">
        <f t="shared" si="45"/>
        <v>0</v>
      </c>
      <c r="AO124" s="63">
        <f t="shared" si="46"/>
        <v>0</v>
      </c>
      <c r="AP124" s="53">
        <f t="shared" si="47"/>
        <v>0</v>
      </c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</row>
    <row r="125" spans="1:55" ht="22" customHeight="1" x14ac:dyDescent="0.35">
      <c r="A125" s="8" t="s">
        <v>265</v>
      </c>
      <c r="B125" s="8" t="s">
        <v>266</v>
      </c>
      <c r="C125" s="8" t="s">
        <v>254</v>
      </c>
      <c r="D125" s="24" t="s">
        <v>9</v>
      </c>
      <c r="E125" s="22" t="s">
        <v>5</v>
      </c>
      <c r="F125" s="22" t="s">
        <v>5</v>
      </c>
      <c r="G125" s="22" t="s">
        <v>5</v>
      </c>
      <c r="H125" s="22" t="s">
        <v>5</v>
      </c>
      <c r="I125" s="22" t="s">
        <v>5</v>
      </c>
      <c r="J125" s="23" t="s">
        <v>7</v>
      </c>
      <c r="K125" s="24" t="s">
        <v>9</v>
      </c>
      <c r="L125" s="22" t="s">
        <v>5</v>
      </c>
      <c r="M125" s="22" t="s">
        <v>5</v>
      </c>
      <c r="N125" s="22" t="s">
        <v>5</v>
      </c>
      <c r="O125" s="22" t="s">
        <v>5</v>
      </c>
      <c r="P125" s="22" t="s">
        <v>5</v>
      </c>
      <c r="Q125" s="23" t="s">
        <v>7</v>
      </c>
      <c r="R125" s="24" t="s">
        <v>9</v>
      </c>
      <c r="S125" s="22" t="s">
        <v>5</v>
      </c>
      <c r="T125" s="22" t="s">
        <v>5</v>
      </c>
      <c r="U125" s="22" t="s">
        <v>5</v>
      </c>
      <c r="V125" s="22" t="s">
        <v>5</v>
      </c>
      <c r="W125" s="22" t="s">
        <v>5</v>
      </c>
      <c r="X125" s="23" t="s">
        <v>7</v>
      </c>
      <c r="Y125" s="24" t="s">
        <v>9</v>
      </c>
      <c r="Z125" s="22" t="s">
        <v>5</v>
      </c>
      <c r="AA125" s="22" t="s">
        <v>5</v>
      </c>
      <c r="AB125" s="22" t="s">
        <v>5</v>
      </c>
      <c r="AC125" s="22" t="s">
        <v>5</v>
      </c>
      <c r="AD125" s="22" t="s">
        <v>5</v>
      </c>
      <c r="AE125" s="23" t="s">
        <v>7</v>
      </c>
      <c r="AF125" s="24" t="s">
        <v>9</v>
      </c>
      <c r="AG125" s="22" t="s">
        <v>5</v>
      </c>
      <c r="AH125" s="8">
        <f t="shared" si="40"/>
        <v>0</v>
      </c>
      <c r="AI125" s="25">
        <f t="shared" si="41"/>
        <v>21</v>
      </c>
      <c r="AJ125" s="8">
        <f t="shared" si="42"/>
        <v>0</v>
      </c>
      <c r="AK125" s="62">
        <v>0</v>
      </c>
      <c r="AL125" s="33">
        <f t="shared" si="43"/>
        <v>0</v>
      </c>
      <c r="AM125" s="63">
        <f t="shared" si="44"/>
        <v>168</v>
      </c>
      <c r="AN125" s="63">
        <f t="shared" si="45"/>
        <v>0</v>
      </c>
      <c r="AO125" s="63">
        <f t="shared" si="46"/>
        <v>0</v>
      </c>
      <c r="AP125" s="53">
        <f t="shared" si="47"/>
        <v>0</v>
      </c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</row>
    <row r="126" spans="1:55" ht="22" customHeight="1" x14ac:dyDescent="0.35">
      <c r="A126" s="8" t="s">
        <v>267</v>
      </c>
      <c r="B126" s="8" t="s">
        <v>268</v>
      </c>
      <c r="C126" s="8" t="s">
        <v>254</v>
      </c>
      <c r="D126" s="24" t="s">
        <v>9</v>
      </c>
      <c r="E126" s="22" t="s">
        <v>5</v>
      </c>
      <c r="F126" s="22" t="s">
        <v>5</v>
      </c>
      <c r="G126" s="22" t="s">
        <v>5</v>
      </c>
      <c r="H126" s="22" t="s">
        <v>5</v>
      </c>
      <c r="I126" s="22" t="s">
        <v>5</v>
      </c>
      <c r="J126" s="23" t="s">
        <v>7</v>
      </c>
      <c r="K126" s="24" t="s">
        <v>9</v>
      </c>
      <c r="L126" s="22" t="s">
        <v>5</v>
      </c>
      <c r="M126" s="22" t="s">
        <v>5</v>
      </c>
      <c r="N126" s="22" t="s">
        <v>5</v>
      </c>
      <c r="O126" s="22" t="s">
        <v>5</v>
      </c>
      <c r="P126" s="22" t="s">
        <v>5</v>
      </c>
      <c r="Q126" s="23" t="s">
        <v>7</v>
      </c>
      <c r="R126" s="24" t="s">
        <v>9</v>
      </c>
      <c r="S126" s="22" t="s">
        <v>5</v>
      </c>
      <c r="T126" s="22" t="s">
        <v>5</v>
      </c>
      <c r="U126" s="22" t="s">
        <v>5</v>
      </c>
      <c r="V126" s="22" t="s">
        <v>5</v>
      </c>
      <c r="W126" s="22" t="s">
        <v>5</v>
      </c>
      <c r="X126" s="23" t="s">
        <v>7</v>
      </c>
      <c r="Y126" s="24" t="s">
        <v>9</v>
      </c>
      <c r="Z126" s="22" t="s">
        <v>5</v>
      </c>
      <c r="AA126" s="22" t="s">
        <v>5</v>
      </c>
      <c r="AB126" s="22" t="s">
        <v>5</v>
      </c>
      <c r="AC126" s="22" t="s">
        <v>5</v>
      </c>
      <c r="AD126" s="22" t="s">
        <v>5</v>
      </c>
      <c r="AE126" s="23" t="s">
        <v>7</v>
      </c>
      <c r="AF126" s="24" t="s">
        <v>9</v>
      </c>
      <c r="AG126" s="22" t="s">
        <v>5</v>
      </c>
      <c r="AH126" s="8">
        <f t="shared" si="40"/>
        <v>0</v>
      </c>
      <c r="AI126" s="25">
        <f t="shared" si="41"/>
        <v>21</v>
      </c>
      <c r="AJ126" s="8">
        <f t="shared" si="42"/>
        <v>0</v>
      </c>
      <c r="AK126" s="62">
        <v>0</v>
      </c>
      <c r="AL126" s="33">
        <f t="shared" si="43"/>
        <v>0</v>
      </c>
      <c r="AM126" s="63">
        <f t="shared" si="44"/>
        <v>168</v>
      </c>
      <c r="AN126" s="63">
        <f t="shared" si="45"/>
        <v>0</v>
      </c>
      <c r="AO126" s="63">
        <f t="shared" si="46"/>
        <v>0</v>
      </c>
      <c r="AP126" s="53">
        <f t="shared" si="47"/>
        <v>0</v>
      </c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</row>
    <row r="127" spans="1:55" ht="22" customHeight="1" x14ac:dyDescent="0.35">
      <c r="A127" s="8" t="s">
        <v>269</v>
      </c>
      <c r="B127" s="8" t="s">
        <v>270</v>
      </c>
      <c r="C127" s="8" t="s">
        <v>254</v>
      </c>
      <c r="D127" s="24" t="s">
        <v>9</v>
      </c>
      <c r="E127" s="22" t="s">
        <v>5</v>
      </c>
      <c r="F127" s="22" t="s">
        <v>5</v>
      </c>
      <c r="G127" s="22" t="s">
        <v>5</v>
      </c>
      <c r="H127" s="22" t="s">
        <v>5</v>
      </c>
      <c r="I127" s="22" t="s">
        <v>5</v>
      </c>
      <c r="J127" s="23" t="s">
        <v>7</v>
      </c>
      <c r="K127" s="24" t="s">
        <v>9</v>
      </c>
      <c r="L127" s="22" t="s">
        <v>5</v>
      </c>
      <c r="M127" s="22" t="s">
        <v>5</v>
      </c>
      <c r="N127" s="22" t="s">
        <v>5</v>
      </c>
      <c r="O127" s="22" t="s">
        <v>5</v>
      </c>
      <c r="P127" s="22" t="s">
        <v>5</v>
      </c>
      <c r="Q127" s="23" t="s">
        <v>7</v>
      </c>
      <c r="R127" s="24" t="s">
        <v>9</v>
      </c>
      <c r="S127" s="22" t="s">
        <v>5</v>
      </c>
      <c r="T127" s="22" t="s">
        <v>5</v>
      </c>
      <c r="U127" s="22" t="s">
        <v>5</v>
      </c>
      <c r="V127" s="22" t="s">
        <v>5</v>
      </c>
      <c r="W127" s="22" t="s">
        <v>5</v>
      </c>
      <c r="X127" s="23" t="s">
        <v>7</v>
      </c>
      <c r="Y127" s="24" t="s">
        <v>9</v>
      </c>
      <c r="Z127" s="22" t="s">
        <v>5</v>
      </c>
      <c r="AA127" s="22" t="s">
        <v>5</v>
      </c>
      <c r="AB127" s="22" t="s">
        <v>5</v>
      </c>
      <c r="AC127" s="22" t="s">
        <v>5</v>
      </c>
      <c r="AD127" s="22" t="s">
        <v>5</v>
      </c>
      <c r="AE127" s="23" t="s">
        <v>7</v>
      </c>
      <c r="AF127" s="24" t="s">
        <v>9</v>
      </c>
      <c r="AG127" s="22" t="s">
        <v>5</v>
      </c>
      <c r="AH127" s="8">
        <f t="shared" si="40"/>
        <v>0</v>
      </c>
      <c r="AI127" s="25">
        <f t="shared" si="41"/>
        <v>21</v>
      </c>
      <c r="AJ127" s="8">
        <f t="shared" si="42"/>
        <v>0</v>
      </c>
      <c r="AK127" s="62">
        <v>0</v>
      </c>
      <c r="AL127" s="33">
        <f t="shared" si="43"/>
        <v>0</v>
      </c>
      <c r="AM127" s="63">
        <f t="shared" si="44"/>
        <v>168</v>
      </c>
      <c r="AN127" s="63">
        <f t="shared" si="45"/>
        <v>0</v>
      </c>
      <c r="AO127" s="63">
        <f t="shared" si="46"/>
        <v>0</v>
      </c>
      <c r="AP127" s="53">
        <f t="shared" si="47"/>
        <v>0</v>
      </c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</row>
    <row r="128" spans="1:55" ht="22" customHeight="1" x14ac:dyDescent="0.35">
      <c r="A128" s="8" t="s">
        <v>271</v>
      </c>
      <c r="B128" s="8" t="s">
        <v>272</v>
      </c>
      <c r="C128" s="8" t="s">
        <v>254</v>
      </c>
      <c r="D128" s="24" t="s">
        <v>9</v>
      </c>
      <c r="E128" s="22" t="s">
        <v>5</v>
      </c>
      <c r="F128" s="22" t="s">
        <v>5</v>
      </c>
      <c r="G128" s="22" t="s">
        <v>5</v>
      </c>
      <c r="H128" s="22" t="s">
        <v>5</v>
      </c>
      <c r="I128" s="22" t="s">
        <v>5</v>
      </c>
      <c r="J128" s="23" t="s">
        <v>7</v>
      </c>
      <c r="K128" s="24" t="s">
        <v>9</v>
      </c>
      <c r="L128" s="22" t="s">
        <v>5</v>
      </c>
      <c r="M128" s="22" t="s">
        <v>5</v>
      </c>
      <c r="N128" s="22" t="s">
        <v>5</v>
      </c>
      <c r="O128" s="22" t="s">
        <v>5</v>
      </c>
      <c r="P128" s="22" t="s">
        <v>5</v>
      </c>
      <c r="Q128" s="23" t="s">
        <v>7</v>
      </c>
      <c r="R128" s="24" t="s">
        <v>9</v>
      </c>
      <c r="S128" s="22" t="s">
        <v>5</v>
      </c>
      <c r="T128" s="22" t="s">
        <v>5</v>
      </c>
      <c r="U128" s="22" t="s">
        <v>5</v>
      </c>
      <c r="V128" s="22" t="s">
        <v>5</v>
      </c>
      <c r="W128" s="22" t="s">
        <v>5</v>
      </c>
      <c r="X128" s="23" t="s">
        <v>7</v>
      </c>
      <c r="Y128" s="24" t="s">
        <v>9</v>
      </c>
      <c r="Z128" s="22" t="s">
        <v>5</v>
      </c>
      <c r="AA128" s="22" t="s">
        <v>5</v>
      </c>
      <c r="AB128" s="22" t="s">
        <v>5</v>
      </c>
      <c r="AC128" s="22" t="s">
        <v>5</v>
      </c>
      <c r="AD128" s="22" t="s">
        <v>5</v>
      </c>
      <c r="AE128" s="23" t="s">
        <v>7</v>
      </c>
      <c r="AF128" s="24" t="s">
        <v>9</v>
      </c>
      <c r="AG128" s="22" t="s">
        <v>5</v>
      </c>
      <c r="AH128" s="8">
        <f t="shared" si="40"/>
        <v>0</v>
      </c>
      <c r="AI128" s="25">
        <f t="shared" si="41"/>
        <v>21</v>
      </c>
      <c r="AJ128" s="8">
        <f t="shared" si="42"/>
        <v>0</v>
      </c>
      <c r="AK128" s="62">
        <v>0</v>
      </c>
      <c r="AL128" s="33">
        <f t="shared" si="43"/>
        <v>0</v>
      </c>
      <c r="AM128" s="63">
        <f t="shared" si="44"/>
        <v>168</v>
      </c>
      <c r="AN128" s="63">
        <f t="shared" si="45"/>
        <v>0</v>
      </c>
      <c r="AO128" s="63">
        <f t="shared" si="46"/>
        <v>0</v>
      </c>
      <c r="AP128" s="53">
        <f t="shared" si="47"/>
        <v>0</v>
      </c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</row>
    <row r="129" spans="1:55" ht="22" customHeight="1" x14ac:dyDescent="0.35">
      <c r="A129" s="8" t="s">
        <v>273</v>
      </c>
      <c r="B129" s="8" t="s">
        <v>274</v>
      </c>
      <c r="C129" s="8" t="s">
        <v>254</v>
      </c>
      <c r="D129" s="24" t="s">
        <v>9</v>
      </c>
      <c r="E129" s="22" t="s">
        <v>5</v>
      </c>
      <c r="F129" s="22" t="s">
        <v>5</v>
      </c>
      <c r="G129" s="22" t="s">
        <v>5</v>
      </c>
      <c r="H129" s="22" t="s">
        <v>5</v>
      </c>
      <c r="I129" s="22" t="s">
        <v>5</v>
      </c>
      <c r="J129" s="23" t="s">
        <v>7</v>
      </c>
      <c r="K129" s="24" t="s">
        <v>9</v>
      </c>
      <c r="L129" s="22" t="s">
        <v>5</v>
      </c>
      <c r="M129" s="22" t="s">
        <v>5</v>
      </c>
      <c r="N129" s="22" t="s">
        <v>5</v>
      </c>
      <c r="O129" s="22" t="s">
        <v>5</v>
      </c>
      <c r="P129" s="22" t="s">
        <v>5</v>
      </c>
      <c r="Q129" s="23" t="s">
        <v>7</v>
      </c>
      <c r="R129" s="24" t="s">
        <v>9</v>
      </c>
      <c r="S129" s="22" t="s">
        <v>5</v>
      </c>
      <c r="T129" s="22" t="s">
        <v>5</v>
      </c>
      <c r="U129" s="22" t="s">
        <v>5</v>
      </c>
      <c r="V129" s="22" t="s">
        <v>5</v>
      </c>
      <c r="W129" s="22" t="s">
        <v>5</v>
      </c>
      <c r="X129" s="23" t="s">
        <v>7</v>
      </c>
      <c r="Y129" s="24" t="s">
        <v>9</v>
      </c>
      <c r="Z129" s="22" t="s">
        <v>5</v>
      </c>
      <c r="AA129" s="22" t="s">
        <v>5</v>
      </c>
      <c r="AB129" s="22" t="s">
        <v>5</v>
      </c>
      <c r="AC129" s="22" t="s">
        <v>5</v>
      </c>
      <c r="AD129" s="22" t="s">
        <v>5</v>
      </c>
      <c r="AE129" s="23" t="s">
        <v>7</v>
      </c>
      <c r="AF129" s="24" t="s">
        <v>9</v>
      </c>
      <c r="AG129" s="22" t="s">
        <v>5</v>
      </c>
      <c r="AH129" s="8">
        <f t="shared" si="40"/>
        <v>0</v>
      </c>
      <c r="AI129" s="25">
        <f t="shared" si="41"/>
        <v>21</v>
      </c>
      <c r="AJ129" s="8">
        <f t="shared" si="42"/>
        <v>0</v>
      </c>
      <c r="AK129" s="62">
        <v>0</v>
      </c>
      <c r="AL129" s="33">
        <f t="shared" si="43"/>
        <v>0</v>
      </c>
      <c r="AM129" s="63">
        <f t="shared" si="44"/>
        <v>168</v>
      </c>
      <c r="AN129" s="63">
        <f t="shared" si="45"/>
        <v>0</v>
      </c>
      <c r="AO129" s="63">
        <f t="shared" si="46"/>
        <v>0</v>
      </c>
      <c r="AP129" s="53">
        <f t="shared" si="47"/>
        <v>0</v>
      </c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</row>
  </sheetData>
  <mergeCells count="11">
    <mergeCell ref="A1:AJ1"/>
    <mergeCell ref="A4:AJ4"/>
    <mergeCell ref="A113:AJ113"/>
    <mergeCell ref="A2:AJ2"/>
    <mergeCell ref="A118:AJ118"/>
    <mergeCell ref="A76:AJ76"/>
    <mergeCell ref="A37:AJ37"/>
    <mergeCell ref="A84:AJ84"/>
    <mergeCell ref="A97:AJ97"/>
    <mergeCell ref="A21:AJ21"/>
    <mergeCell ref="A91:AJ9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129"/>
  <sheetViews>
    <sheetView workbookViewId="0">
      <pane xSplit="3" ySplit="3" topLeftCell="U23" activePane="bottomRight" state="frozen"/>
      <selection pane="topRight"/>
      <selection pane="bottomLeft"/>
      <selection pane="bottomRight" activeCell="A28" sqref="A28:XFD28"/>
    </sheetView>
  </sheetViews>
  <sheetFormatPr defaultRowHeight="14.5" x14ac:dyDescent="0.35"/>
  <cols>
    <col min="1" max="1" width="7" customWidth="1"/>
    <col min="2" max="2" width="24" customWidth="1"/>
    <col min="3" max="3" width="13.6328125" bestFit="1" customWidth="1"/>
    <col min="4" max="37" width="5" customWidth="1"/>
    <col min="38" max="38" width="7" customWidth="1"/>
    <col min="39" max="39" width="8" customWidth="1"/>
    <col min="40" max="40" width="9" customWidth="1"/>
    <col min="41" max="41" width="8" customWidth="1"/>
    <col min="42" max="43" width="9" customWidth="1"/>
  </cols>
  <sheetData>
    <row r="1" spans="1:56" ht="30" customHeight="1" x14ac:dyDescent="0.35">
      <c r="A1" s="78" t="s">
        <v>456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</row>
    <row r="2" spans="1:56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N2" s="38"/>
      <c r="AO2" s="59" t="s">
        <v>311</v>
      </c>
      <c r="AP2" s="60">
        <v>4</v>
      </c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</row>
    <row r="3" spans="1:56" ht="35.15" customHeight="1" x14ac:dyDescent="0.35">
      <c r="A3" s="18" t="s">
        <v>14</v>
      </c>
      <c r="B3" s="18" t="s">
        <v>15</v>
      </c>
      <c r="C3" s="18" t="s">
        <v>312</v>
      </c>
      <c r="D3" s="19" t="s">
        <v>389</v>
      </c>
      <c r="E3" s="19" t="s">
        <v>390</v>
      </c>
      <c r="F3" s="19" t="s">
        <v>391</v>
      </c>
      <c r="G3" s="19" t="s">
        <v>392</v>
      </c>
      <c r="H3" s="20" t="s">
        <v>317</v>
      </c>
      <c r="I3" s="21" t="s">
        <v>393</v>
      </c>
      <c r="J3" s="19" t="s">
        <v>394</v>
      </c>
      <c r="K3" s="19" t="s">
        <v>395</v>
      </c>
      <c r="L3" s="19" t="s">
        <v>396</v>
      </c>
      <c r="M3" s="19" t="s">
        <v>397</v>
      </c>
      <c r="N3" s="19" t="s">
        <v>398</v>
      </c>
      <c r="O3" s="20" t="s">
        <v>324</v>
      </c>
      <c r="P3" s="21" t="s">
        <v>399</v>
      </c>
      <c r="Q3" s="19" t="s">
        <v>400</v>
      </c>
      <c r="R3" s="19" t="s">
        <v>401</v>
      </c>
      <c r="S3" s="19" t="s">
        <v>402</v>
      </c>
      <c r="T3" s="19" t="s">
        <v>403</v>
      </c>
      <c r="U3" s="19" t="s">
        <v>404</v>
      </c>
      <c r="V3" s="20" t="s">
        <v>331</v>
      </c>
      <c r="W3" s="21" t="s">
        <v>405</v>
      </c>
      <c r="X3" s="19" t="s">
        <v>406</v>
      </c>
      <c r="Y3" s="19" t="s">
        <v>407</v>
      </c>
      <c r="Z3" s="19" t="s">
        <v>408</v>
      </c>
      <c r="AA3" s="19" t="s">
        <v>409</v>
      </c>
      <c r="AB3" s="19" t="s">
        <v>410</v>
      </c>
      <c r="AC3" s="20" t="s">
        <v>338</v>
      </c>
      <c r="AD3" s="21" t="s">
        <v>411</v>
      </c>
      <c r="AE3" s="19" t="s">
        <v>412</v>
      </c>
      <c r="AF3" s="19" t="s">
        <v>413</v>
      </c>
      <c r="AG3" s="19" t="s">
        <v>414</v>
      </c>
      <c r="AH3" s="19" t="s">
        <v>457</v>
      </c>
      <c r="AI3" s="7" t="s">
        <v>344</v>
      </c>
      <c r="AJ3" s="7" t="s">
        <v>345</v>
      </c>
      <c r="AK3" s="7" t="s">
        <v>29</v>
      </c>
      <c r="AL3" s="34" t="s">
        <v>346</v>
      </c>
      <c r="AM3" s="34" t="s">
        <v>347</v>
      </c>
      <c r="AN3" s="61" t="s">
        <v>348</v>
      </c>
      <c r="AO3" s="42" t="s">
        <v>349</v>
      </c>
      <c r="AP3" s="43" t="s">
        <v>350</v>
      </c>
      <c r="AQ3" s="40" t="s">
        <v>351</v>
      </c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</row>
    <row r="4" spans="1:56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</row>
    <row r="5" spans="1:56" ht="22" customHeight="1" x14ac:dyDescent="0.35">
      <c r="A5" s="8" t="s">
        <v>43</v>
      </c>
      <c r="B5" s="8" t="s">
        <v>44</v>
      </c>
      <c r="C5" s="8" t="s">
        <v>45</v>
      </c>
      <c r="D5" s="22" t="s">
        <v>5</v>
      </c>
      <c r="E5" s="26" t="s">
        <v>3</v>
      </c>
      <c r="F5" s="22" t="s">
        <v>5</v>
      </c>
      <c r="G5" s="22" t="s">
        <v>5</v>
      </c>
      <c r="H5" s="23" t="s">
        <v>7</v>
      </c>
      <c r="I5" s="24" t="s">
        <v>9</v>
      </c>
      <c r="J5" s="22" t="s">
        <v>5</v>
      </c>
      <c r="K5" s="26" t="s">
        <v>3</v>
      </c>
      <c r="L5" s="26" t="s">
        <v>3</v>
      </c>
      <c r="M5" s="26" t="s">
        <v>3</v>
      </c>
      <c r="N5" s="26" t="s">
        <v>3</v>
      </c>
      <c r="O5" s="27" t="s">
        <v>7</v>
      </c>
      <c r="P5" s="24" t="s">
        <v>9</v>
      </c>
      <c r="Q5" s="26" t="s">
        <v>3</v>
      </c>
      <c r="R5" s="26" t="s">
        <v>3</v>
      </c>
      <c r="S5" s="26" t="s">
        <v>3</v>
      </c>
      <c r="T5" s="26" t="s">
        <v>3</v>
      </c>
      <c r="U5" s="26" t="s">
        <v>3</v>
      </c>
      <c r="V5" s="27" t="s">
        <v>7</v>
      </c>
      <c r="W5" s="28" t="s">
        <v>11</v>
      </c>
      <c r="X5" s="22" t="s">
        <v>5</v>
      </c>
      <c r="Y5" s="26" t="s">
        <v>3</v>
      </c>
      <c r="Z5" s="26" t="s">
        <v>3</v>
      </c>
      <c r="AA5" s="26" t="s">
        <v>3</v>
      </c>
      <c r="AB5" s="26" t="s">
        <v>3</v>
      </c>
      <c r="AC5" s="23" t="s">
        <v>7</v>
      </c>
      <c r="AD5" s="24" t="s">
        <v>9</v>
      </c>
      <c r="AE5" s="22" t="s">
        <v>5</v>
      </c>
      <c r="AF5" s="26" t="s">
        <v>3</v>
      </c>
      <c r="AG5" s="26" t="s">
        <v>3</v>
      </c>
      <c r="AH5" s="26" t="s">
        <v>3</v>
      </c>
      <c r="AI5" s="8">
        <f t="shared" ref="AI5:AI19" si="0">COUNTIF(D5:AH5,"ON")</f>
        <v>17</v>
      </c>
      <c r="AJ5" s="8">
        <f t="shared" ref="AJ5:AJ19" si="1">COUNTIF(D5:AH5,"OFF")</f>
        <v>6</v>
      </c>
      <c r="AK5" s="29">
        <f t="shared" ref="AK5:AK19" si="2">COUNTIF(D5:AH5,"OT")</f>
        <v>1</v>
      </c>
      <c r="AL5" s="62">
        <v>2</v>
      </c>
      <c r="AM5" s="33">
        <f t="shared" ref="AM5:AM19" si="3">AI5+AK5+AL5*0.5</f>
        <v>19</v>
      </c>
      <c r="AN5" s="63">
        <f t="shared" ref="AN5:AN19" si="4">NETWORKDAYS(DATE(2025,7,1),EOMONTH(DATE(2025,7,1),0))*8</f>
        <v>184</v>
      </c>
      <c r="AO5" s="63">
        <f t="shared" ref="AO5:AO19" si="5">MAX(0,COUNTIF(G5,"ON")+COUNTIF(N5,"ON")+COUNTIF(U5,"ON")+COUNTIF(AB5,"ON")-AL5)</f>
        <v>1</v>
      </c>
      <c r="AP5" s="63">
        <f t="shared" ref="AP5:AP19" si="6">AO5*$AP$2</f>
        <v>4</v>
      </c>
      <c r="AQ5" s="53">
        <f t="shared" ref="AQ5:AQ19" si="7">AM5-AP5/8</f>
        <v>18.5</v>
      </c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</row>
    <row r="6" spans="1:56" ht="22" customHeight="1" x14ac:dyDescent="0.35">
      <c r="A6" s="8" t="s">
        <v>46</v>
      </c>
      <c r="B6" s="8" t="s">
        <v>47</v>
      </c>
      <c r="C6" s="8" t="s">
        <v>45</v>
      </c>
      <c r="D6" s="26" t="s">
        <v>3</v>
      </c>
      <c r="E6" s="26" t="s">
        <v>3</v>
      </c>
      <c r="F6" s="26" t="s">
        <v>3</v>
      </c>
      <c r="G6" s="26" t="s">
        <v>3</v>
      </c>
      <c r="H6" s="27" t="s">
        <v>7</v>
      </c>
      <c r="I6" s="28" t="s">
        <v>11</v>
      </c>
      <c r="J6" s="26" t="s">
        <v>3</v>
      </c>
      <c r="K6" s="26" t="s">
        <v>3</v>
      </c>
      <c r="L6" s="26" t="s">
        <v>3</v>
      </c>
      <c r="M6" s="22" t="s">
        <v>5</v>
      </c>
      <c r="N6" s="22" t="s">
        <v>5</v>
      </c>
      <c r="O6" s="23" t="s">
        <v>7</v>
      </c>
      <c r="P6" s="24" t="s">
        <v>9</v>
      </c>
      <c r="Q6" s="22" t="s">
        <v>5</v>
      </c>
      <c r="R6" s="22" t="s">
        <v>5</v>
      </c>
      <c r="S6" s="22" t="s">
        <v>5</v>
      </c>
      <c r="T6" s="22" t="s">
        <v>5</v>
      </c>
      <c r="U6" s="22" t="s">
        <v>5</v>
      </c>
      <c r="V6" s="23" t="s">
        <v>7</v>
      </c>
      <c r="W6" s="24" t="s">
        <v>9</v>
      </c>
      <c r="X6" s="22" t="s">
        <v>5</v>
      </c>
      <c r="Y6" s="22" t="s">
        <v>5</v>
      </c>
      <c r="Z6" s="22" t="s">
        <v>5</v>
      </c>
      <c r="AA6" s="22" t="s">
        <v>5</v>
      </c>
      <c r="AB6" s="22" t="s">
        <v>5</v>
      </c>
      <c r="AC6" s="23" t="s">
        <v>7</v>
      </c>
      <c r="AD6" s="24" t="s">
        <v>9</v>
      </c>
      <c r="AE6" s="22" t="s">
        <v>5</v>
      </c>
      <c r="AF6" s="22" t="s">
        <v>5</v>
      </c>
      <c r="AG6" s="22" t="s">
        <v>5</v>
      </c>
      <c r="AH6" s="22" t="s">
        <v>5</v>
      </c>
      <c r="AI6" s="8">
        <f t="shared" si="0"/>
        <v>7</v>
      </c>
      <c r="AJ6" s="25">
        <f t="shared" si="1"/>
        <v>16</v>
      </c>
      <c r="AK6" s="29">
        <f t="shared" si="2"/>
        <v>1</v>
      </c>
      <c r="AL6" s="62">
        <v>1</v>
      </c>
      <c r="AM6" s="33">
        <f t="shared" si="3"/>
        <v>8.5</v>
      </c>
      <c r="AN6" s="63">
        <f t="shared" si="4"/>
        <v>184</v>
      </c>
      <c r="AO6" s="63">
        <f t="shared" si="5"/>
        <v>0</v>
      </c>
      <c r="AP6" s="63">
        <f t="shared" si="6"/>
        <v>0</v>
      </c>
      <c r="AQ6" s="53">
        <f t="shared" si="7"/>
        <v>8.5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</row>
    <row r="7" spans="1:56" ht="22" customHeight="1" x14ac:dyDescent="0.35">
      <c r="A7" s="8" t="s">
        <v>48</v>
      </c>
      <c r="B7" s="8" t="s">
        <v>49</v>
      </c>
      <c r="C7" s="8" t="s">
        <v>45</v>
      </c>
      <c r="D7" s="26" t="s">
        <v>3</v>
      </c>
      <c r="E7" s="26" t="s">
        <v>3</v>
      </c>
      <c r="F7" s="22" t="s">
        <v>5</v>
      </c>
      <c r="G7" s="22" t="s">
        <v>5</v>
      </c>
      <c r="H7" s="23" t="s">
        <v>7</v>
      </c>
      <c r="I7" s="24" t="s">
        <v>9</v>
      </c>
      <c r="J7" s="26" t="s">
        <v>3</v>
      </c>
      <c r="K7" s="26" t="s">
        <v>3</v>
      </c>
      <c r="L7" s="26" t="s">
        <v>3</v>
      </c>
      <c r="M7" s="22" t="s">
        <v>5</v>
      </c>
      <c r="N7" s="26" t="s">
        <v>3</v>
      </c>
      <c r="O7" s="27" t="s">
        <v>7</v>
      </c>
      <c r="P7" s="28" t="s">
        <v>11</v>
      </c>
      <c r="Q7" s="22" t="s">
        <v>5</v>
      </c>
      <c r="R7" s="26" t="s">
        <v>3</v>
      </c>
      <c r="S7" s="26" t="s">
        <v>3</v>
      </c>
      <c r="T7" s="26" t="s">
        <v>3</v>
      </c>
      <c r="U7" s="26" t="s">
        <v>3</v>
      </c>
      <c r="V7" s="23" t="s">
        <v>7</v>
      </c>
      <c r="W7" s="24" t="s">
        <v>9</v>
      </c>
      <c r="X7" s="22" t="s">
        <v>5</v>
      </c>
      <c r="Y7" s="26" t="s">
        <v>3</v>
      </c>
      <c r="Z7" s="26" t="s">
        <v>3</v>
      </c>
      <c r="AA7" s="26" t="s">
        <v>3</v>
      </c>
      <c r="AB7" s="26" t="s">
        <v>3</v>
      </c>
      <c r="AC7" s="27" t="s">
        <v>7</v>
      </c>
      <c r="AD7" s="28" t="s">
        <v>11</v>
      </c>
      <c r="AE7" s="26" t="s">
        <v>3</v>
      </c>
      <c r="AF7" s="26" t="s">
        <v>3</v>
      </c>
      <c r="AG7" s="26" t="s">
        <v>3</v>
      </c>
      <c r="AH7" s="26" t="s">
        <v>3</v>
      </c>
      <c r="AI7" s="8">
        <f t="shared" si="0"/>
        <v>18</v>
      </c>
      <c r="AJ7" s="8">
        <f t="shared" si="1"/>
        <v>5</v>
      </c>
      <c r="AK7" s="29">
        <f t="shared" si="2"/>
        <v>2</v>
      </c>
      <c r="AL7" s="62">
        <v>2</v>
      </c>
      <c r="AM7" s="33">
        <f t="shared" si="3"/>
        <v>21</v>
      </c>
      <c r="AN7" s="63">
        <f t="shared" si="4"/>
        <v>184</v>
      </c>
      <c r="AO7" s="63">
        <f t="shared" si="5"/>
        <v>1</v>
      </c>
      <c r="AP7" s="63">
        <f t="shared" si="6"/>
        <v>4</v>
      </c>
      <c r="AQ7" s="53">
        <f t="shared" si="7"/>
        <v>20.5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</row>
    <row r="8" spans="1:56" ht="22" customHeight="1" x14ac:dyDescent="0.35">
      <c r="A8" s="8" t="s">
        <v>50</v>
      </c>
      <c r="B8" s="8" t="s">
        <v>51</v>
      </c>
      <c r="C8" s="8" t="s">
        <v>45</v>
      </c>
      <c r="D8" s="26" t="s">
        <v>3</v>
      </c>
      <c r="E8" s="26" t="s">
        <v>3</v>
      </c>
      <c r="F8" s="22" t="s">
        <v>5</v>
      </c>
      <c r="G8" s="22" t="s">
        <v>5</v>
      </c>
      <c r="H8" s="23" t="s">
        <v>7</v>
      </c>
      <c r="I8" s="24" t="s">
        <v>9</v>
      </c>
      <c r="J8" s="26" t="s">
        <v>3</v>
      </c>
      <c r="K8" s="26" t="s">
        <v>3</v>
      </c>
      <c r="L8" s="26" t="s">
        <v>3</v>
      </c>
      <c r="M8" s="26" t="s">
        <v>3</v>
      </c>
      <c r="N8" s="26" t="s">
        <v>3</v>
      </c>
      <c r="O8" s="27" t="s">
        <v>7</v>
      </c>
      <c r="P8" s="28" t="s">
        <v>11</v>
      </c>
      <c r="Q8" s="26" t="s">
        <v>3</v>
      </c>
      <c r="R8" s="26" t="s">
        <v>3</v>
      </c>
      <c r="S8" s="26" t="s">
        <v>3</v>
      </c>
      <c r="T8" s="26" t="s">
        <v>3</v>
      </c>
      <c r="U8" s="26" t="s">
        <v>3</v>
      </c>
      <c r="V8" s="23" t="s">
        <v>7</v>
      </c>
      <c r="W8" s="24" t="s">
        <v>9</v>
      </c>
      <c r="X8" s="26" t="s">
        <v>3</v>
      </c>
      <c r="Y8" s="26" t="s">
        <v>3</v>
      </c>
      <c r="Z8" s="26" t="s">
        <v>3</v>
      </c>
      <c r="AA8" s="26" t="s">
        <v>3</v>
      </c>
      <c r="AB8" s="26" t="s">
        <v>3</v>
      </c>
      <c r="AC8" s="27" t="s">
        <v>7</v>
      </c>
      <c r="AD8" s="28" t="s">
        <v>11</v>
      </c>
      <c r="AE8" s="26" t="s">
        <v>3</v>
      </c>
      <c r="AF8" s="26" t="s">
        <v>3</v>
      </c>
      <c r="AG8" s="26" t="s">
        <v>3</v>
      </c>
      <c r="AH8" s="26" t="s">
        <v>3</v>
      </c>
      <c r="AI8" s="8">
        <f t="shared" si="0"/>
        <v>21</v>
      </c>
      <c r="AJ8" s="8">
        <f t="shared" si="1"/>
        <v>2</v>
      </c>
      <c r="AK8" s="29">
        <f t="shared" si="2"/>
        <v>2</v>
      </c>
      <c r="AL8" s="62">
        <v>2</v>
      </c>
      <c r="AM8" s="33">
        <f t="shared" si="3"/>
        <v>24</v>
      </c>
      <c r="AN8" s="63">
        <f t="shared" si="4"/>
        <v>184</v>
      </c>
      <c r="AO8" s="63">
        <f t="shared" si="5"/>
        <v>1</v>
      </c>
      <c r="AP8" s="63">
        <f t="shared" si="6"/>
        <v>4</v>
      </c>
      <c r="AQ8" s="53">
        <f t="shared" si="7"/>
        <v>23.5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</row>
    <row r="9" spans="1:56" ht="22" customHeight="1" x14ac:dyDescent="0.35">
      <c r="A9" s="8" t="s">
        <v>52</v>
      </c>
      <c r="B9" s="8" t="s">
        <v>53</v>
      </c>
      <c r="C9" s="8" t="s">
        <v>45</v>
      </c>
      <c r="D9" s="26" t="s">
        <v>3</v>
      </c>
      <c r="E9" s="26" t="s">
        <v>3</v>
      </c>
      <c r="F9" s="26" t="s">
        <v>3</v>
      </c>
      <c r="G9" s="26" t="s">
        <v>3</v>
      </c>
      <c r="H9" s="27" t="s">
        <v>7</v>
      </c>
      <c r="I9" s="28" t="s">
        <v>11</v>
      </c>
      <c r="J9" s="26" t="s">
        <v>3</v>
      </c>
      <c r="K9" s="26" t="s">
        <v>3</v>
      </c>
      <c r="L9" s="26" t="s">
        <v>3</v>
      </c>
      <c r="M9" s="26" t="s">
        <v>3</v>
      </c>
      <c r="N9" s="26" t="s">
        <v>3</v>
      </c>
      <c r="O9" s="27" t="s">
        <v>7</v>
      </c>
      <c r="P9" s="28" t="s">
        <v>11</v>
      </c>
      <c r="Q9" s="26" t="s">
        <v>3</v>
      </c>
      <c r="R9" s="26" t="s">
        <v>3</v>
      </c>
      <c r="S9" s="26" t="s">
        <v>3</v>
      </c>
      <c r="T9" s="26" t="s">
        <v>3</v>
      </c>
      <c r="U9" s="26" t="s">
        <v>3</v>
      </c>
      <c r="V9" s="27" t="s">
        <v>7</v>
      </c>
      <c r="W9" s="28" t="s">
        <v>11</v>
      </c>
      <c r="X9" s="26" t="s">
        <v>3</v>
      </c>
      <c r="Y9" s="26" t="s">
        <v>3</v>
      </c>
      <c r="Z9" s="26" t="s">
        <v>3</v>
      </c>
      <c r="AA9" s="26" t="s">
        <v>3</v>
      </c>
      <c r="AB9" s="22" t="s">
        <v>5</v>
      </c>
      <c r="AC9" s="23" t="s">
        <v>7</v>
      </c>
      <c r="AD9" s="24" t="s">
        <v>9</v>
      </c>
      <c r="AE9" s="22" t="s">
        <v>5</v>
      </c>
      <c r="AF9" s="22" t="s">
        <v>5</v>
      </c>
      <c r="AG9" s="22" t="s">
        <v>5</v>
      </c>
      <c r="AH9" s="26" t="s">
        <v>3</v>
      </c>
      <c r="AI9" s="8">
        <f t="shared" si="0"/>
        <v>19</v>
      </c>
      <c r="AJ9" s="8">
        <f t="shared" si="1"/>
        <v>4</v>
      </c>
      <c r="AK9" s="29">
        <f t="shared" si="2"/>
        <v>3</v>
      </c>
      <c r="AL9" s="62">
        <v>3</v>
      </c>
      <c r="AM9" s="33">
        <f t="shared" si="3"/>
        <v>23.5</v>
      </c>
      <c r="AN9" s="63">
        <f t="shared" si="4"/>
        <v>184</v>
      </c>
      <c r="AO9" s="63">
        <f t="shared" si="5"/>
        <v>0</v>
      </c>
      <c r="AP9" s="63">
        <f t="shared" si="6"/>
        <v>0</v>
      </c>
      <c r="AQ9" s="53">
        <f t="shared" si="7"/>
        <v>23.5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</row>
    <row r="10" spans="1:56" ht="22" customHeight="1" x14ac:dyDescent="0.35">
      <c r="A10" s="8" t="s">
        <v>54</v>
      </c>
      <c r="B10" s="8" t="s">
        <v>55</v>
      </c>
      <c r="C10" s="8" t="s">
        <v>45</v>
      </c>
      <c r="D10" s="22" t="s">
        <v>5</v>
      </c>
      <c r="E10" s="22" t="s">
        <v>5</v>
      </c>
      <c r="F10" s="22" t="s">
        <v>5</v>
      </c>
      <c r="G10" s="22" t="s">
        <v>5</v>
      </c>
      <c r="H10" s="23" t="s">
        <v>7</v>
      </c>
      <c r="I10" s="24" t="s">
        <v>9</v>
      </c>
      <c r="J10" s="26" t="s">
        <v>3</v>
      </c>
      <c r="K10" s="26" t="s">
        <v>3</v>
      </c>
      <c r="L10" s="26" t="s">
        <v>3</v>
      </c>
      <c r="M10" s="26" t="s">
        <v>3</v>
      </c>
      <c r="N10" s="26" t="s">
        <v>3</v>
      </c>
      <c r="O10" s="27" t="s">
        <v>7</v>
      </c>
      <c r="P10" s="24" t="s">
        <v>9</v>
      </c>
      <c r="Q10" s="26" t="s">
        <v>3</v>
      </c>
      <c r="R10" s="26" t="s">
        <v>3</v>
      </c>
      <c r="S10" s="26" t="s">
        <v>3</v>
      </c>
      <c r="T10" s="26" t="s">
        <v>3</v>
      </c>
      <c r="U10" s="26" t="s">
        <v>3</v>
      </c>
      <c r="V10" s="23" t="s">
        <v>7</v>
      </c>
      <c r="W10" s="24" t="s">
        <v>9</v>
      </c>
      <c r="X10" s="26" t="s">
        <v>3</v>
      </c>
      <c r="Y10" s="26" t="s">
        <v>3</v>
      </c>
      <c r="Z10" s="26" t="s">
        <v>3</v>
      </c>
      <c r="AA10" s="26" t="s">
        <v>3</v>
      </c>
      <c r="AB10" s="26" t="s">
        <v>3</v>
      </c>
      <c r="AC10" s="27" t="s">
        <v>7</v>
      </c>
      <c r="AD10" s="24" t="s">
        <v>9</v>
      </c>
      <c r="AE10" s="26" t="s">
        <v>3</v>
      </c>
      <c r="AF10" s="26" t="s">
        <v>3</v>
      </c>
      <c r="AG10" s="26" t="s">
        <v>3</v>
      </c>
      <c r="AH10" s="26" t="s">
        <v>3</v>
      </c>
      <c r="AI10" s="8">
        <f t="shared" si="0"/>
        <v>19</v>
      </c>
      <c r="AJ10" s="8">
        <f t="shared" si="1"/>
        <v>4</v>
      </c>
      <c r="AK10" s="8">
        <f t="shared" si="2"/>
        <v>0</v>
      </c>
      <c r="AL10" s="62">
        <v>2</v>
      </c>
      <c r="AM10" s="33">
        <f t="shared" si="3"/>
        <v>20</v>
      </c>
      <c r="AN10" s="63">
        <f t="shared" si="4"/>
        <v>184</v>
      </c>
      <c r="AO10" s="63">
        <f t="shared" si="5"/>
        <v>1</v>
      </c>
      <c r="AP10" s="63">
        <f t="shared" si="6"/>
        <v>4</v>
      </c>
      <c r="AQ10" s="53">
        <f t="shared" si="7"/>
        <v>19.5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</row>
    <row r="11" spans="1:56" ht="22" customHeight="1" x14ac:dyDescent="0.35">
      <c r="A11" s="8" t="s">
        <v>56</v>
      </c>
      <c r="B11" s="8" t="s">
        <v>57</v>
      </c>
      <c r="C11" s="8" t="s">
        <v>45</v>
      </c>
      <c r="D11" s="26" t="s">
        <v>3</v>
      </c>
      <c r="E11" s="26" t="s">
        <v>3</v>
      </c>
      <c r="F11" s="26" t="s">
        <v>3</v>
      </c>
      <c r="G11" s="26" t="s">
        <v>3</v>
      </c>
      <c r="H11" s="27" t="s">
        <v>7</v>
      </c>
      <c r="I11" s="28" t="s">
        <v>11</v>
      </c>
      <c r="J11" s="26" t="s">
        <v>3</v>
      </c>
      <c r="K11" s="26" t="s">
        <v>3</v>
      </c>
      <c r="L11" s="26" t="s">
        <v>3</v>
      </c>
      <c r="M11" s="22" t="s">
        <v>5</v>
      </c>
      <c r="N11" s="22" t="s">
        <v>5</v>
      </c>
      <c r="O11" s="23" t="s">
        <v>7</v>
      </c>
      <c r="P11" s="24" t="s">
        <v>9</v>
      </c>
      <c r="Q11" s="26" t="s">
        <v>3</v>
      </c>
      <c r="R11" s="26" t="s">
        <v>3</v>
      </c>
      <c r="S11" s="26" t="s">
        <v>3</v>
      </c>
      <c r="T11" s="26" t="s">
        <v>3</v>
      </c>
      <c r="U11" s="26" t="s">
        <v>3</v>
      </c>
      <c r="V11" s="27" t="s">
        <v>7</v>
      </c>
      <c r="W11" s="28" t="s">
        <v>11</v>
      </c>
      <c r="X11" s="26" t="s">
        <v>3</v>
      </c>
      <c r="Y11" s="26" t="s">
        <v>3</v>
      </c>
      <c r="Z11" s="26" t="s">
        <v>3</v>
      </c>
      <c r="AA11" s="26" t="s">
        <v>3</v>
      </c>
      <c r="AB11" s="26" t="s">
        <v>3</v>
      </c>
      <c r="AC11" s="23" t="s">
        <v>7</v>
      </c>
      <c r="AD11" s="24" t="s">
        <v>9</v>
      </c>
      <c r="AE11" s="26" t="s">
        <v>3</v>
      </c>
      <c r="AF11" s="26" t="s">
        <v>3</v>
      </c>
      <c r="AG11" s="26" t="s">
        <v>3</v>
      </c>
      <c r="AH11" s="26" t="s">
        <v>3</v>
      </c>
      <c r="AI11" s="8">
        <f t="shared" si="0"/>
        <v>21</v>
      </c>
      <c r="AJ11" s="8">
        <f t="shared" si="1"/>
        <v>2</v>
      </c>
      <c r="AK11" s="29">
        <f t="shared" si="2"/>
        <v>2</v>
      </c>
      <c r="AL11" s="62">
        <v>2</v>
      </c>
      <c r="AM11" s="33">
        <f t="shared" si="3"/>
        <v>24</v>
      </c>
      <c r="AN11" s="63">
        <f t="shared" si="4"/>
        <v>184</v>
      </c>
      <c r="AO11" s="63">
        <f t="shared" si="5"/>
        <v>1</v>
      </c>
      <c r="AP11" s="63">
        <f t="shared" si="6"/>
        <v>4</v>
      </c>
      <c r="AQ11" s="53">
        <f t="shared" si="7"/>
        <v>23.5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</row>
    <row r="12" spans="1:56" ht="22" customHeight="1" x14ac:dyDescent="0.35">
      <c r="A12" s="8" t="s">
        <v>58</v>
      </c>
      <c r="B12" s="8" t="s">
        <v>59</v>
      </c>
      <c r="C12" s="8" t="s">
        <v>45</v>
      </c>
      <c r="D12" s="22" t="s">
        <v>5</v>
      </c>
      <c r="E12" s="22" t="s">
        <v>5</v>
      </c>
      <c r="F12" s="22" t="s">
        <v>5</v>
      </c>
      <c r="G12" s="22" t="s">
        <v>5</v>
      </c>
      <c r="H12" s="23" t="s">
        <v>7</v>
      </c>
      <c r="I12" s="24" t="s">
        <v>9</v>
      </c>
      <c r="J12" s="22" t="s">
        <v>5</v>
      </c>
      <c r="K12" s="22" t="s">
        <v>5</v>
      </c>
      <c r="L12" s="22" t="s">
        <v>5</v>
      </c>
      <c r="M12" s="22" t="s">
        <v>5</v>
      </c>
      <c r="N12" s="22" t="s">
        <v>5</v>
      </c>
      <c r="O12" s="23" t="s">
        <v>7</v>
      </c>
      <c r="P12" s="24" t="s">
        <v>9</v>
      </c>
      <c r="Q12" s="26" t="s">
        <v>3</v>
      </c>
      <c r="R12" s="26" t="s">
        <v>3</v>
      </c>
      <c r="S12" s="26" t="s">
        <v>3</v>
      </c>
      <c r="T12" s="26" t="s">
        <v>3</v>
      </c>
      <c r="U12" s="26" t="s">
        <v>3</v>
      </c>
      <c r="V12" s="27" t="s">
        <v>7</v>
      </c>
      <c r="W12" s="28" t="s">
        <v>11</v>
      </c>
      <c r="X12" s="26" t="s">
        <v>3</v>
      </c>
      <c r="Y12" s="26" t="s">
        <v>3</v>
      </c>
      <c r="Z12" s="26" t="s">
        <v>3</v>
      </c>
      <c r="AA12" s="26" t="s">
        <v>3</v>
      </c>
      <c r="AB12" s="26" t="s">
        <v>3</v>
      </c>
      <c r="AC12" s="27" t="s">
        <v>7</v>
      </c>
      <c r="AD12" s="28" t="s">
        <v>11</v>
      </c>
      <c r="AE12" s="26" t="s">
        <v>3</v>
      </c>
      <c r="AF12" s="26" t="s">
        <v>3</v>
      </c>
      <c r="AG12" s="26" t="s">
        <v>3</v>
      </c>
      <c r="AH12" s="26" t="s">
        <v>3</v>
      </c>
      <c r="AI12" s="8">
        <f t="shared" si="0"/>
        <v>14</v>
      </c>
      <c r="AJ12" s="8">
        <f t="shared" si="1"/>
        <v>9</v>
      </c>
      <c r="AK12" s="29">
        <f t="shared" si="2"/>
        <v>2</v>
      </c>
      <c r="AL12" s="62">
        <v>2</v>
      </c>
      <c r="AM12" s="33">
        <f t="shared" si="3"/>
        <v>17</v>
      </c>
      <c r="AN12" s="63">
        <f t="shared" si="4"/>
        <v>184</v>
      </c>
      <c r="AO12" s="63">
        <f t="shared" si="5"/>
        <v>0</v>
      </c>
      <c r="AP12" s="63">
        <f t="shared" si="6"/>
        <v>0</v>
      </c>
      <c r="AQ12" s="53">
        <f t="shared" si="7"/>
        <v>17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</row>
    <row r="13" spans="1:56" ht="22" customHeight="1" x14ac:dyDescent="0.35">
      <c r="A13" s="8" t="s">
        <v>60</v>
      </c>
      <c r="B13" s="8" t="s">
        <v>61</v>
      </c>
      <c r="C13" s="8" t="s">
        <v>45</v>
      </c>
      <c r="D13" s="26" t="s">
        <v>3</v>
      </c>
      <c r="E13" s="26" t="s">
        <v>3</v>
      </c>
      <c r="F13" s="22" t="s">
        <v>5</v>
      </c>
      <c r="G13" s="22" t="s">
        <v>5</v>
      </c>
      <c r="H13" s="23" t="s">
        <v>7</v>
      </c>
      <c r="I13" s="24" t="s">
        <v>9</v>
      </c>
      <c r="J13" s="26" t="s">
        <v>3</v>
      </c>
      <c r="K13" s="26" t="s">
        <v>3</v>
      </c>
      <c r="L13" s="26" t="s">
        <v>3</v>
      </c>
      <c r="M13" s="26" t="s">
        <v>3</v>
      </c>
      <c r="N13" s="26" t="s">
        <v>3</v>
      </c>
      <c r="O13" s="27" t="s">
        <v>7</v>
      </c>
      <c r="P13" s="28" t="s">
        <v>11</v>
      </c>
      <c r="Q13" s="26" t="s">
        <v>3</v>
      </c>
      <c r="R13" s="26" t="s">
        <v>3</v>
      </c>
      <c r="S13" s="22" t="s">
        <v>5</v>
      </c>
      <c r="T13" s="22" t="s">
        <v>5</v>
      </c>
      <c r="U13" s="22" t="s">
        <v>5</v>
      </c>
      <c r="V13" s="23" t="s">
        <v>7</v>
      </c>
      <c r="W13" s="24" t="s">
        <v>9</v>
      </c>
      <c r="X13" s="22" t="s">
        <v>5</v>
      </c>
      <c r="Y13" s="22" t="s">
        <v>5</v>
      </c>
      <c r="Z13" s="22" t="s">
        <v>5</v>
      </c>
      <c r="AA13" s="22" t="s">
        <v>5</v>
      </c>
      <c r="AB13" s="22" t="s">
        <v>5</v>
      </c>
      <c r="AC13" s="23" t="s">
        <v>7</v>
      </c>
      <c r="AD13" s="24" t="s">
        <v>9</v>
      </c>
      <c r="AE13" s="22" t="s">
        <v>5</v>
      </c>
      <c r="AF13" s="22" t="s">
        <v>5</v>
      </c>
      <c r="AG13" s="22" t="s">
        <v>5</v>
      </c>
      <c r="AH13" s="22" t="s">
        <v>5</v>
      </c>
      <c r="AI13" s="8">
        <f t="shared" si="0"/>
        <v>9</v>
      </c>
      <c r="AJ13" s="25">
        <f t="shared" si="1"/>
        <v>14</v>
      </c>
      <c r="AK13" s="29">
        <f t="shared" si="2"/>
        <v>1</v>
      </c>
      <c r="AL13" s="62">
        <v>1</v>
      </c>
      <c r="AM13" s="33">
        <f t="shared" si="3"/>
        <v>10.5</v>
      </c>
      <c r="AN13" s="63">
        <f t="shared" si="4"/>
        <v>184</v>
      </c>
      <c r="AO13" s="63">
        <f t="shared" si="5"/>
        <v>0</v>
      </c>
      <c r="AP13" s="63">
        <f t="shared" si="6"/>
        <v>0</v>
      </c>
      <c r="AQ13" s="53">
        <f t="shared" si="7"/>
        <v>10.5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</row>
    <row r="14" spans="1:56" ht="22" customHeight="1" x14ac:dyDescent="0.35">
      <c r="A14" s="8" t="s">
        <v>352</v>
      </c>
      <c r="B14" s="8" t="s">
        <v>353</v>
      </c>
      <c r="C14" s="8" t="s">
        <v>45</v>
      </c>
      <c r="D14" s="26" t="s">
        <v>3</v>
      </c>
      <c r="E14" s="26" t="s">
        <v>3</v>
      </c>
      <c r="F14" s="26" t="s">
        <v>3</v>
      </c>
      <c r="G14" s="26" t="s">
        <v>3</v>
      </c>
      <c r="H14" s="27" t="s">
        <v>7</v>
      </c>
      <c r="I14" s="28" t="s">
        <v>11</v>
      </c>
      <c r="J14" s="26" t="s">
        <v>3</v>
      </c>
      <c r="K14" s="26" t="s">
        <v>3</v>
      </c>
      <c r="L14" s="26" t="s">
        <v>3</v>
      </c>
      <c r="M14" s="22" t="s">
        <v>5</v>
      </c>
      <c r="N14" s="22" t="s">
        <v>5</v>
      </c>
      <c r="O14" s="23" t="s">
        <v>7</v>
      </c>
      <c r="P14" s="24" t="s">
        <v>9</v>
      </c>
      <c r="Q14" s="26" t="s">
        <v>3</v>
      </c>
      <c r="R14" s="26" t="s">
        <v>3</v>
      </c>
      <c r="S14" s="26" t="s">
        <v>3</v>
      </c>
      <c r="T14" s="26" t="s">
        <v>3</v>
      </c>
      <c r="U14" s="26" t="s">
        <v>3</v>
      </c>
      <c r="V14" s="27" t="s">
        <v>7</v>
      </c>
      <c r="W14" s="28" t="s">
        <v>11</v>
      </c>
      <c r="X14" s="26" t="s">
        <v>3</v>
      </c>
      <c r="Y14" s="26" t="s">
        <v>3</v>
      </c>
      <c r="Z14" s="26" t="s">
        <v>3</v>
      </c>
      <c r="AA14" s="26" t="s">
        <v>3</v>
      </c>
      <c r="AB14" s="22" t="s">
        <v>5</v>
      </c>
      <c r="AC14" s="23" t="s">
        <v>7</v>
      </c>
      <c r="AD14" s="24" t="s">
        <v>9</v>
      </c>
      <c r="AE14" s="22" t="s">
        <v>5</v>
      </c>
      <c r="AF14" s="26" t="s">
        <v>3</v>
      </c>
      <c r="AG14" s="26" t="s">
        <v>3</v>
      </c>
      <c r="AH14" s="26" t="s">
        <v>3</v>
      </c>
      <c r="AI14" s="8">
        <f t="shared" si="0"/>
        <v>19</v>
      </c>
      <c r="AJ14" s="8">
        <f t="shared" si="1"/>
        <v>4</v>
      </c>
      <c r="AK14" s="29">
        <f t="shared" si="2"/>
        <v>2</v>
      </c>
      <c r="AL14" s="62">
        <v>2</v>
      </c>
      <c r="AM14" s="33">
        <f t="shared" si="3"/>
        <v>22</v>
      </c>
      <c r="AN14" s="63">
        <f t="shared" si="4"/>
        <v>184</v>
      </c>
      <c r="AO14" s="63">
        <f t="shared" si="5"/>
        <v>0</v>
      </c>
      <c r="AP14" s="63">
        <f t="shared" si="6"/>
        <v>0</v>
      </c>
      <c r="AQ14" s="53">
        <f t="shared" si="7"/>
        <v>22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</row>
    <row r="15" spans="1:56" ht="22" customHeight="1" x14ac:dyDescent="0.35">
      <c r="A15" s="8" t="s">
        <v>62</v>
      </c>
      <c r="B15" s="8" t="s">
        <v>63</v>
      </c>
      <c r="C15" s="8" t="s">
        <v>45</v>
      </c>
      <c r="D15" s="26" t="s">
        <v>3</v>
      </c>
      <c r="E15" s="26" t="s">
        <v>3</v>
      </c>
      <c r="F15" s="26" t="s">
        <v>3</v>
      </c>
      <c r="G15" s="26" t="s">
        <v>3</v>
      </c>
      <c r="H15" s="27" t="s">
        <v>7</v>
      </c>
      <c r="I15" s="28" t="s">
        <v>11</v>
      </c>
      <c r="J15" s="26" t="s">
        <v>3</v>
      </c>
      <c r="K15" s="26" t="s">
        <v>3</v>
      </c>
      <c r="L15" s="26" t="s">
        <v>3</v>
      </c>
      <c r="M15" s="26" t="s">
        <v>3</v>
      </c>
      <c r="N15" s="22" t="s">
        <v>5</v>
      </c>
      <c r="O15" s="23" t="s">
        <v>7</v>
      </c>
      <c r="P15" s="24" t="s">
        <v>9</v>
      </c>
      <c r="Q15" s="22" t="s">
        <v>5</v>
      </c>
      <c r="R15" s="26" t="s">
        <v>3</v>
      </c>
      <c r="S15" s="22" t="s">
        <v>5</v>
      </c>
      <c r="T15" s="22" t="s">
        <v>5</v>
      </c>
      <c r="U15" s="22" t="s">
        <v>5</v>
      </c>
      <c r="V15" s="27" t="s">
        <v>7</v>
      </c>
      <c r="W15" s="24" t="s">
        <v>9</v>
      </c>
      <c r="X15" s="22" t="s">
        <v>5</v>
      </c>
      <c r="Y15" s="22" t="s">
        <v>5</v>
      </c>
      <c r="Z15" s="22" t="s">
        <v>5</v>
      </c>
      <c r="AA15" s="22" t="s">
        <v>5</v>
      </c>
      <c r="AB15" s="22" t="s">
        <v>5</v>
      </c>
      <c r="AC15" s="23" t="s">
        <v>7</v>
      </c>
      <c r="AD15" s="24" t="s">
        <v>9</v>
      </c>
      <c r="AE15" s="22" t="s">
        <v>5</v>
      </c>
      <c r="AF15" s="22" t="s">
        <v>5</v>
      </c>
      <c r="AG15" s="22" t="s">
        <v>5</v>
      </c>
      <c r="AH15" s="22" t="s">
        <v>5</v>
      </c>
      <c r="AI15" s="8">
        <f t="shared" si="0"/>
        <v>9</v>
      </c>
      <c r="AJ15" s="25">
        <f t="shared" si="1"/>
        <v>14</v>
      </c>
      <c r="AK15" s="29">
        <f t="shared" si="2"/>
        <v>1</v>
      </c>
      <c r="AL15" s="62">
        <v>2</v>
      </c>
      <c r="AM15" s="33">
        <f t="shared" si="3"/>
        <v>11</v>
      </c>
      <c r="AN15" s="63">
        <f t="shared" si="4"/>
        <v>184</v>
      </c>
      <c r="AO15" s="63">
        <f t="shared" si="5"/>
        <v>0</v>
      </c>
      <c r="AP15" s="63">
        <f t="shared" si="6"/>
        <v>0</v>
      </c>
      <c r="AQ15" s="53">
        <f t="shared" si="7"/>
        <v>11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</row>
    <row r="16" spans="1:56" ht="22" customHeight="1" x14ac:dyDescent="0.35">
      <c r="A16" s="8" t="s">
        <v>64</v>
      </c>
      <c r="B16" s="8" t="s">
        <v>63</v>
      </c>
      <c r="C16" s="8" t="s">
        <v>45</v>
      </c>
      <c r="D16" s="22" t="s">
        <v>5</v>
      </c>
      <c r="E16" s="22" t="s">
        <v>5</v>
      </c>
      <c r="F16" s="22" t="s">
        <v>5</v>
      </c>
      <c r="G16" s="22" t="s">
        <v>5</v>
      </c>
      <c r="H16" s="23" t="s">
        <v>7</v>
      </c>
      <c r="I16" s="28" t="s">
        <v>11</v>
      </c>
      <c r="J16" s="26" t="s">
        <v>3</v>
      </c>
      <c r="K16" s="22" t="s">
        <v>5</v>
      </c>
      <c r="L16" s="22" t="s">
        <v>5</v>
      </c>
      <c r="M16" s="26" t="s">
        <v>3</v>
      </c>
      <c r="N16" s="26" t="s">
        <v>3</v>
      </c>
      <c r="O16" s="27" t="s">
        <v>7</v>
      </c>
      <c r="P16" s="28" t="s">
        <v>11</v>
      </c>
      <c r="Q16" s="26" t="s">
        <v>3</v>
      </c>
      <c r="R16" s="26" t="s">
        <v>3</v>
      </c>
      <c r="S16" s="26" t="s">
        <v>3</v>
      </c>
      <c r="T16" s="26" t="s">
        <v>3</v>
      </c>
      <c r="U16" s="26" t="s">
        <v>3</v>
      </c>
      <c r="V16" s="27" t="s">
        <v>7</v>
      </c>
      <c r="W16" s="28" t="s">
        <v>11</v>
      </c>
      <c r="X16" s="26" t="s">
        <v>3</v>
      </c>
      <c r="Y16" s="26" t="s">
        <v>3</v>
      </c>
      <c r="Z16" s="26" t="s">
        <v>3</v>
      </c>
      <c r="AA16" s="26" t="s">
        <v>3</v>
      </c>
      <c r="AB16" s="26" t="s">
        <v>3</v>
      </c>
      <c r="AC16" s="27" t="s">
        <v>7</v>
      </c>
      <c r="AD16" s="28" t="s">
        <v>11</v>
      </c>
      <c r="AE16" s="26" t="s">
        <v>3</v>
      </c>
      <c r="AF16" s="26" t="s">
        <v>3</v>
      </c>
      <c r="AG16" s="26" t="s">
        <v>3</v>
      </c>
      <c r="AH16" s="26" t="s">
        <v>3</v>
      </c>
      <c r="AI16" s="8">
        <f t="shared" si="0"/>
        <v>17</v>
      </c>
      <c r="AJ16" s="8">
        <f t="shared" si="1"/>
        <v>6</v>
      </c>
      <c r="AK16" s="29">
        <f t="shared" si="2"/>
        <v>4</v>
      </c>
      <c r="AL16" s="62">
        <v>3</v>
      </c>
      <c r="AM16" s="33">
        <f t="shared" si="3"/>
        <v>22.5</v>
      </c>
      <c r="AN16" s="63">
        <f t="shared" si="4"/>
        <v>184</v>
      </c>
      <c r="AO16" s="63">
        <f t="shared" si="5"/>
        <v>0</v>
      </c>
      <c r="AP16" s="63">
        <f t="shared" si="6"/>
        <v>0</v>
      </c>
      <c r="AQ16" s="53">
        <f t="shared" si="7"/>
        <v>22.5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</row>
    <row r="17" spans="1:56" ht="22" customHeight="1" x14ac:dyDescent="0.35">
      <c r="A17" s="8" t="s">
        <v>65</v>
      </c>
      <c r="B17" s="8" t="s">
        <v>66</v>
      </c>
      <c r="C17" s="8" t="s">
        <v>45</v>
      </c>
      <c r="D17" s="26" t="s">
        <v>3</v>
      </c>
      <c r="E17" s="26" t="s">
        <v>3</v>
      </c>
      <c r="F17" s="22" t="s">
        <v>5</v>
      </c>
      <c r="G17" s="22" t="s">
        <v>5</v>
      </c>
      <c r="H17" s="23" t="s">
        <v>7</v>
      </c>
      <c r="I17" s="24" t="s">
        <v>9</v>
      </c>
      <c r="J17" s="26" t="s">
        <v>3</v>
      </c>
      <c r="K17" s="26" t="s">
        <v>3</v>
      </c>
      <c r="L17" s="26" t="s">
        <v>3</v>
      </c>
      <c r="M17" s="26" t="s">
        <v>3</v>
      </c>
      <c r="N17" s="26" t="s">
        <v>3</v>
      </c>
      <c r="O17" s="27" t="s">
        <v>7</v>
      </c>
      <c r="P17" s="28" t="s">
        <v>11</v>
      </c>
      <c r="Q17" s="26" t="s">
        <v>3</v>
      </c>
      <c r="R17" s="26" t="s">
        <v>3</v>
      </c>
      <c r="S17" s="26" t="s">
        <v>3</v>
      </c>
      <c r="T17" s="26" t="s">
        <v>3</v>
      </c>
      <c r="U17" s="26" t="s">
        <v>3</v>
      </c>
      <c r="V17" s="23" t="s">
        <v>7</v>
      </c>
      <c r="W17" s="24" t="s">
        <v>9</v>
      </c>
      <c r="X17" s="26" t="s">
        <v>3</v>
      </c>
      <c r="Y17" s="26" t="s">
        <v>3</v>
      </c>
      <c r="Z17" s="26" t="s">
        <v>3</v>
      </c>
      <c r="AA17" s="26" t="s">
        <v>3</v>
      </c>
      <c r="AB17" s="26" t="s">
        <v>3</v>
      </c>
      <c r="AC17" s="27" t="s">
        <v>7</v>
      </c>
      <c r="AD17" s="28" t="s">
        <v>11</v>
      </c>
      <c r="AE17" s="26" t="s">
        <v>3</v>
      </c>
      <c r="AF17" s="26" t="s">
        <v>3</v>
      </c>
      <c r="AG17" s="26" t="s">
        <v>3</v>
      </c>
      <c r="AH17" s="26" t="s">
        <v>3</v>
      </c>
      <c r="AI17" s="8">
        <f t="shared" si="0"/>
        <v>21</v>
      </c>
      <c r="AJ17" s="8">
        <f t="shared" si="1"/>
        <v>2</v>
      </c>
      <c r="AK17" s="29">
        <f t="shared" si="2"/>
        <v>2</v>
      </c>
      <c r="AL17" s="62">
        <v>2</v>
      </c>
      <c r="AM17" s="33">
        <f t="shared" si="3"/>
        <v>24</v>
      </c>
      <c r="AN17" s="63">
        <f t="shared" si="4"/>
        <v>184</v>
      </c>
      <c r="AO17" s="63">
        <f t="shared" si="5"/>
        <v>1</v>
      </c>
      <c r="AP17" s="63">
        <f t="shared" si="6"/>
        <v>4</v>
      </c>
      <c r="AQ17" s="53">
        <f t="shared" si="7"/>
        <v>23.5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</row>
    <row r="18" spans="1:56" ht="22" customHeight="1" x14ac:dyDescent="0.35">
      <c r="A18" s="8" t="s">
        <v>67</v>
      </c>
      <c r="B18" s="8" t="s">
        <v>68</v>
      </c>
      <c r="C18" s="8" t="s">
        <v>45</v>
      </c>
      <c r="D18" s="22" t="s">
        <v>5</v>
      </c>
      <c r="E18" s="22" t="s">
        <v>5</v>
      </c>
      <c r="F18" s="22" t="s">
        <v>5</v>
      </c>
      <c r="G18" s="22" t="s">
        <v>5</v>
      </c>
      <c r="H18" s="23" t="s">
        <v>7</v>
      </c>
      <c r="I18" s="24" t="s">
        <v>9</v>
      </c>
      <c r="J18" s="22" t="s">
        <v>5</v>
      </c>
      <c r="K18" s="22" t="s">
        <v>5</v>
      </c>
      <c r="L18" s="22" t="s">
        <v>5</v>
      </c>
      <c r="M18" s="26" t="s">
        <v>3</v>
      </c>
      <c r="N18" s="26" t="s">
        <v>3</v>
      </c>
      <c r="O18" s="27" t="s">
        <v>7</v>
      </c>
      <c r="P18" s="28" t="s">
        <v>11</v>
      </c>
      <c r="Q18" s="22" t="s">
        <v>5</v>
      </c>
      <c r="R18" s="22" t="s">
        <v>5</v>
      </c>
      <c r="S18" s="22" t="s">
        <v>5</v>
      </c>
      <c r="T18" s="26" t="s">
        <v>3</v>
      </c>
      <c r="U18" s="26" t="s">
        <v>3</v>
      </c>
      <c r="V18" s="27" t="s">
        <v>7</v>
      </c>
      <c r="W18" s="28" t="s">
        <v>11</v>
      </c>
      <c r="X18" s="22" t="s">
        <v>5</v>
      </c>
      <c r="Y18" s="22" t="s">
        <v>5</v>
      </c>
      <c r="Z18" s="22" t="s">
        <v>5</v>
      </c>
      <c r="AA18" s="26" t="s">
        <v>3</v>
      </c>
      <c r="AB18" s="26" t="s">
        <v>3</v>
      </c>
      <c r="AC18" s="27" t="s">
        <v>7</v>
      </c>
      <c r="AD18" s="28" t="s">
        <v>11</v>
      </c>
      <c r="AE18" s="26" t="s">
        <v>3</v>
      </c>
      <c r="AF18" s="26" t="s">
        <v>3</v>
      </c>
      <c r="AG18" s="26" t="s">
        <v>3</v>
      </c>
      <c r="AH18" s="26" t="s">
        <v>3</v>
      </c>
      <c r="AI18" s="8">
        <f t="shared" si="0"/>
        <v>10</v>
      </c>
      <c r="AJ18" s="25">
        <f t="shared" si="1"/>
        <v>13</v>
      </c>
      <c r="AK18" s="29">
        <f t="shared" si="2"/>
        <v>3</v>
      </c>
      <c r="AL18" s="62">
        <v>3</v>
      </c>
      <c r="AM18" s="33">
        <f t="shared" si="3"/>
        <v>14.5</v>
      </c>
      <c r="AN18" s="63">
        <f t="shared" si="4"/>
        <v>184</v>
      </c>
      <c r="AO18" s="63">
        <f t="shared" si="5"/>
        <v>0</v>
      </c>
      <c r="AP18" s="63">
        <f t="shared" si="6"/>
        <v>0</v>
      </c>
      <c r="AQ18" s="53">
        <f t="shared" si="7"/>
        <v>14.5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</row>
    <row r="19" spans="1:56" ht="22" customHeight="1" x14ac:dyDescent="0.35">
      <c r="A19" s="8" t="s">
        <v>69</v>
      </c>
      <c r="B19" s="8" t="s">
        <v>70</v>
      </c>
      <c r="C19" s="8" t="s">
        <v>45</v>
      </c>
      <c r="D19" s="26" t="s">
        <v>3</v>
      </c>
      <c r="E19" s="26" t="s">
        <v>3</v>
      </c>
      <c r="F19" s="26" t="s">
        <v>3</v>
      </c>
      <c r="G19" s="26" t="s">
        <v>3</v>
      </c>
      <c r="H19" s="27" t="s">
        <v>7</v>
      </c>
      <c r="I19" s="24" t="s">
        <v>9</v>
      </c>
      <c r="J19" s="26" t="s">
        <v>3</v>
      </c>
      <c r="K19" s="26" t="s">
        <v>3</v>
      </c>
      <c r="L19" s="26" t="s">
        <v>3</v>
      </c>
      <c r="M19" s="22" t="s">
        <v>5</v>
      </c>
      <c r="N19" s="22" t="s">
        <v>5</v>
      </c>
      <c r="O19" s="23" t="s">
        <v>7</v>
      </c>
      <c r="P19" s="24" t="s">
        <v>9</v>
      </c>
      <c r="Q19" s="26" t="s">
        <v>3</v>
      </c>
      <c r="R19" s="26" t="s">
        <v>3</v>
      </c>
      <c r="S19" s="26" t="s">
        <v>3</v>
      </c>
      <c r="T19" s="26" t="s">
        <v>3</v>
      </c>
      <c r="U19" s="26" t="s">
        <v>3</v>
      </c>
      <c r="V19" s="27" t="s">
        <v>7</v>
      </c>
      <c r="W19" s="28" t="s">
        <v>11</v>
      </c>
      <c r="X19" s="26" t="s">
        <v>3</v>
      </c>
      <c r="Y19" s="26" t="s">
        <v>3</v>
      </c>
      <c r="Z19" s="26" t="s">
        <v>3</v>
      </c>
      <c r="AA19" s="26" t="s">
        <v>3</v>
      </c>
      <c r="AB19" s="26" t="s">
        <v>3</v>
      </c>
      <c r="AC19" s="23" t="s">
        <v>7</v>
      </c>
      <c r="AD19" s="24" t="s">
        <v>9</v>
      </c>
      <c r="AE19" s="22" t="s">
        <v>5</v>
      </c>
      <c r="AF19" s="22" t="s">
        <v>5</v>
      </c>
      <c r="AG19" s="22" t="s">
        <v>5</v>
      </c>
      <c r="AH19" s="26" t="s">
        <v>3</v>
      </c>
      <c r="AI19" s="8">
        <f t="shared" si="0"/>
        <v>18</v>
      </c>
      <c r="AJ19" s="8">
        <f t="shared" si="1"/>
        <v>5</v>
      </c>
      <c r="AK19" s="29">
        <f t="shared" si="2"/>
        <v>1</v>
      </c>
      <c r="AL19" s="62">
        <v>2</v>
      </c>
      <c r="AM19" s="33">
        <f t="shared" si="3"/>
        <v>20</v>
      </c>
      <c r="AN19" s="63">
        <f t="shared" si="4"/>
        <v>184</v>
      </c>
      <c r="AO19" s="63">
        <f t="shared" si="5"/>
        <v>1</v>
      </c>
      <c r="AP19" s="63">
        <f t="shared" si="6"/>
        <v>4</v>
      </c>
      <c r="AQ19" s="53">
        <f t="shared" si="7"/>
        <v>19.5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</row>
    <row r="20" spans="1:56" x14ac:dyDescent="0.35"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</row>
    <row r="21" spans="1:56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</row>
    <row r="22" spans="1:56" ht="22" customHeight="1" x14ac:dyDescent="0.35">
      <c r="A22" s="8" t="s">
        <v>72</v>
      </c>
      <c r="B22" s="8" t="s">
        <v>73</v>
      </c>
      <c r="C22" s="8" t="s">
        <v>74</v>
      </c>
      <c r="D22" s="26" t="s">
        <v>3</v>
      </c>
      <c r="E22" s="26" t="s">
        <v>3</v>
      </c>
      <c r="F22" s="26" t="s">
        <v>3</v>
      </c>
      <c r="G22" s="26" t="s">
        <v>3</v>
      </c>
      <c r="H22" s="27" t="s">
        <v>7</v>
      </c>
      <c r="I22" s="28" t="s">
        <v>11</v>
      </c>
      <c r="J22" s="26" t="s">
        <v>3</v>
      </c>
      <c r="K22" s="26" t="s">
        <v>3</v>
      </c>
      <c r="L22" s="26" t="s">
        <v>3</v>
      </c>
      <c r="M22" s="22" t="s">
        <v>5</v>
      </c>
      <c r="N22" s="22" t="s">
        <v>5</v>
      </c>
      <c r="O22" s="23" t="s">
        <v>7</v>
      </c>
      <c r="P22" s="24" t="s">
        <v>9</v>
      </c>
      <c r="Q22" s="26" t="s">
        <v>3</v>
      </c>
      <c r="R22" s="26" t="s">
        <v>3</v>
      </c>
      <c r="S22" s="26" t="s">
        <v>3</v>
      </c>
      <c r="T22" s="26" t="s">
        <v>3</v>
      </c>
      <c r="U22" s="26" t="s">
        <v>3</v>
      </c>
      <c r="V22" s="27" t="s">
        <v>7</v>
      </c>
      <c r="W22" s="28" t="s">
        <v>11</v>
      </c>
      <c r="X22" s="26" t="s">
        <v>3</v>
      </c>
      <c r="Y22" s="26" t="s">
        <v>3</v>
      </c>
      <c r="Z22" s="26" t="s">
        <v>3</v>
      </c>
      <c r="AA22" s="26" t="s">
        <v>3</v>
      </c>
      <c r="AB22" s="26" t="s">
        <v>3</v>
      </c>
      <c r="AC22" s="23" t="s">
        <v>7</v>
      </c>
      <c r="AD22" s="24" t="s">
        <v>9</v>
      </c>
      <c r="AE22" s="26" t="s">
        <v>3</v>
      </c>
      <c r="AF22" s="26" t="s">
        <v>3</v>
      </c>
      <c r="AG22" s="26" t="s">
        <v>3</v>
      </c>
      <c r="AH22" s="26" t="s">
        <v>3</v>
      </c>
      <c r="AI22" s="8">
        <f t="shared" ref="AI22:AI35" si="8">COUNTIF(D22:AH22,"ON")</f>
        <v>21</v>
      </c>
      <c r="AJ22" s="8">
        <f t="shared" ref="AJ22:AJ35" si="9">COUNTIF(D22:AH22,"OFF")</f>
        <v>2</v>
      </c>
      <c r="AK22" s="29">
        <f t="shared" ref="AK22:AK35" si="10">COUNTIF(D22:AH22,"OT")</f>
        <v>2</v>
      </c>
      <c r="AL22" s="62">
        <v>2</v>
      </c>
      <c r="AM22" s="33">
        <f t="shared" ref="AM22:AM35" si="11">AI22+AK22+AL22*0.5</f>
        <v>24</v>
      </c>
      <c r="AN22" s="63">
        <f t="shared" ref="AN22:AN35" si="12">NETWORKDAYS(DATE(2025,7,1),EOMONTH(DATE(2025,7,1),0))*8</f>
        <v>184</v>
      </c>
      <c r="AO22" s="63">
        <f t="shared" ref="AO22:AO35" si="13">MAX(0,COUNTIF(G22,"ON")+COUNTIF(N22,"ON")+COUNTIF(U22,"ON")+COUNTIF(AB22,"ON")-AL22)</f>
        <v>1</v>
      </c>
      <c r="AP22" s="63">
        <f t="shared" ref="AP22:AP35" si="14">AO22*$AP$2</f>
        <v>4</v>
      </c>
      <c r="AQ22" s="53">
        <f t="shared" ref="AQ22:AQ35" si="15">AM22-AP22/8</f>
        <v>23.5</v>
      </c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</row>
    <row r="23" spans="1:56" ht="22" customHeight="1" x14ac:dyDescent="0.35">
      <c r="A23" s="8" t="s">
        <v>75</v>
      </c>
      <c r="B23" s="8" t="s">
        <v>76</v>
      </c>
      <c r="C23" s="8" t="s">
        <v>74</v>
      </c>
      <c r="D23" s="22" t="s">
        <v>5</v>
      </c>
      <c r="E23" s="22" t="s">
        <v>5</v>
      </c>
      <c r="F23" s="22" t="s">
        <v>5</v>
      </c>
      <c r="G23" s="22" t="s">
        <v>5</v>
      </c>
      <c r="H23" s="23" t="s">
        <v>7</v>
      </c>
      <c r="I23" s="24" t="s">
        <v>9</v>
      </c>
      <c r="J23" s="26" t="s">
        <v>3</v>
      </c>
      <c r="K23" s="26" t="s">
        <v>3</v>
      </c>
      <c r="L23" s="26" t="s">
        <v>3</v>
      </c>
      <c r="M23" s="26" t="s">
        <v>3</v>
      </c>
      <c r="N23" s="26" t="s">
        <v>3</v>
      </c>
      <c r="O23" s="27" t="s">
        <v>7</v>
      </c>
      <c r="P23" s="28" t="s">
        <v>11</v>
      </c>
      <c r="Q23" s="26" t="s">
        <v>3</v>
      </c>
      <c r="R23" s="26" t="s">
        <v>3</v>
      </c>
      <c r="S23" s="26" t="s">
        <v>3</v>
      </c>
      <c r="T23" s="26" t="s">
        <v>3</v>
      </c>
      <c r="U23" s="26" t="s">
        <v>3</v>
      </c>
      <c r="V23" s="23" t="s">
        <v>7</v>
      </c>
      <c r="W23" s="24" t="s">
        <v>9</v>
      </c>
      <c r="X23" s="26" t="s">
        <v>3</v>
      </c>
      <c r="Y23" s="26" t="s">
        <v>3</v>
      </c>
      <c r="Z23" s="26" t="s">
        <v>3</v>
      </c>
      <c r="AA23" s="26" t="s">
        <v>3</v>
      </c>
      <c r="AB23" s="26" t="s">
        <v>3</v>
      </c>
      <c r="AC23" s="27" t="s">
        <v>7</v>
      </c>
      <c r="AD23" s="28" t="s">
        <v>11</v>
      </c>
      <c r="AE23" s="26" t="s">
        <v>3</v>
      </c>
      <c r="AF23" s="26" t="s">
        <v>3</v>
      </c>
      <c r="AG23" s="26" t="s">
        <v>3</v>
      </c>
      <c r="AH23" s="26" t="s">
        <v>3</v>
      </c>
      <c r="AI23" s="8">
        <f t="shared" si="8"/>
        <v>19</v>
      </c>
      <c r="AJ23" s="8">
        <f t="shared" si="9"/>
        <v>4</v>
      </c>
      <c r="AK23" s="29">
        <f t="shared" si="10"/>
        <v>2</v>
      </c>
      <c r="AL23" s="62">
        <v>2</v>
      </c>
      <c r="AM23" s="33">
        <f t="shared" si="11"/>
        <v>22</v>
      </c>
      <c r="AN23" s="63">
        <f t="shared" si="12"/>
        <v>184</v>
      </c>
      <c r="AO23" s="63">
        <f t="shared" si="13"/>
        <v>1</v>
      </c>
      <c r="AP23" s="63">
        <f t="shared" si="14"/>
        <v>4</v>
      </c>
      <c r="AQ23" s="53">
        <f t="shared" si="15"/>
        <v>21.5</v>
      </c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</row>
    <row r="24" spans="1:56" ht="22" customHeight="1" x14ac:dyDescent="0.35">
      <c r="A24" s="8" t="s">
        <v>77</v>
      </c>
      <c r="B24" s="8" t="s">
        <v>78</v>
      </c>
      <c r="C24" s="8" t="s">
        <v>74</v>
      </c>
      <c r="D24" s="26" t="s">
        <v>3</v>
      </c>
      <c r="E24" s="26" t="s">
        <v>3</v>
      </c>
      <c r="F24" s="22" t="s">
        <v>5</v>
      </c>
      <c r="G24" s="22" t="s">
        <v>5</v>
      </c>
      <c r="H24" s="23" t="s">
        <v>7</v>
      </c>
      <c r="I24" s="24" t="s">
        <v>9</v>
      </c>
      <c r="J24" s="26" t="s">
        <v>3</v>
      </c>
      <c r="K24" s="26" t="s">
        <v>3</v>
      </c>
      <c r="L24" s="26" t="s">
        <v>3</v>
      </c>
      <c r="M24" s="26" t="s">
        <v>3</v>
      </c>
      <c r="N24" s="26" t="s">
        <v>3</v>
      </c>
      <c r="O24" s="27" t="s">
        <v>7</v>
      </c>
      <c r="P24" s="28" t="s">
        <v>11</v>
      </c>
      <c r="Q24" s="22" t="s">
        <v>5</v>
      </c>
      <c r="R24" s="22" t="s">
        <v>5</v>
      </c>
      <c r="S24" s="22" t="s">
        <v>5</v>
      </c>
      <c r="T24" s="22" t="s">
        <v>5</v>
      </c>
      <c r="U24" s="26" t="s">
        <v>3</v>
      </c>
      <c r="V24" s="23" t="s">
        <v>7</v>
      </c>
      <c r="W24" s="24" t="s">
        <v>9</v>
      </c>
      <c r="X24" s="26" t="s">
        <v>3</v>
      </c>
      <c r="Y24" s="26" t="s">
        <v>3</v>
      </c>
      <c r="Z24" s="26" t="s">
        <v>3</v>
      </c>
      <c r="AA24" s="26" t="s">
        <v>3</v>
      </c>
      <c r="AB24" s="26" t="s">
        <v>3</v>
      </c>
      <c r="AC24" s="27" t="s">
        <v>7</v>
      </c>
      <c r="AD24" s="28" t="s">
        <v>11</v>
      </c>
      <c r="AE24" s="26" t="s">
        <v>3</v>
      </c>
      <c r="AF24" s="26" t="s">
        <v>3</v>
      </c>
      <c r="AG24" s="22" t="s">
        <v>5</v>
      </c>
      <c r="AH24" s="26" t="s">
        <v>3</v>
      </c>
      <c r="AI24" s="8">
        <f t="shared" si="8"/>
        <v>16</v>
      </c>
      <c r="AJ24" s="8">
        <f t="shared" si="9"/>
        <v>7</v>
      </c>
      <c r="AK24" s="29">
        <f t="shared" si="10"/>
        <v>2</v>
      </c>
      <c r="AL24" s="62">
        <v>2</v>
      </c>
      <c r="AM24" s="33">
        <f t="shared" si="11"/>
        <v>19</v>
      </c>
      <c r="AN24" s="63">
        <f t="shared" si="12"/>
        <v>184</v>
      </c>
      <c r="AO24" s="63">
        <f t="shared" si="13"/>
        <v>1</v>
      </c>
      <c r="AP24" s="63">
        <f t="shared" si="14"/>
        <v>4</v>
      </c>
      <c r="AQ24" s="53">
        <f t="shared" si="15"/>
        <v>18.5</v>
      </c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</row>
    <row r="25" spans="1:56" ht="22" customHeight="1" x14ac:dyDescent="0.35">
      <c r="A25" s="8" t="s">
        <v>79</v>
      </c>
      <c r="B25" s="8" t="s">
        <v>80</v>
      </c>
      <c r="C25" s="8" t="s">
        <v>74</v>
      </c>
      <c r="D25" s="26" t="s">
        <v>3</v>
      </c>
      <c r="E25" s="26" t="s">
        <v>3</v>
      </c>
      <c r="F25" s="26" t="s">
        <v>3</v>
      </c>
      <c r="G25" s="26" t="s">
        <v>3</v>
      </c>
      <c r="H25" s="27" t="s">
        <v>7</v>
      </c>
      <c r="I25" s="28" t="s">
        <v>11</v>
      </c>
      <c r="J25" s="26" t="s">
        <v>3</v>
      </c>
      <c r="K25" s="26" t="s">
        <v>3</v>
      </c>
      <c r="L25" s="26" t="s">
        <v>3</v>
      </c>
      <c r="M25" s="26" t="s">
        <v>3</v>
      </c>
      <c r="N25" s="26" t="s">
        <v>3</v>
      </c>
      <c r="O25" s="27" t="s">
        <v>7</v>
      </c>
      <c r="P25" s="24" t="s">
        <v>9</v>
      </c>
      <c r="Q25" s="26" t="s">
        <v>3</v>
      </c>
      <c r="R25" s="26" t="s">
        <v>3</v>
      </c>
      <c r="S25" s="26" t="s">
        <v>3</v>
      </c>
      <c r="T25" s="26" t="s">
        <v>3</v>
      </c>
      <c r="U25" s="26" t="s">
        <v>3</v>
      </c>
      <c r="V25" s="27" t="s">
        <v>7</v>
      </c>
      <c r="W25" s="28" t="s">
        <v>11</v>
      </c>
      <c r="X25" s="26" t="s">
        <v>3</v>
      </c>
      <c r="Y25" s="26" t="s">
        <v>3</v>
      </c>
      <c r="Z25" s="26" t="s">
        <v>3</v>
      </c>
      <c r="AA25" s="26" t="s">
        <v>3</v>
      </c>
      <c r="AB25" s="26" t="s">
        <v>3</v>
      </c>
      <c r="AC25" s="23" t="s">
        <v>7</v>
      </c>
      <c r="AD25" s="24" t="s">
        <v>9</v>
      </c>
      <c r="AE25" s="26" t="s">
        <v>3</v>
      </c>
      <c r="AF25" s="26" t="s">
        <v>3</v>
      </c>
      <c r="AG25" s="26" t="s">
        <v>3</v>
      </c>
      <c r="AH25" s="26" t="s">
        <v>3</v>
      </c>
      <c r="AI25" s="8">
        <f t="shared" si="8"/>
        <v>23</v>
      </c>
      <c r="AJ25" s="8">
        <f t="shared" si="9"/>
        <v>0</v>
      </c>
      <c r="AK25" s="29">
        <f t="shared" si="10"/>
        <v>2</v>
      </c>
      <c r="AL25" s="62">
        <v>3</v>
      </c>
      <c r="AM25" s="33">
        <f t="shared" si="11"/>
        <v>26.5</v>
      </c>
      <c r="AN25" s="63">
        <f t="shared" si="12"/>
        <v>184</v>
      </c>
      <c r="AO25" s="63">
        <f t="shared" si="13"/>
        <v>1</v>
      </c>
      <c r="AP25" s="63">
        <f t="shared" si="14"/>
        <v>4</v>
      </c>
      <c r="AQ25" s="53">
        <f t="shared" si="15"/>
        <v>26</v>
      </c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</row>
    <row r="26" spans="1:56" ht="22" customHeight="1" x14ac:dyDescent="0.35">
      <c r="A26" s="8" t="s">
        <v>81</v>
      </c>
      <c r="B26" s="8" t="s">
        <v>82</v>
      </c>
      <c r="C26" s="8" t="s">
        <v>74</v>
      </c>
      <c r="D26" s="26" t="s">
        <v>3</v>
      </c>
      <c r="E26" s="26" t="s">
        <v>3</v>
      </c>
      <c r="F26" s="22" t="s">
        <v>5</v>
      </c>
      <c r="G26" s="22" t="s">
        <v>5</v>
      </c>
      <c r="H26" s="23" t="s">
        <v>7</v>
      </c>
      <c r="I26" s="24" t="s">
        <v>9</v>
      </c>
      <c r="J26" s="26" t="s">
        <v>3</v>
      </c>
      <c r="K26" s="26" t="s">
        <v>3</v>
      </c>
      <c r="L26" s="26" t="s">
        <v>3</v>
      </c>
      <c r="M26" s="26" t="s">
        <v>3</v>
      </c>
      <c r="N26" s="26" t="s">
        <v>3</v>
      </c>
      <c r="O26" s="27" t="s">
        <v>7</v>
      </c>
      <c r="P26" s="28" t="s">
        <v>11</v>
      </c>
      <c r="Q26" s="26" t="s">
        <v>3</v>
      </c>
      <c r="R26" s="26" t="s">
        <v>3</v>
      </c>
      <c r="S26" s="26" t="s">
        <v>3</v>
      </c>
      <c r="T26" s="26" t="s">
        <v>3</v>
      </c>
      <c r="U26" s="26" t="s">
        <v>3</v>
      </c>
      <c r="V26" s="23" t="s">
        <v>7</v>
      </c>
      <c r="W26" s="24" t="s">
        <v>9</v>
      </c>
      <c r="X26" s="26" t="s">
        <v>3</v>
      </c>
      <c r="Y26" s="26" t="s">
        <v>3</v>
      </c>
      <c r="Z26" s="26" t="s">
        <v>3</v>
      </c>
      <c r="AA26" s="26" t="s">
        <v>3</v>
      </c>
      <c r="AB26" s="26" t="s">
        <v>3</v>
      </c>
      <c r="AC26" s="27" t="s">
        <v>7</v>
      </c>
      <c r="AD26" s="28" t="s">
        <v>11</v>
      </c>
      <c r="AE26" s="26" t="s">
        <v>3</v>
      </c>
      <c r="AF26" s="26" t="s">
        <v>3</v>
      </c>
      <c r="AG26" s="26" t="s">
        <v>3</v>
      </c>
      <c r="AH26" s="26" t="s">
        <v>3</v>
      </c>
      <c r="AI26" s="8">
        <f t="shared" si="8"/>
        <v>21</v>
      </c>
      <c r="AJ26" s="8">
        <f t="shared" si="9"/>
        <v>2</v>
      </c>
      <c r="AK26" s="29">
        <f t="shared" si="10"/>
        <v>2</v>
      </c>
      <c r="AL26" s="62">
        <v>2</v>
      </c>
      <c r="AM26" s="33">
        <f t="shared" si="11"/>
        <v>24</v>
      </c>
      <c r="AN26" s="63">
        <f t="shared" si="12"/>
        <v>184</v>
      </c>
      <c r="AO26" s="63">
        <f t="shared" si="13"/>
        <v>1</v>
      </c>
      <c r="AP26" s="63">
        <f t="shared" si="14"/>
        <v>4</v>
      </c>
      <c r="AQ26" s="53">
        <f t="shared" si="15"/>
        <v>23.5</v>
      </c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</row>
    <row r="27" spans="1:56" ht="22" customHeight="1" x14ac:dyDescent="0.35">
      <c r="A27" s="8" t="s">
        <v>83</v>
      </c>
      <c r="B27" s="8" t="s">
        <v>84</v>
      </c>
      <c r="C27" s="8" t="s">
        <v>74</v>
      </c>
      <c r="D27" s="26" t="s">
        <v>3</v>
      </c>
      <c r="E27" s="26" t="s">
        <v>3</v>
      </c>
      <c r="F27" s="26" t="s">
        <v>3</v>
      </c>
      <c r="G27" s="26" t="s">
        <v>3</v>
      </c>
      <c r="H27" s="27" t="s">
        <v>7</v>
      </c>
      <c r="I27" s="28" t="s">
        <v>11</v>
      </c>
      <c r="J27" s="26" t="s">
        <v>3</v>
      </c>
      <c r="K27" s="26" t="s">
        <v>3</v>
      </c>
      <c r="L27" s="26" t="s">
        <v>3</v>
      </c>
      <c r="M27" s="22" t="s">
        <v>5</v>
      </c>
      <c r="N27" s="22" t="s">
        <v>5</v>
      </c>
      <c r="O27" s="23" t="s">
        <v>7</v>
      </c>
      <c r="P27" s="24" t="s">
        <v>9</v>
      </c>
      <c r="Q27" s="26" t="s">
        <v>3</v>
      </c>
      <c r="R27" s="26" t="s">
        <v>3</v>
      </c>
      <c r="S27" s="26" t="s">
        <v>3</v>
      </c>
      <c r="T27" s="26" t="s">
        <v>3</v>
      </c>
      <c r="U27" s="26" t="s">
        <v>3</v>
      </c>
      <c r="V27" s="27" t="s">
        <v>7</v>
      </c>
      <c r="W27" s="28" t="s">
        <v>11</v>
      </c>
      <c r="X27" s="26" t="s">
        <v>3</v>
      </c>
      <c r="Y27" s="26" t="s">
        <v>3</v>
      </c>
      <c r="Z27" s="26" t="s">
        <v>3</v>
      </c>
      <c r="AA27" s="26" t="s">
        <v>3</v>
      </c>
      <c r="AB27" s="26" t="s">
        <v>3</v>
      </c>
      <c r="AC27" s="23" t="s">
        <v>7</v>
      </c>
      <c r="AD27" s="24" t="s">
        <v>9</v>
      </c>
      <c r="AE27" s="26" t="s">
        <v>3</v>
      </c>
      <c r="AF27" s="26" t="s">
        <v>3</v>
      </c>
      <c r="AG27" s="26" t="s">
        <v>3</v>
      </c>
      <c r="AH27" s="26" t="s">
        <v>3</v>
      </c>
      <c r="AI27" s="8">
        <f t="shared" si="8"/>
        <v>21</v>
      </c>
      <c r="AJ27" s="8">
        <f t="shared" si="9"/>
        <v>2</v>
      </c>
      <c r="AK27" s="29">
        <f t="shared" si="10"/>
        <v>2</v>
      </c>
      <c r="AL27" s="62">
        <v>2</v>
      </c>
      <c r="AM27" s="33">
        <f t="shared" si="11"/>
        <v>24</v>
      </c>
      <c r="AN27" s="63">
        <f t="shared" si="12"/>
        <v>184</v>
      </c>
      <c r="AO27" s="63">
        <f t="shared" si="13"/>
        <v>1</v>
      </c>
      <c r="AP27" s="63">
        <f t="shared" si="14"/>
        <v>4</v>
      </c>
      <c r="AQ27" s="53">
        <f t="shared" si="15"/>
        <v>23.5</v>
      </c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</row>
    <row r="28" spans="1:56" ht="22" customHeight="1" x14ac:dyDescent="0.35">
      <c r="A28" s="8" t="s">
        <v>85</v>
      </c>
      <c r="B28" s="8" t="s">
        <v>86</v>
      </c>
      <c r="C28" s="8" t="s">
        <v>74</v>
      </c>
      <c r="D28" s="26" t="s">
        <v>3</v>
      </c>
      <c r="E28" s="26" t="s">
        <v>3</v>
      </c>
      <c r="F28" s="26" t="s">
        <v>3</v>
      </c>
      <c r="G28" s="26" t="s">
        <v>3</v>
      </c>
      <c r="H28" s="27" t="s">
        <v>7</v>
      </c>
      <c r="I28" s="28" t="s">
        <v>11</v>
      </c>
      <c r="J28" s="26" t="s">
        <v>3</v>
      </c>
      <c r="K28" s="26" t="s">
        <v>3</v>
      </c>
      <c r="L28" s="26" t="s">
        <v>3</v>
      </c>
      <c r="M28" s="26" t="s">
        <v>3</v>
      </c>
      <c r="N28" s="26" t="s">
        <v>3</v>
      </c>
      <c r="O28" s="23" t="s">
        <v>7</v>
      </c>
      <c r="P28" s="24" t="s">
        <v>9</v>
      </c>
      <c r="Q28" s="26" t="s">
        <v>3</v>
      </c>
      <c r="R28" s="26" t="s">
        <v>3</v>
      </c>
      <c r="S28" s="26" t="s">
        <v>3</v>
      </c>
      <c r="T28" s="26" t="s">
        <v>3</v>
      </c>
      <c r="U28" s="26" t="s">
        <v>3</v>
      </c>
      <c r="V28" s="27" t="s">
        <v>7</v>
      </c>
      <c r="W28" s="28" t="s">
        <v>11</v>
      </c>
      <c r="X28" s="26" t="s">
        <v>3</v>
      </c>
      <c r="Y28" s="26" t="s">
        <v>3</v>
      </c>
      <c r="Z28" s="26" t="s">
        <v>3</v>
      </c>
      <c r="AA28" s="26" t="s">
        <v>3</v>
      </c>
      <c r="AB28" s="26" t="s">
        <v>3</v>
      </c>
      <c r="AC28" s="27" t="s">
        <v>7</v>
      </c>
      <c r="AD28" s="28" t="s">
        <v>11</v>
      </c>
      <c r="AE28" s="26" t="s">
        <v>3</v>
      </c>
      <c r="AF28" s="26" t="s">
        <v>3</v>
      </c>
      <c r="AG28" s="26" t="s">
        <v>3</v>
      </c>
      <c r="AH28" s="26" t="s">
        <v>3</v>
      </c>
      <c r="AI28" s="8">
        <f t="shared" si="8"/>
        <v>23</v>
      </c>
      <c r="AJ28" s="8">
        <f t="shared" si="9"/>
        <v>0</v>
      </c>
      <c r="AK28" s="29">
        <f t="shared" si="10"/>
        <v>3</v>
      </c>
      <c r="AL28" s="62">
        <v>3</v>
      </c>
      <c r="AM28" s="33">
        <f t="shared" si="11"/>
        <v>27.5</v>
      </c>
      <c r="AN28" s="63">
        <f t="shared" si="12"/>
        <v>184</v>
      </c>
      <c r="AO28" s="63">
        <f t="shared" si="13"/>
        <v>1</v>
      </c>
      <c r="AP28" s="63">
        <f t="shared" si="14"/>
        <v>4</v>
      </c>
      <c r="AQ28" s="53">
        <f t="shared" si="15"/>
        <v>27</v>
      </c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</row>
    <row r="29" spans="1:56" ht="22" customHeight="1" x14ac:dyDescent="0.35">
      <c r="A29" s="8" t="s">
        <v>87</v>
      </c>
      <c r="B29" s="8" t="s">
        <v>88</v>
      </c>
      <c r="C29" s="8" t="s">
        <v>74</v>
      </c>
      <c r="D29" s="26" t="s">
        <v>3</v>
      </c>
      <c r="E29" s="26" t="s">
        <v>3</v>
      </c>
      <c r="F29" s="26" t="s">
        <v>3</v>
      </c>
      <c r="G29" s="26" t="s">
        <v>3</v>
      </c>
      <c r="H29" s="27" t="s">
        <v>7</v>
      </c>
      <c r="I29" s="24" t="s">
        <v>9</v>
      </c>
      <c r="J29" s="26" t="s">
        <v>3</v>
      </c>
      <c r="K29" s="26" t="s">
        <v>3</v>
      </c>
      <c r="L29" s="26" t="s">
        <v>3</v>
      </c>
      <c r="M29" s="26" t="s">
        <v>3</v>
      </c>
      <c r="N29" s="26" t="s">
        <v>3</v>
      </c>
      <c r="O29" s="27" t="s">
        <v>7</v>
      </c>
      <c r="P29" s="28" t="s">
        <v>11</v>
      </c>
      <c r="Q29" s="26" t="s">
        <v>3</v>
      </c>
      <c r="R29" s="26" t="s">
        <v>3</v>
      </c>
      <c r="S29" s="26" t="s">
        <v>3</v>
      </c>
      <c r="T29" s="26" t="s">
        <v>3</v>
      </c>
      <c r="U29" s="26" t="s">
        <v>3</v>
      </c>
      <c r="V29" s="27" t="s">
        <v>7</v>
      </c>
      <c r="W29" s="24" t="s">
        <v>9</v>
      </c>
      <c r="X29" s="26" t="s">
        <v>3</v>
      </c>
      <c r="Y29" s="26" t="s">
        <v>3</v>
      </c>
      <c r="Z29" s="26" t="s">
        <v>3</v>
      </c>
      <c r="AA29" s="26" t="s">
        <v>3</v>
      </c>
      <c r="AB29" s="26" t="s">
        <v>3</v>
      </c>
      <c r="AC29" s="27" t="s">
        <v>7</v>
      </c>
      <c r="AD29" s="28" t="s">
        <v>11</v>
      </c>
      <c r="AE29" s="26" t="s">
        <v>3</v>
      </c>
      <c r="AF29" s="26" t="s">
        <v>3</v>
      </c>
      <c r="AG29" s="26" t="s">
        <v>3</v>
      </c>
      <c r="AH29" s="26" t="s">
        <v>3</v>
      </c>
      <c r="AI29" s="8">
        <f t="shared" si="8"/>
        <v>23</v>
      </c>
      <c r="AJ29" s="8">
        <f t="shared" si="9"/>
        <v>0</v>
      </c>
      <c r="AK29" s="29">
        <f t="shared" si="10"/>
        <v>2</v>
      </c>
      <c r="AL29" s="62">
        <v>4</v>
      </c>
      <c r="AM29" s="33">
        <f t="shared" si="11"/>
        <v>27</v>
      </c>
      <c r="AN29" s="63">
        <f t="shared" si="12"/>
        <v>184</v>
      </c>
      <c r="AO29" s="63">
        <f t="shared" si="13"/>
        <v>0</v>
      </c>
      <c r="AP29" s="63">
        <f t="shared" si="14"/>
        <v>0</v>
      </c>
      <c r="AQ29" s="53">
        <f t="shared" si="15"/>
        <v>27</v>
      </c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</row>
    <row r="30" spans="1:56" ht="22" customHeight="1" x14ac:dyDescent="0.35">
      <c r="A30" s="8" t="s">
        <v>89</v>
      </c>
      <c r="B30" s="8" t="s">
        <v>90</v>
      </c>
      <c r="C30" s="8" t="s">
        <v>74</v>
      </c>
      <c r="D30" s="26" t="s">
        <v>3</v>
      </c>
      <c r="E30" s="26" t="s">
        <v>3</v>
      </c>
      <c r="F30" s="26" t="s">
        <v>3</v>
      </c>
      <c r="G30" s="26" t="s">
        <v>3</v>
      </c>
      <c r="H30" s="27" t="s">
        <v>7</v>
      </c>
      <c r="I30" s="28" t="s">
        <v>11</v>
      </c>
      <c r="J30" s="26" t="s">
        <v>3</v>
      </c>
      <c r="K30" s="26" t="s">
        <v>3</v>
      </c>
      <c r="L30" s="26" t="s">
        <v>3</v>
      </c>
      <c r="M30" s="22" t="s">
        <v>5</v>
      </c>
      <c r="N30" s="22" t="s">
        <v>5</v>
      </c>
      <c r="O30" s="23" t="s">
        <v>7</v>
      </c>
      <c r="P30" s="24" t="s">
        <v>9</v>
      </c>
      <c r="Q30" s="26" t="s">
        <v>3</v>
      </c>
      <c r="R30" s="26" t="s">
        <v>3</v>
      </c>
      <c r="S30" s="26" t="s">
        <v>3</v>
      </c>
      <c r="T30" s="26" t="s">
        <v>3</v>
      </c>
      <c r="U30" s="26" t="s">
        <v>3</v>
      </c>
      <c r="V30" s="27" t="s">
        <v>7</v>
      </c>
      <c r="W30" s="28" t="s">
        <v>11</v>
      </c>
      <c r="X30" s="26" t="s">
        <v>3</v>
      </c>
      <c r="Y30" s="26" t="s">
        <v>3</v>
      </c>
      <c r="Z30" s="26" t="s">
        <v>3</v>
      </c>
      <c r="AA30" s="26" t="s">
        <v>3</v>
      </c>
      <c r="AB30" s="26" t="s">
        <v>3</v>
      </c>
      <c r="AC30" s="23" t="s">
        <v>7</v>
      </c>
      <c r="AD30" s="24" t="s">
        <v>9</v>
      </c>
      <c r="AE30" s="26" t="s">
        <v>3</v>
      </c>
      <c r="AF30" s="26" t="s">
        <v>3</v>
      </c>
      <c r="AG30" s="26" t="s">
        <v>3</v>
      </c>
      <c r="AH30" s="26" t="s">
        <v>3</v>
      </c>
      <c r="AI30" s="8">
        <f t="shared" si="8"/>
        <v>21</v>
      </c>
      <c r="AJ30" s="8">
        <f t="shared" si="9"/>
        <v>2</v>
      </c>
      <c r="AK30" s="29">
        <f t="shared" si="10"/>
        <v>2</v>
      </c>
      <c r="AL30" s="62">
        <v>2</v>
      </c>
      <c r="AM30" s="33">
        <f t="shared" si="11"/>
        <v>24</v>
      </c>
      <c r="AN30" s="63">
        <f t="shared" si="12"/>
        <v>184</v>
      </c>
      <c r="AO30" s="63">
        <f t="shared" si="13"/>
        <v>1</v>
      </c>
      <c r="AP30" s="63">
        <f t="shared" si="14"/>
        <v>4</v>
      </c>
      <c r="AQ30" s="53">
        <f t="shared" si="15"/>
        <v>23.5</v>
      </c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</row>
    <row r="31" spans="1:56" ht="22" customHeight="1" x14ac:dyDescent="0.35">
      <c r="A31" s="8" t="s">
        <v>91</v>
      </c>
      <c r="B31" s="8" t="s">
        <v>92</v>
      </c>
      <c r="C31" s="8" t="s">
        <v>74</v>
      </c>
      <c r="D31" s="26" t="s">
        <v>3</v>
      </c>
      <c r="E31" s="26" t="s">
        <v>3</v>
      </c>
      <c r="F31" s="22" t="s">
        <v>5</v>
      </c>
      <c r="G31" s="22" t="s">
        <v>5</v>
      </c>
      <c r="H31" s="23" t="s">
        <v>7</v>
      </c>
      <c r="I31" s="24" t="s">
        <v>9</v>
      </c>
      <c r="J31" s="26" t="s">
        <v>3</v>
      </c>
      <c r="K31" s="26" t="s">
        <v>3</v>
      </c>
      <c r="L31" s="26" t="s">
        <v>3</v>
      </c>
      <c r="M31" s="26" t="s">
        <v>3</v>
      </c>
      <c r="N31" s="26" t="s">
        <v>3</v>
      </c>
      <c r="O31" s="27" t="s">
        <v>7</v>
      </c>
      <c r="P31" s="28" t="s">
        <v>11</v>
      </c>
      <c r="Q31" s="26" t="s">
        <v>3</v>
      </c>
      <c r="R31" s="26" t="s">
        <v>3</v>
      </c>
      <c r="S31" s="26" t="s">
        <v>3</v>
      </c>
      <c r="T31" s="26" t="s">
        <v>3</v>
      </c>
      <c r="U31" s="26" t="s">
        <v>3</v>
      </c>
      <c r="V31" s="23" t="s">
        <v>7</v>
      </c>
      <c r="W31" s="24" t="s">
        <v>9</v>
      </c>
      <c r="X31" s="26" t="s">
        <v>3</v>
      </c>
      <c r="Y31" s="26" t="s">
        <v>3</v>
      </c>
      <c r="Z31" s="26" t="s">
        <v>3</v>
      </c>
      <c r="AA31" s="26" t="s">
        <v>3</v>
      </c>
      <c r="AB31" s="26" t="s">
        <v>3</v>
      </c>
      <c r="AC31" s="27" t="s">
        <v>7</v>
      </c>
      <c r="AD31" s="28" t="s">
        <v>11</v>
      </c>
      <c r="AE31" s="26" t="s">
        <v>3</v>
      </c>
      <c r="AF31" s="26" t="s">
        <v>3</v>
      </c>
      <c r="AG31" s="26" t="s">
        <v>3</v>
      </c>
      <c r="AH31" s="26" t="s">
        <v>3</v>
      </c>
      <c r="AI31" s="8">
        <f t="shared" si="8"/>
        <v>21</v>
      </c>
      <c r="AJ31" s="8">
        <f t="shared" si="9"/>
        <v>2</v>
      </c>
      <c r="AK31" s="29">
        <f t="shared" si="10"/>
        <v>2</v>
      </c>
      <c r="AL31" s="62">
        <v>2</v>
      </c>
      <c r="AM31" s="33">
        <f t="shared" si="11"/>
        <v>24</v>
      </c>
      <c r="AN31" s="63">
        <f t="shared" si="12"/>
        <v>184</v>
      </c>
      <c r="AO31" s="63">
        <f t="shared" si="13"/>
        <v>1</v>
      </c>
      <c r="AP31" s="63">
        <f t="shared" si="14"/>
        <v>4</v>
      </c>
      <c r="AQ31" s="53">
        <f t="shared" si="15"/>
        <v>23.5</v>
      </c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 spans="1:56" ht="22" customHeight="1" x14ac:dyDescent="0.35">
      <c r="A32" s="8" t="s">
        <v>93</v>
      </c>
      <c r="B32" s="8" t="s">
        <v>94</v>
      </c>
      <c r="C32" s="8" t="s">
        <v>74</v>
      </c>
      <c r="D32" s="26" t="s">
        <v>3</v>
      </c>
      <c r="E32" s="26" t="s">
        <v>3</v>
      </c>
      <c r="F32" s="26" t="s">
        <v>3</v>
      </c>
      <c r="G32" s="26" t="s">
        <v>3</v>
      </c>
      <c r="H32" s="23" t="s">
        <v>7</v>
      </c>
      <c r="I32" s="24" t="s">
        <v>9</v>
      </c>
      <c r="J32" s="22" t="s">
        <v>5</v>
      </c>
      <c r="K32" s="26" t="s">
        <v>3</v>
      </c>
      <c r="L32" s="26" t="s">
        <v>3</v>
      </c>
      <c r="M32" s="22" t="s">
        <v>5</v>
      </c>
      <c r="N32" s="22" t="s">
        <v>5</v>
      </c>
      <c r="O32" s="23" t="s">
        <v>7</v>
      </c>
      <c r="P32" s="24" t="s">
        <v>9</v>
      </c>
      <c r="Q32" s="26" t="s">
        <v>3</v>
      </c>
      <c r="R32" s="26" t="s">
        <v>3</v>
      </c>
      <c r="S32" s="26" t="s">
        <v>3</v>
      </c>
      <c r="T32" s="26" t="s">
        <v>3</v>
      </c>
      <c r="U32" s="26" t="s">
        <v>3</v>
      </c>
      <c r="V32" s="27" t="s">
        <v>7</v>
      </c>
      <c r="W32" s="28" t="s">
        <v>11</v>
      </c>
      <c r="X32" s="26" t="s">
        <v>3</v>
      </c>
      <c r="Y32" s="26" t="s">
        <v>3</v>
      </c>
      <c r="Z32" s="26" t="s">
        <v>3</v>
      </c>
      <c r="AA32" s="26" t="s">
        <v>3</v>
      </c>
      <c r="AB32" s="26" t="s">
        <v>3</v>
      </c>
      <c r="AC32" s="23" t="s">
        <v>7</v>
      </c>
      <c r="AD32" s="24" t="s">
        <v>9</v>
      </c>
      <c r="AE32" s="26" t="s">
        <v>3</v>
      </c>
      <c r="AF32" s="26" t="s">
        <v>3</v>
      </c>
      <c r="AG32" s="26" t="s">
        <v>3</v>
      </c>
      <c r="AH32" s="26" t="s">
        <v>3</v>
      </c>
      <c r="AI32" s="8">
        <f t="shared" si="8"/>
        <v>20</v>
      </c>
      <c r="AJ32" s="8">
        <f t="shared" si="9"/>
        <v>3</v>
      </c>
      <c r="AK32" s="29">
        <f t="shared" si="10"/>
        <v>1</v>
      </c>
      <c r="AL32" s="62">
        <v>1</v>
      </c>
      <c r="AM32" s="33">
        <f t="shared" si="11"/>
        <v>21.5</v>
      </c>
      <c r="AN32" s="63">
        <f t="shared" si="12"/>
        <v>184</v>
      </c>
      <c r="AO32" s="63">
        <f t="shared" si="13"/>
        <v>2</v>
      </c>
      <c r="AP32" s="63">
        <f t="shared" si="14"/>
        <v>8</v>
      </c>
      <c r="AQ32" s="53">
        <f t="shared" si="15"/>
        <v>20.5</v>
      </c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</row>
    <row r="33" spans="1:56" ht="22" customHeight="1" x14ac:dyDescent="0.35">
      <c r="A33" s="8" t="s">
        <v>95</v>
      </c>
      <c r="B33" s="8" t="s">
        <v>96</v>
      </c>
      <c r="C33" s="8" t="s">
        <v>74</v>
      </c>
      <c r="D33" s="26" t="s">
        <v>3</v>
      </c>
      <c r="E33" s="26" t="s">
        <v>3</v>
      </c>
      <c r="F33" s="26" t="s">
        <v>3</v>
      </c>
      <c r="G33" s="26" t="s">
        <v>3</v>
      </c>
      <c r="H33" s="27" t="s">
        <v>7</v>
      </c>
      <c r="I33" s="24" t="s">
        <v>9</v>
      </c>
      <c r="J33" s="26" t="s">
        <v>3</v>
      </c>
      <c r="K33" s="26" t="s">
        <v>3</v>
      </c>
      <c r="L33" s="26" t="s">
        <v>3</v>
      </c>
      <c r="M33" s="22" t="s">
        <v>5</v>
      </c>
      <c r="N33" s="22" t="s">
        <v>5</v>
      </c>
      <c r="O33" s="23" t="s">
        <v>7</v>
      </c>
      <c r="P33" s="24" t="s">
        <v>9</v>
      </c>
      <c r="Q33" s="26" t="s">
        <v>3</v>
      </c>
      <c r="R33" s="26" t="s">
        <v>3</v>
      </c>
      <c r="S33" s="26" t="s">
        <v>3</v>
      </c>
      <c r="T33" s="26" t="s">
        <v>3</v>
      </c>
      <c r="U33" s="26" t="s">
        <v>3</v>
      </c>
      <c r="V33" s="27" t="s">
        <v>7</v>
      </c>
      <c r="W33" s="24" t="s">
        <v>9</v>
      </c>
      <c r="X33" s="26" t="s">
        <v>3</v>
      </c>
      <c r="Y33" s="26" t="s">
        <v>3</v>
      </c>
      <c r="Z33" s="26" t="s">
        <v>3</v>
      </c>
      <c r="AA33" s="26" t="s">
        <v>3</v>
      </c>
      <c r="AB33" s="26" t="s">
        <v>3</v>
      </c>
      <c r="AC33" s="23" t="s">
        <v>7</v>
      </c>
      <c r="AD33" s="24" t="s">
        <v>9</v>
      </c>
      <c r="AE33" s="26" t="s">
        <v>3</v>
      </c>
      <c r="AF33" s="26" t="s">
        <v>3</v>
      </c>
      <c r="AG33" s="26" t="s">
        <v>3</v>
      </c>
      <c r="AH33" s="26" t="s">
        <v>3</v>
      </c>
      <c r="AI33" s="8">
        <f t="shared" si="8"/>
        <v>21</v>
      </c>
      <c r="AJ33" s="8">
        <f t="shared" si="9"/>
        <v>2</v>
      </c>
      <c r="AK33" s="8">
        <f t="shared" si="10"/>
        <v>0</v>
      </c>
      <c r="AL33" s="62">
        <v>2</v>
      </c>
      <c r="AM33" s="33">
        <f t="shared" si="11"/>
        <v>22</v>
      </c>
      <c r="AN33" s="63">
        <f t="shared" si="12"/>
        <v>184</v>
      </c>
      <c r="AO33" s="63">
        <f t="shared" si="13"/>
        <v>1</v>
      </c>
      <c r="AP33" s="63">
        <f t="shared" si="14"/>
        <v>4</v>
      </c>
      <c r="AQ33" s="53">
        <f t="shared" si="15"/>
        <v>21.5</v>
      </c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</row>
    <row r="34" spans="1:56" ht="22" customHeight="1" x14ac:dyDescent="0.35">
      <c r="A34" s="8" t="s">
        <v>97</v>
      </c>
      <c r="B34" s="8" t="s">
        <v>98</v>
      </c>
      <c r="C34" s="8" t="s">
        <v>74</v>
      </c>
      <c r="D34" s="22" t="s">
        <v>5</v>
      </c>
      <c r="E34" s="22" t="s">
        <v>5</v>
      </c>
      <c r="F34" s="22" t="s">
        <v>5</v>
      </c>
      <c r="G34" s="22" t="s">
        <v>5</v>
      </c>
      <c r="H34" s="23" t="s">
        <v>7</v>
      </c>
      <c r="I34" s="24" t="s">
        <v>9</v>
      </c>
      <c r="J34" s="22" t="s">
        <v>5</v>
      </c>
      <c r="K34" s="22" t="s">
        <v>5</v>
      </c>
      <c r="L34" s="22" t="s">
        <v>5</v>
      </c>
      <c r="M34" s="22" t="s">
        <v>5</v>
      </c>
      <c r="N34" s="22" t="s">
        <v>5</v>
      </c>
      <c r="O34" s="23" t="s">
        <v>7</v>
      </c>
      <c r="P34" s="24" t="s">
        <v>9</v>
      </c>
      <c r="Q34" s="22" t="s">
        <v>5</v>
      </c>
      <c r="R34" s="22" t="s">
        <v>5</v>
      </c>
      <c r="S34" s="22" t="s">
        <v>5</v>
      </c>
      <c r="T34" s="22" t="s">
        <v>5</v>
      </c>
      <c r="U34" s="22" t="s">
        <v>5</v>
      </c>
      <c r="V34" s="23" t="s">
        <v>7</v>
      </c>
      <c r="W34" s="24" t="s">
        <v>9</v>
      </c>
      <c r="X34" s="22" t="s">
        <v>5</v>
      </c>
      <c r="Y34" s="22" t="s">
        <v>5</v>
      </c>
      <c r="Z34" s="22" t="s">
        <v>5</v>
      </c>
      <c r="AA34" s="22" t="s">
        <v>5</v>
      </c>
      <c r="AB34" s="22" t="s">
        <v>5</v>
      </c>
      <c r="AC34" s="23" t="s">
        <v>7</v>
      </c>
      <c r="AD34" s="24" t="s">
        <v>9</v>
      </c>
      <c r="AE34" s="22" t="s">
        <v>5</v>
      </c>
      <c r="AF34" s="22" t="s">
        <v>5</v>
      </c>
      <c r="AG34" s="22" t="s">
        <v>5</v>
      </c>
      <c r="AH34" s="22" t="s">
        <v>5</v>
      </c>
      <c r="AI34" s="8">
        <f t="shared" si="8"/>
        <v>0</v>
      </c>
      <c r="AJ34" s="25">
        <f t="shared" si="9"/>
        <v>23</v>
      </c>
      <c r="AK34" s="8">
        <f t="shared" si="10"/>
        <v>0</v>
      </c>
      <c r="AL34" s="62">
        <v>0</v>
      </c>
      <c r="AM34" s="33">
        <f t="shared" si="11"/>
        <v>0</v>
      </c>
      <c r="AN34" s="63">
        <f t="shared" si="12"/>
        <v>184</v>
      </c>
      <c r="AO34" s="63">
        <f t="shared" si="13"/>
        <v>0</v>
      </c>
      <c r="AP34" s="63">
        <f t="shared" si="14"/>
        <v>0</v>
      </c>
      <c r="AQ34" s="53">
        <f t="shared" si="15"/>
        <v>0</v>
      </c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</row>
    <row r="35" spans="1:56" ht="22" customHeight="1" x14ac:dyDescent="0.35">
      <c r="A35" s="8" t="s">
        <v>99</v>
      </c>
      <c r="B35" s="8" t="s">
        <v>100</v>
      </c>
      <c r="C35" s="8" t="s">
        <v>74</v>
      </c>
      <c r="D35" s="22" t="s">
        <v>5</v>
      </c>
      <c r="E35" s="22" t="s">
        <v>5</v>
      </c>
      <c r="F35" s="26" t="s">
        <v>3</v>
      </c>
      <c r="G35" s="26" t="s">
        <v>3</v>
      </c>
      <c r="H35" s="27" t="s">
        <v>7</v>
      </c>
      <c r="I35" s="24" t="s">
        <v>9</v>
      </c>
      <c r="J35" s="26" t="s">
        <v>3</v>
      </c>
      <c r="K35" s="26" t="s">
        <v>3</v>
      </c>
      <c r="L35" s="26" t="s">
        <v>3</v>
      </c>
      <c r="M35" s="26" t="s">
        <v>3</v>
      </c>
      <c r="N35" s="26" t="s">
        <v>3</v>
      </c>
      <c r="O35" s="27" t="s">
        <v>7</v>
      </c>
      <c r="P35" s="24" t="s">
        <v>9</v>
      </c>
      <c r="Q35" s="26" t="s">
        <v>3</v>
      </c>
      <c r="R35" s="26" t="s">
        <v>3</v>
      </c>
      <c r="S35" s="26" t="s">
        <v>3</v>
      </c>
      <c r="T35" s="26" t="s">
        <v>3</v>
      </c>
      <c r="U35" s="26" t="s">
        <v>3</v>
      </c>
      <c r="V35" s="27" t="s">
        <v>7</v>
      </c>
      <c r="W35" s="24" t="s">
        <v>9</v>
      </c>
      <c r="X35" s="26" t="s">
        <v>3</v>
      </c>
      <c r="Y35" s="26" t="s">
        <v>3</v>
      </c>
      <c r="Z35" s="26" t="s">
        <v>3</v>
      </c>
      <c r="AA35" s="26" t="s">
        <v>3</v>
      </c>
      <c r="AB35" s="26" t="s">
        <v>3</v>
      </c>
      <c r="AC35" s="27" t="s">
        <v>7</v>
      </c>
      <c r="AD35" s="24" t="s">
        <v>9</v>
      </c>
      <c r="AE35" s="26" t="s">
        <v>3</v>
      </c>
      <c r="AF35" s="26" t="s">
        <v>3</v>
      </c>
      <c r="AG35" s="26" t="s">
        <v>3</v>
      </c>
      <c r="AH35" s="26" t="s">
        <v>3</v>
      </c>
      <c r="AI35" s="8">
        <f t="shared" si="8"/>
        <v>21</v>
      </c>
      <c r="AJ35" s="8">
        <f t="shared" si="9"/>
        <v>2</v>
      </c>
      <c r="AK35" s="8">
        <f t="shared" si="10"/>
        <v>0</v>
      </c>
      <c r="AL35" s="62">
        <v>4</v>
      </c>
      <c r="AM35" s="33">
        <f t="shared" si="11"/>
        <v>23</v>
      </c>
      <c r="AN35" s="63">
        <f t="shared" si="12"/>
        <v>184</v>
      </c>
      <c r="AO35" s="63">
        <f t="shared" si="13"/>
        <v>0</v>
      </c>
      <c r="AP35" s="63">
        <f t="shared" si="14"/>
        <v>0</v>
      </c>
      <c r="AQ35" s="53">
        <f t="shared" si="15"/>
        <v>23</v>
      </c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</row>
    <row r="36" spans="1:56" x14ac:dyDescent="0.35"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</row>
    <row r="37" spans="1:56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</row>
    <row r="38" spans="1:56" ht="22" customHeight="1" x14ac:dyDescent="0.35">
      <c r="A38" s="8" t="s">
        <v>102</v>
      </c>
      <c r="B38" s="8" t="s">
        <v>103</v>
      </c>
      <c r="C38" s="8" t="s">
        <v>104</v>
      </c>
      <c r="D38" s="26" t="s">
        <v>3</v>
      </c>
      <c r="E38" s="26" t="s">
        <v>3</v>
      </c>
      <c r="F38" s="26" t="s">
        <v>3</v>
      </c>
      <c r="G38" s="26" t="s">
        <v>3</v>
      </c>
      <c r="H38" s="27" t="s">
        <v>7</v>
      </c>
      <c r="I38" s="28" t="s">
        <v>11</v>
      </c>
      <c r="J38" s="22" t="s">
        <v>5</v>
      </c>
      <c r="K38" s="26" t="s">
        <v>3</v>
      </c>
      <c r="L38" s="26" t="s">
        <v>3</v>
      </c>
      <c r="M38" s="26" t="s">
        <v>3</v>
      </c>
      <c r="N38" s="26" t="s">
        <v>3</v>
      </c>
      <c r="O38" s="27" t="s">
        <v>7</v>
      </c>
      <c r="P38" s="28" t="s">
        <v>11</v>
      </c>
      <c r="Q38" s="26" t="s">
        <v>3</v>
      </c>
      <c r="R38" s="26" t="s">
        <v>3</v>
      </c>
      <c r="S38" s="26" t="s">
        <v>3</v>
      </c>
      <c r="T38" s="22" t="s">
        <v>5</v>
      </c>
      <c r="U38" s="26" t="s">
        <v>3</v>
      </c>
      <c r="V38" s="27" t="s">
        <v>7</v>
      </c>
      <c r="W38" s="28" t="s">
        <v>11</v>
      </c>
      <c r="X38" s="26" t="s">
        <v>3</v>
      </c>
      <c r="Y38" s="22" t="s">
        <v>5</v>
      </c>
      <c r="Z38" s="22" t="s">
        <v>5</v>
      </c>
      <c r="AA38" s="22" t="s">
        <v>5</v>
      </c>
      <c r="AB38" s="26" t="s">
        <v>3</v>
      </c>
      <c r="AC38" s="27" t="s">
        <v>7</v>
      </c>
      <c r="AD38" s="28" t="s">
        <v>11</v>
      </c>
      <c r="AE38" s="22" t="s">
        <v>5</v>
      </c>
      <c r="AF38" s="26" t="s">
        <v>3</v>
      </c>
      <c r="AG38" s="26" t="s">
        <v>3</v>
      </c>
      <c r="AH38" s="26" t="s">
        <v>3</v>
      </c>
      <c r="AI38" s="8">
        <f t="shared" ref="AI38:AI74" si="16">COUNTIF(D38:AH38,"ON")</f>
        <v>17</v>
      </c>
      <c r="AJ38" s="8">
        <f t="shared" ref="AJ38:AJ74" si="17">COUNTIF(D38:AH38,"OFF")</f>
        <v>6</v>
      </c>
      <c r="AK38" s="29">
        <f t="shared" ref="AK38:AK74" si="18">COUNTIF(D38:AH38,"OT")</f>
        <v>4</v>
      </c>
      <c r="AL38" s="62">
        <v>4</v>
      </c>
      <c r="AM38" s="33">
        <f t="shared" ref="AM38:AM74" si="19">AI38+AK38+AL38*0.5</f>
        <v>23</v>
      </c>
      <c r="AN38" s="63">
        <f t="shared" ref="AN38:AN74" si="20">NETWORKDAYS(DATE(2025,7,1),EOMONTH(DATE(2025,7,1),0))*8</f>
        <v>184</v>
      </c>
      <c r="AO38" s="63">
        <f t="shared" ref="AO38:AO74" si="21">MAX(0,COUNTIF(G38,"ON")+COUNTIF(N38,"ON")+COUNTIF(U38,"ON")+COUNTIF(AB38,"ON")-AL38)</f>
        <v>0</v>
      </c>
      <c r="AP38" s="63">
        <f t="shared" ref="AP38:AP74" si="22">AO38*$AP$2</f>
        <v>0</v>
      </c>
      <c r="AQ38" s="53">
        <f t="shared" ref="AQ38:AQ74" si="23">AM38-AP38/8</f>
        <v>23</v>
      </c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</row>
    <row r="39" spans="1:56" ht="22" customHeight="1" x14ac:dyDescent="0.35">
      <c r="A39" s="8" t="s">
        <v>105</v>
      </c>
      <c r="B39" s="8" t="s">
        <v>106</v>
      </c>
      <c r="C39" s="8" t="s">
        <v>104</v>
      </c>
      <c r="D39" s="26" t="s">
        <v>3</v>
      </c>
      <c r="E39" s="26" t="s">
        <v>3</v>
      </c>
      <c r="F39" s="26" t="s">
        <v>3</v>
      </c>
      <c r="G39" s="26" t="s">
        <v>3</v>
      </c>
      <c r="H39" s="23" t="s">
        <v>7</v>
      </c>
      <c r="I39" s="24" t="s">
        <v>9</v>
      </c>
      <c r="J39" s="26" t="s">
        <v>3</v>
      </c>
      <c r="K39" s="26" t="s">
        <v>3</v>
      </c>
      <c r="L39" s="26" t="s">
        <v>3</v>
      </c>
      <c r="M39" s="26" t="s">
        <v>3</v>
      </c>
      <c r="N39" s="26" t="s">
        <v>3</v>
      </c>
      <c r="O39" s="27" t="s">
        <v>7</v>
      </c>
      <c r="P39" s="28" t="s">
        <v>11</v>
      </c>
      <c r="Q39" s="26" t="s">
        <v>3</v>
      </c>
      <c r="R39" s="26" t="s">
        <v>3</v>
      </c>
      <c r="S39" s="26" t="s">
        <v>3</v>
      </c>
      <c r="T39" s="26" t="s">
        <v>3</v>
      </c>
      <c r="U39" s="26" t="s">
        <v>3</v>
      </c>
      <c r="V39" s="27" t="s">
        <v>7</v>
      </c>
      <c r="W39" s="28" t="s">
        <v>11</v>
      </c>
      <c r="X39" s="26" t="s">
        <v>3</v>
      </c>
      <c r="Y39" s="26" t="s">
        <v>3</v>
      </c>
      <c r="Z39" s="22" t="s">
        <v>5</v>
      </c>
      <c r="AA39" s="22" t="s">
        <v>5</v>
      </c>
      <c r="AB39" s="26" t="s">
        <v>3</v>
      </c>
      <c r="AC39" s="27" t="s">
        <v>7</v>
      </c>
      <c r="AD39" s="28" t="s">
        <v>11</v>
      </c>
      <c r="AE39" s="26" t="s">
        <v>3</v>
      </c>
      <c r="AF39" s="26" t="s">
        <v>3</v>
      </c>
      <c r="AG39" s="26" t="s">
        <v>3</v>
      </c>
      <c r="AH39" s="26" t="s">
        <v>3</v>
      </c>
      <c r="AI39" s="8">
        <f t="shared" si="16"/>
        <v>21</v>
      </c>
      <c r="AJ39" s="8">
        <f t="shared" si="17"/>
        <v>2</v>
      </c>
      <c r="AK39" s="29">
        <f t="shared" si="18"/>
        <v>3</v>
      </c>
      <c r="AL39" s="62">
        <v>3</v>
      </c>
      <c r="AM39" s="33">
        <f t="shared" si="19"/>
        <v>25.5</v>
      </c>
      <c r="AN39" s="63">
        <f t="shared" si="20"/>
        <v>184</v>
      </c>
      <c r="AO39" s="63">
        <f t="shared" si="21"/>
        <v>1</v>
      </c>
      <c r="AP39" s="63">
        <f t="shared" si="22"/>
        <v>4</v>
      </c>
      <c r="AQ39" s="53">
        <f t="shared" si="23"/>
        <v>25</v>
      </c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</row>
    <row r="40" spans="1:56" ht="22" customHeight="1" x14ac:dyDescent="0.35">
      <c r="A40" s="8" t="s">
        <v>107</v>
      </c>
      <c r="B40" s="8" t="s">
        <v>108</v>
      </c>
      <c r="C40" s="8" t="s">
        <v>104</v>
      </c>
      <c r="D40" s="26" t="s">
        <v>3</v>
      </c>
      <c r="E40" s="26" t="s">
        <v>3</v>
      </c>
      <c r="F40" s="26" t="s">
        <v>3</v>
      </c>
      <c r="G40" s="26" t="s">
        <v>3</v>
      </c>
      <c r="H40" s="27" t="s">
        <v>7</v>
      </c>
      <c r="I40" s="28" t="s">
        <v>11</v>
      </c>
      <c r="J40" s="26" t="s">
        <v>3</v>
      </c>
      <c r="K40" s="26" t="s">
        <v>3</v>
      </c>
      <c r="L40" s="26" t="s">
        <v>3</v>
      </c>
      <c r="M40" s="26" t="s">
        <v>3</v>
      </c>
      <c r="N40" s="26" t="s">
        <v>3</v>
      </c>
      <c r="O40" s="27" t="s">
        <v>7</v>
      </c>
      <c r="P40" s="28" t="s">
        <v>11</v>
      </c>
      <c r="Q40" s="26" t="s">
        <v>3</v>
      </c>
      <c r="R40" s="26" t="s">
        <v>3</v>
      </c>
      <c r="S40" s="26" t="s">
        <v>3</v>
      </c>
      <c r="T40" s="26" t="s">
        <v>3</v>
      </c>
      <c r="U40" s="26" t="s">
        <v>3</v>
      </c>
      <c r="V40" s="27" t="s">
        <v>7</v>
      </c>
      <c r="W40" s="28" t="s">
        <v>11</v>
      </c>
      <c r="X40" s="26" t="s">
        <v>3</v>
      </c>
      <c r="Y40" s="26" t="s">
        <v>3</v>
      </c>
      <c r="Z40" s="26" t="s">
        <v>3</v>
      </c>
      <c r="AA40" s="26" t="s">
        <v>3</v>
      </c>
      <c r="AB40" s="26" t="s">
        <v>3</v>
      </c>
      <c r="AC40" s="27" t="s">
        <v>7</v>
      </c>
      <c r="AD40" s="28" t="s">
        <v>11</v>
      </c>
      <c r="AE40" s="26" t="s">
        <v>3</v>
      </c>
      <c r="AF40" s="26" t="s">
        <v>3</v>
      </c>
      <c r="AG40" s="26" t="s">
        <v>3</v>
      </c>
      <c r="AH40" s="26" t="s">
        <v>3</v>
      </c>
      <c r="AI40" s="8">
        <f t="shared" si="16"/>
        <v>23</v>
      </c>
      <c r="AJ40" s="8">
        <f t="shared" si="17"/>
        <v>0</v>
      </c>
      <c r="AK40" s="29">
        <f t="shared" si="18"/>
        <v>4</v>
      </c>
      <c r="AL40" s="62">
        <v>4</v>
      </c>
      <c r="AM40" s="33">
        <f t="shared" si="19"/>
        <v>29</v>
      </c>
      <c r="AN40" s="63">
        <f t="shared" si="20"/>
        <v>184</v>
      </c>
      <c r="AO40" s="63">
        <f t="shared" si="21"/>
        <v>0</v>
      </c>
      <c r="AP40" s="63">
        <f t="shared" si="22"/>
        <v>0</v>
      </c>
      <c r="AQ40" s="53">
        <f t="shared" si="23"/>
        <v>29</v>
      </c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</row>
    <row r="41" spans="1:56" ht="22" customHeight="1" x14ac:dyDescent="0.35">
      <c r="A41" s="8" t="s">
        <v>109</v>
      </c>
      <c r="B41" s="8" t="s">
        <v>110</v>
      </c>
      <c r="C41" s="8" t="s">
        <v>104</v>
      </c>
      <c r="D41" s="26" t="s">
        <v>3</v>
      </c>
      <c r="E41" s="26" t="s">
        <v>3</v>
      </c>
      <c r="F41" s="26" t="s">
        <v>3</v>
      </c>
      <c r="G41" s="26" t="s">
        <v>3</v>
      </c>
      <c r="H41" s="23" t="s">
        <v>7</v>
      </c>
      <c r="I41" s="24" t="s">
        <v>9</v>
      </c>
      <c r="J41" s="26" t="s">
        <v>3</v>
      </c>
      <c r="K41" s="26" t="s">
        <v>3</v>
      </c>
      <c r="L41" s="26" t="s">
        <v>3</v>
      </c>
      <c r="M41" s="26" t="s">
        <v>3</v>
      </c>
      <c r="N41" s="26" t="s">
        <v>3</v>
      </c>
      <c r="O41" s="27" t="s">
        <v>7</v>
      </c>
      <c r="P41" s="28" t="s">
        <v>11</v>
      </c>
      <c r="Q41" s="26" t="s">
        <v>3</v>
      </c>
      <c r="R41" s="26" t="s">
        <v>3</v>
      </c>
      <c r="S41" s="26" t="s">
        <v>3</v>
      </c>
      <c r="T41" s="26" t="s">
        <v>3</v>
      </c>
      <c r="U41" s="22" t="s">
        <v>5</v>
      </c>
      <c r="V41" s="27" t="s">
        <v>7</v>
      </c>
      <c r="W41" s="28" t="s">
        <v>11</v>
      </c>
      <c r="X41" s="26" t="s">
        <v>3</v>
      </c>
      <c r="Y41" s="26" t="s">
        <v>3</v>
      </c>
      <c r="Z41" s="26" t="s">
        <v>3</v>
      </c>
      <c r="AA41" s="26" t="s">
        <v>3</v>
      </c>
      <c r="AB41" s="26" t="s">
        <v>3</v>
      </c>
      <c r="AC41" s="27" t="s">
        <v>7</v>
      </c>
      <c r="AD41" s="28" t="s">
        <v>11</v>
      </c>
      <c r="AE41" s="26" t="s">
        <v>3</v>
      </c>
      <c r="AF41" s="26" t="s">
        <v>3</v>
      </c>
      <c r="AG41" s="26" t="s">
        <v>3</v>
      </c>
      <c r="AH41" s="26" t="s">
        <v>3</v>
      </c>
      <c r="AI41" s="8">
        <f t="shared" si="16"/>
        <v>22</v>
      </c>
      <c r="AJ41" s="8">
        <f t="shared" si="17"/>
        <v>1</v>
      </c>
      <c r="AK41" s="29">
        <f t="shared" si="18"/>
        <v>3</v>
      </c>
      <c r="AL41" s="62">
        <v>3</v>
      </c>
      <c r="AM41" s="33">
        <f t="shared" si="19"/>
        <v>26.5</v>
      </c>
      <c r="AN41" s="63">
        <f t="shared" si="20"/>
        <v>184</v>
      </c>
      <c r="AO41" s="63">
        <f t="shared" si="21"/>
        <v>0</v>
      </c>
      <c r="AP41" s="63">
        <f t="shared" si="22"/>
        <v>0</v>
      </c>
      <c r="AQ41" s="53">
        <f t="shared" si="23"/>
        <v>26.5</v>
      </c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</row>
    <row r="42" spans="1:56" ht="22" customHeight="1" x14ac:dyDescent="0.35">
      <c r="A42" s="8" t="s">
        <v>111</v>
      </c>
      <c r="B42" s="8" t="s">
        <v>112</v>
      </c>
      <c r="C42" s="8" t="s">
        <v>104</v>
      </c>
      <c r="D42" s="26" t="s">
        <v>3</v>
      </c>
      <c r="E42" s="26" t="s">
        <v>3</v>
      </c>
      <c r="F42" s="26" t="s">
        <v>3</v>
      </c>
      <c r="G42" s="26" t="s">
        <v>3</v>
      </c>
      <c r="H42" s="27" t="s">
        <v>7</v>
      </c>
      <c r="I42" s="28" t="s">
        <v>11</v>
      </c>
      <c r="J42" s="26" t="s">
        <v>3</v>
      </c>
      <c r="K42" s="26" t="s">
        <v>3</v>
      </c>
      <c r="L42" s="26" t="s">
        <v>3</v>
      </c>
      <c r="M42" s="26" t="s">
        <v>3</v>
      </c>
      <c r="N42" s="26" t="s">
        <v>3</v>
      </c>
      <c r="O42" s="27" t="s">
        <v>7</v>
      </c>
      <c r="P42" s="28" t="s">
        <v>11</v>
      </c>
      <c r="Q42" s="26" t="s">
        <v>3</v>
      </c>
      <c r="R42" s="26" t="s">
        <v>3</v>
      </c>
      <c r="S42" s="26" t="s">
        <v>3</v>
      </c>
      <c r="T42" s="26" t="s">
        <v>3</v>
      </c>
      <c r="U42" s="26" t="s">
        <v>3</v>
      </c>
      <c r="V42" s="23" t="s">
        <v>7</v>
      </c>
      <c r="W42" s="24" t="s">
        <v>9</v>
      </c>
      <c r="X42" s="26" t="s">
        <v>3</v>
      </c>
      <c r="Y42" s="26" t="s">
        <v>3</v>
      </c>
      <c r="Z42" s="26" t="s">
        <v>3</v>
      </c>
      <c r="AA42" s="26" t="s">
        <v>3</v>
      </c>
      <c r="AB42" s="26" t="s">
        <v>3</v>
      </c>
      <c r="AC42" s="27" t="s">
        <v>7</v>
      </c>
      <c r="AD42" s="28" t="s">
        <v>11</v>
      </c>
      <c r="AE42" s="26" t="s">
        <v>3</v>
      </c>
      <c r="AF42" s="26" t="s">
        <v>3</v>
      </c>
      <c r="AG42" s="26" t="s">
        <v>3</v>
      </c>
      <c r="AH42" s="26" t="s">
        <v>3</v>
      </c>
      <c r="AI42" s="8">
        <f t="shared" si="16"/>
        <v>23</v>
      </c>
      <c r="AJ42" s="8">
        <f t="shared" si="17"/>
        <v>0</v>
      </c>
      <c r="AK42" s="29">
        <f t="shared" si="18"/>
        <v>3</v>
      </c>
      <c r="AL42" s="62">
        <v>3</v>
      </c>
      <c r="AM42" s="33">
        <f t="shared" si="19"/>
        <v>27.5</v>
      </c>
      <c r="AN42" s="63">
        <f t="shared" si="20"/>
        <v>184</v>
      </c>
      <c r="AO42" s="63">
        <f t="shared" si="21"/>
        <v>1</v>
      </c>
      <c r="AP42" s="63">
        <f t="shared" si="22"/>
        <v>4</v>
      </c>
      <c r="AQ42" s="53">
        <f t="shared" si="23"/>
        <v>27</v>
      </c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</row>
    <row r="43" spans="1:56" ht="22" customHeight="1" x14ac:dyDescent="0.35">
      <c r="A43" s="8" t="s">
        <v>113</v>
      </c>
      <c r="B43" s="8" t="s">
        <v>114</v>
      </c>
      <c r="C43" s="8" t="s">
        <v>104</v>
      </c>
      <c r="D43" s="26" t="s">
        <v>3</v>
      </c>
      <c r="E43" s="26" t="s">
        <v>3</v>
      </c>
      <c r="F43" s="26" t="s">
        <v>3</v>
      </c>
      <c r="G43" s="26" t="s">
        <v>3</v>
      </c>
      <c r="H43" s="27" t="s">
        <v>7</v>
      </c>
      <c r="I43" s="28" t="s">
        <v>11</v>
      </c>
      <c r="J43" s="26" t="s">
        <v>3</v>
      </c>
      <c r="K43" s="26" t="s">
        <v>3</v>
      </c>
      <c r="L43" s="26" t="s">
        <v>3</v>
      </c>
      <c r="M43" s="26" t="s">
        <v>3</v>
      </c>
      <c r="N43" s="26" t="s">
        <v>3</v>
      </c>
      <c r="O43" s="27" t="s">
        <v>7</v>
      </c>
      <c r="P43" s="28" t="s">
        <v>11</v>
      </c>
      <c r="Q43" s="26" t="s">
        <v>3</v>
      </c>
      <c r="R43" s="26" t="s">
        <v>3</v>
      </c>
      <c r="S43" s="26" t="s">
        <v>3</v>
      </c>
      <c r="T43" s="26" t="s">
        <v>3</v>
      </c>
      <c r="U43" s="26" t="s">
        <v>3</v>
      </c>
      <c r="V43" s="27" t="s">
        <v>7</v>
      </c>
      <c r="W43" s="28" t="s">
        <v>11</v>
      </c>
      <c r="X43" s="26" t="s">
        <v>3</v>
      </c>
      <c r="Y43" s="26" t="s">
        <v>3</v>
      </c>
      <c r="Z43" s="26" t="s">
        <v>3</v>
      </c>
      <c r="AA43" s="26" t="s">
        <v>3</v>
      </c>
      <c r="AB43" s="26" t="s">
        <v>3</v>
      </c>
      <c r="AC43" s="27" t="s">
        <v>7</v>
      </c>
      <c r="AD43" s="28" t="s">
        <v>11</v>
      </c>
      <c r="AE43" s="26" t="s">
        <v>3</v>
      </c>
      <c r="AF43" s="26" t="s">
        <v>3</v>
      </c>
      <c r="AG43" s="26" t="s">
        <v>3</v>
      </c>
      <c r="AH43" s="26" t="s">
        <v>3</v>
      </c>
      <c r="AI43" s="8">
        <f t="shared" si="16"/>
        <v>23</v>
      </c>
      <c r="AJ43" s="8">
        <f t="shared" si="17"/>
        <v>0</v>
      </c>
      <c r="AK43" s="29">
        <f t="shared" si="18"/>
        <v>4</v>
      </c>
      <c r="AL43" s="62">
        <v>4</v>
      </c>
      <c r="AM43" s="33">
        <f t="shared" si="19"/>
        <v>29</v>
      </c>
      <c r="AN43" s="63">
        <f t="shared" si="20"/>
        <v>184</v>
      </c>
      <c r="AO43" s="63">
        <f t="shared" si="21"/>
        <v>0</v>
      </c>
      <c r="AP43" s="63">
        <f t="shared" si="22"/>
        <v>0</v>
      </c>
      <c r="AQ43" s="53">
        <f t="shared" si="23"/>
        <v>29</v>
      </c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</row>
    <row r="44" spans="1:56" ht="22" customHeight="1" x14ac:dyDescent="0.35">
      <c r="A44" s="8" t="s">
        <v>115</v>
      </c>
      <c r="B44" s="8" t="s">
        <v>116</v>
      </c>
      <c r="C44" s="8" t="s">
        <v>104</v>
      </c>
      <c r="D44" s="22" t="s">
        <v>5</v>
      </c>
      <c r="E44" s="22" t="s">
        <v>5</v>
      </c>
      <c r="F44" s="22" t="s">
        <v>5</v>
      </c>
      <c r="G44" s="22" t="s">
        <v>5</v>
      </c>
      <c r="H44" s="27" t="s">
        <v>7</v>
      </c>
      <c r="I44" s="28" t="s">
        <v>11</v>
      </c>
      <c r="J44" s="26" t="s">
        <v>3</v>
      </c>
      <c r="K44" s="26" t="s">
        <v>3</v>
      </c>
      <c r="L44" s="26" t="s">
        <v>3</v>
      </c>
      <c r="M44" s="26" t="s">
        <v>3</v>
      </c>
      <c r="N44" s="26" t="s">
        <v>3</v>
      </c>
      <c r="O44" s="27" t="s">
        <v>7</v>
      </c>
      <c r="P44" s="28" t="s">
        <v>11</v>
      </c>
      <c r="Q44" s="26" t="s">
        <v>3</v>
      </c>
      <c r="R44" s="26" t="s">
        <v>3</v>
      </c>
      <c r="S44" s="26" t="s">
        <v>3</v>
      </c>
      <c r="T44" s="26" t="s">
        <v>3</v>
      </c>
      <c r="U44" s="26" t="s">
        <v>3</v>
      </c>
      <c r="V44" s="27" t="s">
        <v>7</v>
      </c>
      <c r="W44" s="28" t="s">
        <v>11</v>
      </c>
      <c r="X44" s="26" t="s">
        <v>3</v>
      </c>
      <c r="Y44" s="26" t="s">
        <v>3</v>
      </c>
      <c r="Z44" s="26" t="s">
        <v>3</v>
      </c>
      <c r="AA44" s="26" t="s">
        <v>3</v>
      </c>
      <c r="AB44" s="26" t="s">
        <v>3</v>
      </c>
      <c r="AC44" s="27" t="s">
        <v>7</v>
      </c>
      <c r="AD44" s="24" t="s">
        <v>9</v>
      </c>
      <c r="AE44" s="26" t="s">
        <v>3</v>
      </c>
      <c r="AF44" s="26" t="s">
        <v>3</v>
      </c>
      <c r="AG44" s="26" t="s">
        <v>3</v>
      </c>
      <c r="AH44" s="26" t="s">
        <v>3</v>
      </c>
      <c r="AI44" s="8">
        <f t="shared" si="16"/>
        <v>19</v>
      </c>
      <c r="AJ44" s="8">
        <f t="shared" si="17"/>
        <v>4</v>
      </c>
      <c r="AK44" s="29">
        <f t="shared" si="18"/>
        <v>3</v>
      </c>
      <c r="AL44" s="62">
        <v>4</v>
      </c>
      <c r="AM44" s="33">
        <f t="shared" si="19"/>
        <v>24</v>
      </c>
      <c r="AN44" s="63">
        <f t="shared" si="20"/>
        <v>184</v>
      </c>
      <c r="AO44" s="63">
        <f t="shared" si="21"/>
        <v>0</v>
      </c>
      <c r="AP44" s="63">
        <f t="shared" si="22"/>
        <v>0</v>
      </c>
      <c r="AQ44" s="53">
        <f t="shared" si="23"/>
        <v>24</v>
      </c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</row>
    <row r="45" spans="1:56" ht="22" customHeight="1" x14ac:dyDescent="0.35">
      <c r="A45" s="8" t="s">
        <v>117</v>
      </c>
      <c r="B45" s="8" t="s">
        <v>118</v>
      </c>
      <c r="C45" s="8" t="s">
        <v>104</v>
      </c>
      <c r="D45" s="26" t="s">
        <v>3</v>
      </c>
      <c r="E45" s="22" t="s">
        <v>5</v>
      </c>
      <c r="F45" s="22" t="s">
        <v>5</v>
      </c>
      <c r="G45" s="22" t="s">
        <v>5</v>
      </c>
      <c r="H45" s="27" t="s">
        <v>7</v>
      </c>
      <c r="I45" s="28" t="s">
        <v>11</v>
      </c>
      <c r="J45" s="26" t="s">
        <v>3</v>
      </c>
      <c r="K45" s="26" t="s">
        <v>3</v>
      </c>
      <c r="L45" s="26" t="s">
        <v>3</v>
      </c>
      <c r="M45" s="26" t="s">
        <v>3</v>
      </c>
      <c r="N45" s="26" t="s">
        <v>3</v>
      </c>
      <c r="O45" s="27" t="s">
        <v>7</v>
      </c>
      <c r="P45" s="28" t="s">
        <v>11</v>
      </c>
      <c r="Q45" s="26" t="s">
        <v>3</v>
      </c>
      <c r="R45" s="26" t="s">
        <v>3</v>
      </c>
      <c r="S45" s="26" t="s">
        <v>3</v>
      </c>
      <c r="T45" s="26" t="s">
        <v>3</v>
      </c>
      <c r="U45" s="26" t="s">
        <v>3</v>
      </c>
      <c r="V45" s="27" t="s">
        <v>7</v>
      </c>
      <c r="W45" s="28" t="s">
        <v>11</v>
      </c>
      <c r="X45" s="26" t="s">
        <v>3</v>
      </c>
      <c r="Y45" s="26" t="s">
        <v>3</v>
      </c>
      <c r="Z45" s="26" t="s">
        <v>3</v>
      </c>
      <c r="AA45" s="26" t="s">
        <v>3</v>
      </c>
      <c r="AB45" s="26" t="s">
        <v>3</v>
      </c>
      <c r="AC45" s="27" t="s">
        <v>7</v>
      </c>
      <c r="AD45" s="28" t="s">
        <v>11</v>
      </c>
      <c r="AE45" s="26" t="s">
        <v>3</v>
      </c>
      <c r="AF45" s="26" t="s">
        <v>3</v>
      </c>
      <c r="AG45" s="26" t="s">
        <v>3</v>
      </c>
      <c r="AH45" s="26" t="s">
        <v>3</v>
      </c>
      <c r="AI45" s="8">
        <f t="shared" si="16"/>
        <v>20</v>
      </c>
      <c r="AJ45" s="8">
        <f t="shared" si="17"/>
        <v>3</v>
      </c>
      <c r="AK45" s="29">
        <f t="shared" si="18"/>
        <v>4</v>
      </c>
      <c r="AL45" s="62">
        <v>4</v>
      </c>
      <c r="AM45" s="33">
        <f t="shared" si="19"/>
        <v>26</v>
      </c>
      <c r="AN45" s="63">
        <f t="shared" si="20"/>
        <v>184</v>
      </c>
      <c r="AO45" s="63">
        <f t="shared" si="21"/>
        <v>0</v>
      </c>
      <c r="AP45" s="63">
        <f t="shared" si="22"/>
        <v>0</v>
      </c>
      <c r="AQ45" s="53">
        <f t="shared" si="23"/>
        <v>26</v>
      </c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</row>
    <row r="46" spans="1:56" ht="22" customHeight="1" x14ac:dyDescent="0.35">
      <c r="A46" s="8" t="s">
        <v>119</v>
      </c>
      <c r="B46" s="8" t="s">
        <v>120</v>
      </c>
      <c r="C46" s="8" t="s">
        <v>104</v>
      </c>
      <c r="D46" s="26" t="s">
        <v>3</v>
      </c>
      <c r="E46" s="26" t="s">
        <v>3</v>
      </c>
      <c r="F46" s="26" t="s">
        <v>3</v>
      </c>
      <c r="G46" s="26" t="s">
        <v>3</v>
      </c>
      <c r="H46" s="27" t="s">
        <v>7</v>
      </c>
      <c r="I46" s="28" t="s">
        <v>11</v>
      </c>
      <c r="J46" s="26" t="s">
        <v>3</v>
      </c>
      <c r="K46" s="26" t="s">
        <v>3</v>
      </c>
      <c r="L46" s="26" t="s">
        <v>3</v>
      </c>
      <c r="M46" s="26" t="s">
        <v>3</v>
      </c>
      <c r="N46" s="26" t="s">
        <v>3</v>
      </c>
      <c r="O46" s="27" t="s">
        <v>7</v>
      </c>
      <c r="P46" s="28" t="s">
        <v>11</v>
      </c>
      <c r="Q46" s="26" t="s">
        <v>3</v>
      </c>
      <c r="R46" s="26" t="s">
        <v>3</v>
      </c>
      <c r="S46" s="26" t="s">
        <v>3</v>
      </c>
      <c r="T46" s="26" t="s">
        <v>3</v>
      </c>
      <c r="U46" s="26" t="s">
        <v>3</v>
      </c>
      <c r="V46" s="27" t="s">
        <v>7</v>
      </c>
      <c r="W46" s="28" t="s">
        <v>11</v>
      </c>
      <c r="X46" s="26" t="s">
        <v>3</v>
      </c>
      <c r="Y46" s="26" t="s">
        <v>3</v>
      </c>
      <c r="Z46" s="26" t="s">
        <v>3</v>
      </c>
      <c r="AA46" s="26" t="s">
        <v>3</v>
      </c>
      <c r="AB46" s="26" t="s">
        <v>3</v>
      </c>
      <c r="AC46" s="27" t="s">
        <v>7</v>
      </c>
      <c r="AD46" s="28" t="s">
        <v>11</v>
      </c>
      <c r="AE46" s="26" t="s">
        <v>3</v>
      </c>
      <c r="AF46" s="26" t="s">
        <v>3</v>
      </c>
      <c r="AG46" s="26" t="s">
        <v>3</v>
      </c>
      <c r="AH46" s="26" t="s">
        <v>3</v>
      </c>
      <c r="AI46" s="8">
        <f t="shared" si="16"/>
        <v>23</v>
      </c>
      <c r="AJ46" s="8">
        <f t="shared" si="17"/>
        <v>0</v>
      </c>
      <c r="AK46" s="29">
        <f t="shared" si="18"/>
        <v>4</v>
      </c>
      <c r="AL46" s="62">
        <v>4</v>
      </c>
      <c r="AM46" s="33">
        <f t="shared" si="19"/>
        <v>29</v>
      </c>
      <c r="AN46" s="63">
        <f t="shared" si="20"/>
        <v>184</v>
      </c>
      <c r="AO46" s="63">
        <f t="shared" si="21"/>
        <v>0</v>
      </c>
      <c r="AP46" s="63">
        <f t="shared" si="22"/>
        <v>0</v>
      </c>
      <c r="AQ46" s="53">
        <f t="shared" si="23"/>
        <v>29</v>
      </c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</row>
    <row r="47" spans="1:56" ht="22" customHeight="1" x14ac:dyDescent="0.35">
      <c r="A47" s="8" t="s">
        <v>121</v>
      </c>
      <c r="B47" s="8" t="s">
        <v>122</v>
      </c>
      <c r="C47" s="8" t="s">
        <v>104</v>
      </c>
      <c r="D47" s="26" t="s">
        <v>3</v>
      </c>
      <c r="E47" s="26" t="s">
        <v>3</v>
      </c>
      <c r="F47" s="26" t="s">
        <v>3</v>
      </c>
      <c r="G47" s="26" t="s">
        <v>3</v>
      </c>
      <c r="H47" s="27" t="s">
        <v>7</v>
      </c>
      <c r="I47" s="24" t="s">
        <v>9</v>
      </c>
      <c r="J47" s="26" t="s">
        <v>3</v>
      </c>
      <c r="K47" s="26" t="s">
        <v>3</v>
      </c>
      <c r="L47" s="26" t="s">
        <v>3</v>
      </c>
      <c r="M47" s="26" t="s">
        <v>3</v>
      </c>
      <c r="N47" s="26" t="s">
        <v>3</v>
      </c>
      <c r="O47" s="27" t="s">
        <v>7</v>
      </c>
      <c r="P47" s="28" t="s">
        <v>11</v>
      </c>
      <c r="Q47" s="26" t="s">
        <v>3</v>
      </c>
      <c r="R47" s="26" t="s">
        <v>3</v>
      </c>
      <c r="S47" s="26" t="s">
        <v>3</v>
      </c>
      <c r="T47" s="26" t="s">
        <v>3</v>
      </c>
      <c r="U47" s="26" t="s">
        <v>3</v>
      </c>
      <c r="V47" s="27" t="s">
        <v>7</v>
      </c>
      <c r="W47" s="28" t="s">
        <v>11</v>
      </c>
      <c r="X47" s="26" t="s">
        <v>3</v>
      </c>
      <c r="Y47" s="26" t="s">
        <v>3</v>
      </c>
      <c r="Z47" s="26" t="s">
        <v>3</v>
      </c>
      <c r="AA47" s="26" t="s">
        <v>3</v>
      </c>
      <c r="AB47" s="26" t="s">
        <v>3</v>
      </c>
      <c r="AC47" s="27" t="s">
        <v>7</v>
      </c>
      <c r="AD47" s="28" t="s">
        <v>11</v>
      </c>
      <c r="AE47" s="26" t="s">
        <v>3</v>
      </c>
      <c r="AF47" s="22" t="s">
        <v>5</v>
      </c>
      <c r="AG47" s="26" t="s">
        <v>3</v>
      </c>
      <c r="AH47" s="26" t="s">
        <v>3</v>
      </c>
      <c r="AI47" s="8">
        <f t="shared" si="16"/>
        <v>22</v>
      </c>
      <c r="AJ47" s="8">
        <f t="shared" si="17"/>
        <v>1</v>
      </c>
      <c r="AK47" s="29">
        <f t="shared" si="18"/>
        <v>3</v>
      </c>
      <c r="AL47" s="62">
        <v>4</v>
      </c>
      <c r="AM47" s="33">
        <f t="shared" si="19"/>
        <v>27</v>
      </c>
      <c r="AN47" s="63">
        <f t="shared" si="20"/>
        <v>184</v>
      </c>
      <c r="AO47" s="63">
        <f t="shared" si="21"/>
        <v>0</v>
      </c>
      <c r="AP47" s="63">
        <f t="shared" si="22"/>
        <v>0</v>
      </c>
      <c r="AQ47" s="53">
        <f t="shared" si="23"/>
        <v>27</v>
      </c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</row>
    <row r="48" spans="1:56" ht="22" customHeight="1" x14ac:dyDescent="0.35">
      <c r="A48" s="8" t="s">
        <v>123</v>
      </c>
      <c r="B48" s="8" t="s">
        <v>124</v>
      </c>
      <c r="C48" s="8" t="s">
        <v>104</v>
      </c>
      <c r="D48" s="26" t="s">
        <v>3</v>
      </c>
      <c r="E48" s="26" t="s">
        <v>3</v>
      </c>
      <c r="F48" s="26" t="s">
        <v>3</v>
      </c>
      <c r="G48" s="26" t="s">
        <v>3</v>
      </c>
      <c r="H48" s="27" t="s">
        <v>7</v>
      </c>
      <c r="I48" s="28" t="s">
        <v>11</v>
      </c>
      <c r="J48" s="26" t="s">
        <v>3</v>
      </c>
      <c r="K48" s="26" t="s">
        <v>3</v>
      </c>
      <c r="L48" s="26" t="s">
        <v>3</v>
      </c>
      <c r="M48" s="26" t="s">
        <v>3</v>
      </c>
      <c r="N48" s="26" t="s">
        <v>3</v>
      </c>
      <c r="O48" s="27" t="s">
        <v>7</v>
      </c>
      <c r="P48" s="28" t="s">
        <v>11</v>
      </c>
      <c r="Q48" s="26" t="s">
        <v>3</v>
      </c>
      <c r="R48" s="26" t="s">
        <v>3</v>
      </c>
      <c r="S48" s="26" t="s">
        <v>3</v>
      </c>
      <c r="T48" s="26" t="s">
        <v>3</v>
      </c>
      <c r="U48" s="26" t="s">
        <v>3</v>
      </c>
      <c r="V48" s="27" t="s">
        <v>7</v>
      </c>
      <c r="W48" s="28" t="s">
        <v>11</v>
      </c>
      <c r="X48" s="26" t="s">
        <v>3</v>
      </c>
      <c r="Y48" s="26" t="s">
        <v>3</v>
      </c>
      <c r="Z48" s="26" t="s">
        <v>3</v>
      </c>
      <c r="AA48" s="26" t="s">
        <v>3</v>
      </c>
      <c r="AB48" s="26" t="s">
        <v>3</v>
      </c>
      <c r="AC48" s="27" t="s">
        <v>7</v>
      </c>
      <c r="AD48" s="28" t="s">
        <v>11</v>
      </c>
      <c r="AE48" s="26" t="s">
        <v>3</v>
      </c>
      <c r="AF48" s="26" t="s">
        <v>3</v>
      </c>
      <c r="AG48" s="26" t="s">
        <v>3</v>
      </c>
      <c r="AH48" s="26" t="s">
        <v>3</v>
      </c>
      <c r="AI48" s="8">
        <f t="shared" si="16"/>
        <v>23</v>
      </c>
      <c r="AJ48" s="8">
        <f t="shared" si="17"/>
        <v>0</v>
      </c>
      <c r="AK48" s="29">
        <f t="shared" si="18"/>
        <v>4</v>
      </c>
      <c r="AL48" s="62">
        <v>4</v>
      </c>
      <c r="AM48" s="33">
        <f t="shared" si="19"/>
        <v>29</v>
      </c>
      <c r="AN48" s="63">
        <f t="shared" si="20"/>
        <v>184</v>
      </c>
      <c r="AO48" s="63">
        <f t="shared" si="21"/>
        <v>0</v>
      </c>
      <c r="AP48" s="63">
        <f t="shared" si="22"/>
        <v>0</v>
      </c>
      <c r="AQ48" s="53">
        <f t="shared" si="23"/>
        <v>29</v>
      </c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</row>
    <row r="49" spans="1:56" ht="22" customHeight="1" x14ac:dyDescent="0.35">
      <c r="A49" s="8" t="s">
        <v>125</v>
      </c>
      <c r="B49" s="8" t="s">
        <v>126</v>
      </c>
      <c r="C49" s="8" t="s">
        <v>104</v>
      </c>
      <c r="D49" s="26" t="s">
        <v>3</v>
      </c>
      <c r="E49" s="26" t="s">
        <v>3</v>
      </c>
      <c r="F49" s="26" t="s">
        <v>3</v>
      </c>
      <c r="G49" s="26" t="s">
        <v>3</v>
      </c>
      <c r="H49" s="27" t="s">
        <v>7</v>
      </c>
      <c r="I49" s="28" t="s">
        <v>11</v>
      </c>
      <c r="J49" s="26" t="s">
        <v>3</v>
      </c>
      <c r="K49" s="26" t="s">
        <v>3</v>
      </c>
      <c r="L49" s="26" t="s">
        <v>3</v>
      </c>
      <c r="M49" s="26" t="s">
        <v>3</v>
      </c>
      <c r="N49" s="26" t="s">
        <v>3</v>
      </c>
      <c r="O49" s="27" t="s">
        <v>7</v>
      </c>
      <c r="P49" s="28" t="s">
        <v>11</v>
      </c>
      <c r="Q49" s="26" t="s">
        <v>3</v>
      </c>
      <c r="R49" s="26" t="s">
        <v>3</v>
      </c>
      <c r="S49" s="26" t="s">
        <v>3</v>
      </c>
      <c r="T49" s="26" t="s">
        <v>3</v>
      </c>
      <c r="U49" s="26" t="s">
        <v>3</v>
      </c>
      <c r="V49" s="27" t="s">
        <v>7</v>
      </c>
      <c r="W49" s="28" t="s">
        <v>11</v>
      </c>
      <c r="X49" s="26" t="s">
        <v>3</v>
      </c>
      <c r="Y49" s="26" t="s">
        <v>3</v>
      </c>
      <c r="Z49" s="26" t="s">
        <v>3</v>
      </c>
      <c r="AA49" s="26" t="s">
        <v>3</v>
      </c>
      <c r="AB49" s="26" t="s">
        <v>3</v>
      </c>
      <c r="AC49" s="27" t="s">
        <v>7</v>
      </c>
      <c r="AD49" s="28" t="s">
        <v>11</v>
      </c>
      <c r="AE49" s="26" t="s">
        <v>3</v>
      </c>
      <c r="AF49" s="26" t="s">
        <v>3</v>
      </c>
      <c r="AG49" s="26" t="s">
        <v>3</v>
      </c>
      <c r="AH49" s="26" t="s">
        <v>3</v>
      </c>
      <c r="AI49" s="8">
        <f t="shared" si="16"/>
        <v>23</v>
      </c>
      <c r="AJ49" s="8">
        <f t="shared" si="17"/>
        <v>0</v>
      </c>
      <c r="AK49" s="29">
        <f t="shared" si="18"/>
        <v>4</v>
      </c>
      <c r="AL49" s="62">
        <v>4</v>
      </c>
      <c r="AM49" s="33">
        <f t="shared" si="19"/>
        <v>29</v>
      </c>
      <c r="AN49" s="63">
        <f t="shared" si="20"/>
        <v>184</v>
      </c>
      <c r="AO49" s="63">
        <f t="shared" si="21"/>
        <v>0</v>
      </c>
      <c r="AP49" s="63">
        <f t="shared" si="22"/>
        <v>0</v>
      </c>
      <c r="AQ49" s="53">
        <f t="shared" si="23"/>
        <v>29</v>
      </c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</row>
    <row r="50" spans="1:56" ht="22" customHeight="1" x14ac:dyDescent="0.35">
      <c r="A50" s="8" t="s">
        <v>127</v>
      </c>
      <c r="B50" s="8" t="s">
        <v>128</v>
      </c>
      <c r="C50" s="8" t="s">
        <v>104</v>
      </c>
      <c r="D50" s="26" t="s">
        <v>3</v>
      </c>
      <c r="E50" s="26" t="s">
        <v>3</v>
      </c>
      <c r="F50" s="26" t="s">
        <v>3</v>
      </c>
      <c r="G50" s="26" t="s">
        <v>3</v>
      </c>
      <c r="H50" s="27" t="s">
        <v>7</v>
      </c>
      <c r="I50" s="28" t="s">
        <v>11</v>
      </c>
      <c r="J50" s="26" t="s">
        <v>3</v>
      </c>
      <c r="K50" s="26" t="s">
        <v>3</v>
      </c>
      <c r="L50" s="26" t="s">
        <v>3</v>
      </c>
      <c r="M50" s="26" t="s">
        <v>3</v>
      </c>
      <c r="N50" s="26" t="s">
        <v>3</v>
      </c>
      <c r="O50" s="27" t="s">
        <v>7</v>
      </c>
      <c r="P50" s="28" t="s">
        <v>11</v>
      </c>
      <c r="Q50" s="26" t="s">
        <v>3</v>
      </c>
      <c r="R50" s="26" t="s">
        <v>3</v>
      </c>
      <c r="S50" s="26" t="s">
        <v>3</v>
      </c>
      <c r="T50" s="26" t="s">
        <v>3</v>
      </c>
      <c r="U50" s="26" t="s">
        <v>3</v>
      </c>
      <c r="V50" s="27" t="s">
        <v>7</v>
      </c>
      <c r="W50" s="28" t="s">
        <v>11</v>
      </c>
      <c r="X50" s="26" t="s">
        <v>3</v>
      </c>
      <c r="Y50" s="26" t="s">
        <v>3</v>
      </c>
      <c r="Z50" s="26" t="s">
        <v>3</v>
      </c>
      <c r="AA50" s="26" t="s">
        <v>3</v>
      </c>
      <c r="AB50" s="26" t="s">
        <v>3</v>
      </c>
      <c r="AC50" s="27" t="s">
        <v>7</v>
      </c>
      <c r="AD50" s="28" t="s">
        <v>11</v>
      </c>
      <c r="AE50" s="26" t="s">
        <v>3</v>
      </c>
      <c r="AF50" s="26" t="s">
        <v>3</v>
      </c>
      <c r="AG50" s="26" t="s">
        <v>3</v>
      </c>
      <c r="AH50" s="26" t="s">
        <v>3</v>
      </c>
      <c r="AI50" s="8">
        <f t="shared" si="16"/>
        <v>23</v>
      </c>
      <c r="AJ50" s="8">
        <f t="shared" si="17"/>
        <v>0</v>
      </c>
      <c r="AK50" s="29">
        <f t="shared" si="18"/>
        <v>4</v>
      </c>
      <c r="AL50" s="62">
        <v>4</v>
      </c>
      <c r="AM50" s="33">
        <f t="shared" si="19"/>
        <v>29</v>
      </c>
      <c r="AN50" s="63">
        <f t="shared" si="20"/>
        <v>184</v>
      </c>
      <c r="AO50" s="63">
        <f t="shared" si="21"/>
        <v>0</v>
      </c>
      <c r="AP50" s="63">
        <f t="shared" si="22"/>
        <v>0</v>
      </c>
      <c r="AQ50" s="53">
        <f t="shared" si="23"/>
        <v>29</v>
      </c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</row>
    <row r="51" spans="1:56" ht="22" customHeight="1" x14ac:dyDescent="0.35">
      <c r="A51" s="8" t="s">
        <v>129</v>
      </c>
      <c r="B51" s="8" t="s">
        <v>130</v>
      </c>
      <c r="C51" s="8" t="s">
        <v>104</v>
      </c>
      <c r="D51" s="26" t="s">
        <v>3</v>
      </c>
      <c r="E51" s="26" t="s">
        <v>3</v>
      </c>
      <c r="F51" s="26" t="s">
        <v>3</v>
      </c>
      <c r="G51" s="26" t="s">
        <v>3</v>
      </c>
      <c r="H51" s="27" t="s">
        <v>7</v>
      </c>
      <c r="I51" s="28" t="s">
        <v>11</v>
      </c>
      <c r="J51" s="26" t="s">
        <v>3</v>
      </c>
      <c r="K51" s="26" t="s">
        <v>3</v>
      </c>
      <c r="L51" s="26" t="s">
        <v>3</v>
      </c>
      <c r="M51" s="26" t="s">
        <v>3</v>
      </c>
      <c r="N51" s="26" t="s">
        <v>3</v>
      </c>
      <c r="O51" s="27" t="s">
        <v>7</v>
      </c>
      <c r="P51" s="28" t="s">
        <v>11</v>
      </c>
      <c r="Q51" s="26" t="s">
        <v>3</v>
      </c>
      <c r="R51" s="26" t="s">
        <v>3</v>
      </c>
      <c r="S51" s="26" t="s">
        <v>3</v>
      </c>
      <c r="T51" s="26" t="s">
        <v>3</v>
      </c>
      <c r="U51" s="26" t="s">
        <v>3</v>
      </c>
      <c r="V51" s="27" t="s">
        <v>7</v>
      </c>
      <c r="W51" s="28" t="s">
        <v>11</v>
      </c>
      <c r="X51" s="26" t="s">
        <v>3</v>
      </c>
      <c r="Y51" s="22" t="s">
        <v>5</v>
      </c>
      <c r="Z51" s="22" t="s">
        <v>5</v>
      </c>
      <c r="AA51" s="26" t="s">
        <v>3</v>
      </c>
      <c r="AB51" s="26" t="s">
        <v>3</v>
      </c>
      <c r="AC51" s="27" t="s">
        <v>7</v>
      </c>
      <c r="AD51" s="28" t="s">
        <v>11</v>
      </c>
      <c r="AE51" s="26" t="s">
        <v>3</v>
      </c>
      <c r="AF51" s="26" t="s">
        <v>3</v>
      </c>
      <c r="AG51" s="26" t="s">
        <v>3</v>
      </c>
      <c r="AH51" s="26" t="s">
        <v>3</v>
      </c>
      <c r="AI51" s="8">
        <f t="shared" si="16"/>
        <v>21</v>
      </c>
      <c r="AJ51" s="8">
        <f t="shared" si="17"/>
        <v>2</v>
      </c>
      <c r="AK51" s="29">
        <f t="shared" si="18"/>
        <v>4</v>
      </c>
      <c r="AL51" s="62">
        <v>4</v>
      </c>
      <c r="AM51" s="33">
        <f t="shared" si="19"/>
        <v>27</v>
      </c>
      <c r="AN51" s="63">
        <f t="shared" si="20"/>
        <v>184</v>
      </c>
      <c r="AO51" s="63">
        <f t="shared" si="21"/>
        <v>0</v>
      </c>
      <c r="AP51" s="63">
        <f t="shared" si="22"/>
        <v>0</v>
      </c>
      <c r="AQ51" s="53">
        <f t="shared" si="23"/>
        <v>27</v>
      </c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</row>
    <row r="52" spans="1:56" ht="22" customHeight="1" x14ac:dyDescent="0.35">
      <c r="A52" s="8" t="s">
        <v>131</v>
      </c>
      <c r="B52" s="8" t="s">
        <v>132</v>
      </c>
      <c r="C52" s="8" t="s">
        <v>104</v>
      </c>
      <c r="D52" s="22" t="s">
        <v>5</v>
      </c>
      <c r="E52" s="22" t="s">
        <v>5</v>
      </c>
      <c r="F52" s="26" t="s">
        <v>3</v>
      </c>
      <c r="G52" s="26" t="s">
        <v>3</v>
      </c>
      <c r="H52" s="27" t="s">
        <v>7</v>
      </c>
      <c r="I52" s="28" t="s">
        <v>11</v>
      </c>
      <c r="J52" s="26" t="s">
        <v>3</v>
      </c>
      <c r="K52" s="26" t="s">
        <v>3</v>
      </c>
      <c r="L52" s="26" t="s">
        <v>3</v>
      </c>
      <c r="M52" s="26" t="s">
        <v>3</v>
      </c>
      <c r="N52" s="26" t="s">
        <v>3</v>
      </c>
      <c r="O52" s="27" t="s">
        <v>7</v>
      </c>
      <c r="P52" s="28" t="s">
        <v>11</v>
      </c>
      <c r="Q52" s="26" t="s">
        <v>3</v>
      </c>
      <c r="R52" s="26" t="s">
        <v>3</v>
      </c>
      <c r="S52" s="26" t="s">
        <v>3</v>
      </c>
      <c r="T52" s="26" t="s">
        <v>3</v>
      </c>
      <c r="U52" s="22" t="s">
        <v>5</v>
      </c>
      <c r="V52" s="27" t="s">
        <v>7</v>
      </c>
      <c r="W52" s="28" t="s">
        <v>11</v>
      </c>
      <c r="X52" s="26" t="s">
        <v>3</v>
      </c>
      <c r="Y52" s="26" t="s">
        <v>3</v>
      </c>
      <c r="Z52" s="26" t="s">
        <v>3</v>
      </c>
      <c r="AA52" s="26" t="s">
        <v>3</v>
      </c>
      <c r="AB52" s="26" t="s">
        <v>3</v>
      </c>
      <c r="AC52" s="27" t="s">
        <v>7</v>
      </c>
      <c r="AD52" s="28" t="s">
        <v>11</v>
      </c>
      <c r="AE52" s="26" t="s">
        <v>3</v>
      </c>
      <c r="AF52" s="26" t="s">
        <v>3</v>
      </c>
      <c r="AG52" s="26" t="s">
        <v>3</v>
      </c>
      <c r="AH52" s="26" t="s">
        <v>3</v>
      </c>
      <c r="AI52" s="8">
        <f t="shared" si="16"/>
        <v>20</v>
      </c>
      <c r="AJ52" s="8">
        <f t="shared" si="17"/>
        <v>3</v>
      </c>
      <c r="AK52" s="29">
        <f t="shared" si="18"/>
        <v>4</v>
      </c>
      <c r="AL52" s="62">
        <v>4</v>
      </c>
      <c r="AM52" s="33">
        <f t="shared" si="19"/>
        <v>26</v>
      </c>
      <c r="AN52" s="63">
        <f t="shared" si="20"/>
        <v>184</v>
      </c>
      <c r="AO52" s="63">
        <f t="shared" si="21"/>
        <v>0</v>
      </c>
      <c r="AP52" s="63">
        <f t="shared" si="22"/>
        <v>0</v>
      </c>
      <c r="AQ52" s="53">
        <f t="shared" si="23"/>
        <v>26</v>
      </c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</row>
    <row r="53" spans="1:56" ht="22" customHeight="1" x14ac:dyDescent="0.35">
      <c r="A53" s="8" t="s">
        <v>133</v>
      </c>
      <c r="B53" s="8" t="s">
        <v>134</v>
      </c>
      <c r="C53" s="8" t="s">
        <v>104</v>
      </c>
      <c r="D53" s="26" t="s">
        <v>3</v>
      </c>
      <c r="E53" s="26" t="s">
        <v>3</v>
      </c>
      <c r="F53" s="26" t="s">
        <v>3</v>
      </c>
      <c r="G53" s="26" t="s">
        <v>3</v>
      </c>
      <c r="H53" s="27" t="s">
        <v>7</v>
      </c>
      <c r="I53" s="28" t="s">
        <v>11</v>
      </c>
      <c r="J53" s="26" t="s">
        <v>3</v>
      </c>
      <c r="K53" s="26" t="s">
        <v>3</v>
      </c>
      <c r="L53" s="26" t="s">
        <v>3</v>
      </c>
      <c r="M53" s="26" t="s">
        <v>3</v>
      </c>
      <c r="N53" s="26" t="s">
        <v>3</v>
      </c>
      <c r="O53" s="27" t="s">
        <v>7</v>
      </c>
      <c r="P53" s="28" t="s">
        <v>11</v>
      </c>
      <c r="Q53" s="26" t="s">
        <v>3</v>
      </c>
      <c r="R53" s="26" t="s">
        <v>3</v>
      </c>
      <c r="S53" s="26" t="s">
        <v>3</v>
      </c>
      <c r="T53" s="26" t="s">
        <v>3</v>
      </c>
      <c r="U53" s="26" t="s">
        <v>3</v>
      </c>
      <c r="V53" s="27" t="s">
        <v>7</v>
      </c>
      <c r="W53" s="28" t="s">
        <v>11</v>
      </c>
      <c r="X53" s="26" t="s">
        <v>3</v>
      </c>
      <c r="Y53" s="26" t="s">
        <v>3</v>
      </c>
      <c r="Z53" s="26" t="s">
        <v>3</v>
      </c>
      <c r="AA53" s="26" t="s">
        <v>3</v>
      </c>
      <c r="AB53" s="26" t="s">
        <v>3</v>
      </c>
      <c r="AC53" s="23" t="s">
        <v>7</v>
      </c>
      <c r="AD53" s="28" t="s">
        <v>11</v>
      </c>
      <c r="AE53" s="26" t="s">
        <v>3</v>
      </c>
      <c r="AF53" s="26" t="s">
        <v>3</v>
      </c>
      <c r="AG53" s="22" t="s">
        <v>5</v>
      </c>
      <c r="AH53" s="26" t="s">
        <v>3</v>
      </c>
      <c r="AI53" s="8">
        <f t="shared" si="16"/>
        <v>22</v>
      </c>
      <c r="AJ53" s="8">
        <f t="shared" si="17"/>
        <v>1</v>
      </c>
      <c r="AK53" s="29">
        <f t="shared" si="18"/>
        <v>4</v>
      </c>
      <c r="AL53" s="62">
        <v>3</v>
      </c>
      <c r="AM53" s="33">
        <f t="shared" si="19"/>
        <v>27.5</v>
      </c>
      <c r="AN53" s="63">
        <f t="shared" si="20"/>
        <v>184</v>
      </c>
      <c r="AO53" s="63">
        <f t="shared" si="21"/>
        <v>1</v>
      </c>
      <c r="AP53" s="63">
        <f t="shared" si="22"/>
        <v>4</v>
      </c>
      <c r="AQ53" s="53">
        <f t="shared" si="23"/>
        <v>27</v>
      </c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</row>
    <row r="54" spans="1:56" ht="22" customHeight="1" x14ac:dyDescent="0.35">
      <c r="A54" s="8" t="s">
        <v>135</v>
      </c>
      <c r="B54" s="8" t="s">
        <v>136</v>
      </c>
      <c r="C54" s="8" t="s">
        <v>104</v>
      </c>
      <c r="D54" s="26" t="s">
        <v>3</v>
      </c>
      <c r="E54" s="26" t="s">
        <v>3</v>
      </c>
      <c r="F54" s="26" t="s">
        <v>3</v>
      </c>
      <c r="G54" s="26" t="s">
        <v>3</v>
      </c>
      <c r="H54" s="27" t="s">
        <v>7</v>
      </c>
      <c r="I54" s="24" t="s">
        <v>9</v>
      </c>
      <c r="J54" s="22" t="s">
        <v>5</v>
      </c>
      <c r="K54" s="22" t="s">
        <v>5</v>
      </c>
      <c r="L54" s="26" t="s">
        <v>3</v>
      </c>
      <c r="M54" s="26" t="s">
        <v>3</v>
      </c>
      <c r="N54" s="26" t="s">
        <v>3</v>
      </c>
      <c r="O54" s="27" t="s">
        <v>7</v>
      </c>
      <c r="P54" s="28" t="s">
        <v>11</v>
      </c>
      <c r="Q54" s="26" t="s">
        <v>3</v>
      </c>
      <c r="R54" s="26" t="s">
        <v>3</v>
      </c>
      <c r="S54" s="26" t="s">
        <v>3</v>
      </c>
      <c r="T54" s="26" t="s">
        <v>3</v>
      </c>
      <c r="U54" s="26" t="s">
        <v>3</v>
      </c>
      <c r="V54" s="27" t="s">
        <v>7</v>
      </c>
      <c r="W54" s="28" t="s">
        <v>11</v>
      </c>
      <c r="X54" s="22" t="s">
        <v>5</v>
      </c>
      <c r="Y54" s="22" t="s">
        <v>5</v>
      </c>
      <c r="Z54" s="26" t="s">
        <v>3</v>
      </c>
      <c r="AA54" s="22" t="s">
        <v>5</v>
      </c>
      <c r="AB54" s="22" t="s">
        <v>5</v>
      </c>
      <c r="AC54" s="23" t="s">
        <v>7</v>
      </c>
      <c r="AD54" s="24" t="s">
        <v>9</v>
      </c>
      <c r="AE54" s="22" t="s">
        <v>5</v>
      </c>
      <c r="AF54" s="22" t="s">
        <v>5</v>
      </c>
      <c r="AG54" s="26" t="s">
        <v>3</v>
      </c>
      <c r="AH54" s="26" t="s">
        <v>3</v>
      </c>
      <c r="AI54" s="8">
        <f t="shared" si="16"/>
        <v>15</v>
      </c>
      <c r="AJ54" s="8">
        <f t="shared" si="17"/>
        <v>8</v>
      </c>
      <c r="AK54" s="29">
        <f t="shared" si="18"/>
        <v>2</v>
      </c>
      <c r="AL54" s="62">
        <v>3</v>
      </c>
      <c r="AM54" s="33">
        <f t="shared" si="19"/>
        <v>18.5</v>
      </c>
      <c r="AN54" s="63">
        <f t="shared" si="20"/>
        <v>184</v>
      </c>
      <c r="AO54" s="63">
        <f t="shared" si="21"/>
        <v>0</v>
      </c>
      <c r="AP54" s="63">
        <f t="shared" si="22"/>
        <v>0</v>
      </c>
      <c r="AQ54" s="53">
        <f t="shared" si="23"/>
        <v>18.5</v>
      </c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</row>
    <row r="55" spans="1:56" ht="22" customHeight="1" x14ac:dyDescent="0.35">
      <c r="A55" s="8" t="s">
        <v>137</v>
      </c>
      <c r="B55" s="8" t="s">
        <v>138</v>
      </c>
      <c r="C55" s="8" t="s">
        <v>104</v>
      </c>
      <c r="D55" s="26" t="s">
        <v>3</v>
      </c>
      <c r="E55" s="26" t="s">
        <v>3</v>
      </c>
      <c r="F55" s="26" t="s">
        <v>3</v>
      </c>
      <c r="G55" s="26" t="s">
        <v>3</v>
      </c>
      <c r="H55" s="27" t="s">
        <v>7</v>
      </c>
      <c r="I55" s="28" t="s">
        <v>11</v>
      </c>
      <c r="J55" s="26" t="s">
        <v>3</v>
      </c>
      <c r="K55" s="26" t="s">
        <v>3</v>
      </c>
      <c r="L55" s="26" t="s">
        <v>3</v>
      </c>
      <c r="M55" s="26" t="s">
        <v>3</v>
      </c>
      <c r="N55" s="26" t="s">
        <v>3</v>
      </c>
      <c r="O55" s="27" t="s">
        <v>7</v>
      </c>
      <c r="P55" s="28" t="s">
        <v>11</v>
      </c>
      <c r="Q55" s="26" t="s">
        <v>3</v>
      </c>
      <c r="R55" s="26" t="s">
        <v>3</v>
      </c>
      <c r="S55" s="26" t="s">
        <v>3</v>
      </c>
      <c r="T55" s="26" t="s">
        <v>3</v>
      </c>
      <c r="U55" s="26" t="s">
        <v>3</v>
      </c>
      <c r="V55" s="27" t="s">
        <v>7</v>
      </c>
      <c r="W55" s="28" t="s">
        <v>11</v>
      </c>
      <c r="X55" s="26" t="s">
        <v>3</v>
      </c>
      <c r="Y55" s="26" t="s">
        <v>3</v>
      </c>
      <c r="Z55" s="26" t="s">
        <v>3</v>
      </c>
      <c r="AA55" s="22" t="s">
        <v>5</v>
      </c>
      <c r="AB55" s="22" t="s">
        <v>5</v>
      </c>
      <c r="AC55" s="27" t="s">
        <v>7</v>
      </c>
      <c r="AD55" s="28" t="s">
        <v>11</v>
      </c>
      <c r="AE55" s="26" t="s">
        <v>3</v>
      </c>
      <c r="AF55" s="26" t="s">
        <v>3</v>
      </c>
      <c r="AG55" s="26" t="s">
        <v>3</v>
      </c>
      <c r="AH55" s="26" t="s">
        <v>3</v>
      </c>
      <c r="AI55" s="8">
        <f t="shared" si="16"/>
        <v>21</v>
      </c>
      <c r="AJ55" s="8">
        <f t="shared" si="17"/>
        <v>2</v>
      </c>
      <c r="AK55" s="29">
        <f t="shared" si="18"/>
        <v>4</v>
      </c>
      <c r="AL55" s="62">
        <v>4</v>
      </c>
      <c r="AM55" s="33">
        <f t="shared" si="19"/>
        <v>27</v>
      </c>
      <c r="AN55" s="63">
        <f t="shared" si="20"/>
        <v>184</v>
      </c>
      <c r="AO55" s="63">
        <f t="shared" si="21"/>
        <v>0</v>
      </c>
      <c r="AP55" s="63">
        <f t="shared" si="22"/>
        <v>0</v>
      </c>
      <c r="AQ55" s="53">
        <f t="shared" si="23"/>
        <v>27</v>
      </c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</row>
    <row r="56" spans="1:56" ht="22" customHeight="1" x14ac:dyDescent="0.35">
      <c r="A56" s="8" t="s">
        <v>139</v>
      </c>
      <c r="B56" s="8" t="s">
        <v>140</v>
      </c>
      <c r="C56" s="8" t="s">
        <v>104</v>
      </c>
      <c r="D56" s="26" t="s">
        <v>3</v>
      </c>
      <c r="E56" s="26" t="s">
        <v>3</v>
      </c>
      <c r="F56" s="26" t="s">
        <v>3</v>
      </c>
      <c r="G56" s="26" t="s">
        <v>3</v>
      </c>
      <c r="H56" s="23" t="s">
        <v>7</v>
      </c>
      <c r="I56" s="24" t="s">
        <v>9</v>
      </c>
      <c r="J56" s="22" t="s">
        <v>5</v>
      </c>
      <c r="K56" s="22" t="s">
        <v>5</v>
      </c>
      <c r="L56" s="26" t="s">
        <v>3</v>
      </c>
      <c r="M56" s="26" t="s">
        <v>3</v>
      </c>
      <c r="N56" s="26" t="s">
        <v>3</v>
      </c>
      <c r="O56" s="27" t="s">
        <v>7</v>
      </c>
      <c r="P56" s="28" t="s">
        <v>11</v>
      </c>
      <c r="Q56" s="26" t="s">
        <v>3</v>
      </c>
      <c r="R56" s="26" t="s">
        <v>3</v>
      </c>
      <c r="S56" s="26" t="s">
        <v>3</v>
      </c>
      <c r="T56" s="26" t="s">
        <v>3</v>
      </c>
      <c r="U56" s="26" t="s">
        <v>3</v>
      </c>
      <c r="V56" s="27" t="s">
        <v>7</v>
      </c>
      <c r="W56" s="28" t="s">
        <v>11</v>
      </c>
      <c r="X56" s="26" t="s">
        <v>3</v>
      </c>
      <c r="Y56" s="26" t="s">
        <v>3</v>
      </c>
      <c r="Z56" s="26" t="s">
        <v>3</v>
      </c>
      <c r="AA56" s="26" t="s">
        <v>3</v>
      </c>
      <c r="AB56" s="26" t="s">
        <v>3</v>
      </c>
      <c r="AC56" s="27" t="s">
        <v>7</v>
      </c>
      <c r="AD56" s="28" t="s">
        <v>11</v>
      </c>
      <c r="AE56" s="26" t="s">
        <v>3</v>
      </c>
      <c r="AF56" s="26" t="s">
        <v>3</v>
      </c>
      <c r="AG56" s="26" t="s">
        <v>3</v>
      </c>
      <c r="AH56" s="22" t="s">
        <v>5</v>
      </c>
      <c r="AI56" s="8">
        <f t="shared" si="16"/>
        <v>20</v>
      </c>
      <c r="AJ56" s="8">
        <f t="shared" si="17"/>
        <v>3</v>
      </c>
      <c r="AK56" s="29">
        <f t="shared" si="18"/>
        <v>3</v>
      </c>
      <c r="AL56" s="62">
        <v>3</v>
      </c>
      <c r="AM56" s="33">
        <f t="shared" si="19"/>
        <v>24.5</v>
      </c>
      <c r="AN56" s="63">
        <f t="shared" si="20"/>
        <v>184</v>
      </c>
      <c r="AO56" s="63">
        <f t="shared" si="21"/>
        <v>1</v>
      </c>
      <c r="AP56" s="63">
        <f t="shared" si="22"/>
        <v>4</v>
      </c>
      <c r="AQ56" s="53">
        <f t="shared" si="23"/>
        <v>24</v>
      </c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spans="1:56" ht="22" customHeight="1" x14ac:dyDescent="0.35">
      <c r="A57" s="8" t="s">
        <v>141</v>
      </c>
      <c r="B57" s="8" t="s">
        <v>142</v>
      </c>
      <c r="C57" s="8" t="s">
        <v>104</v>
      </c>
      <c r="D57" s="22" t="s">
        <v>5</v>
      </c>
      <c r="E57" s="26" t="s">
        <v>3</v>
      </c>
      <c r="F57" s="26" t="s">
        <v>3</v>
      </c>
      <c r="G57" s="26" t="s">
        <v>3</v>
      </c>
      <c r="H57" s="27" t="s">
        <v>7</v>
      </c>
      <c r="I57" s="28" t="s">
        <v>11</v>
      </c>
      <c r="J57" s="26" t="s">
        <v>3</v>
      </c>
      <c r="K57" s="26" t="s">
        <v>3</v>
      </c>
      <c r="L57" s="26" t="s">
        <v>3</v>
      </c>
      <c r="M57" s="26" t="s">
        <v>3</v>
      </c>
      <c r="N57" s="26" t="s">
        <v>3</v>
      </c>
      <c r="O57" s="27" t="s">
        <v>7</v>
      </c>
      <c r="P57" s="28" t="s">
        <v>11</v>
      </c>
      <c r="Q57" s="26" t="s">
        <v>3</v>
      </c>
      <c r="R57" s="26" t="s">
        <v>3</v>
      </c>
      <c r="S57" s="26" t="s">
        <v>3</v>
      </c>
      <c r="T57" s="26" t="s">
        <v>3</v>
      </c>
      <c r="U57" s="26" t="s">
        <v>3</v>
      </c>
      <c r="V57" s="27" t="s">
        <v>7</v>
      </c>
      <c r="W57" s="28" t="s">
        <v>11</v>
      </c>
      <c r="X57" s="26" t="s">
        <v>3</v>
      </c>
      <c r="Y57" s="22" t="s">
        <v>5</v>
      </c>
      <c r="Z57" s="26" t="s">
        <v>3</v>
      </c>
      <c r="AA57" s="26" t="s">
        <v>3</v>
      </c>
      <c r="AB57" s="26" t="s">
        <v>3</v>
      </c>
      <c r="AC57" s="27" t="s">
        <v>7</v>
      </c>
      <c r="AD57" s="28" t="s">
        <v>11</v>
      </c>
      <c r="AE57" s="26" t="s">
        <v>3</v>
      </c>
      <c r="AF57" s="26" t="s">
        <v>3</v>
      </c>
      <c r="AG57" s="26" t="s">
        <v>3</v>
      </c>
      <c r="AH57" s="26" t="s">
        <v>3</v>
      </c>
      <c r="AI57" s="8">
        <f t="shared" si="16"/>
        <v>21</v>
      </c>
      <c r="AJ57" s="8">
        <f t="shared" si="17"/>
        <v>2</v>
      </c>
      <c r="AK57" s="29">
        <f t="shared" si="18"/>
        <v>4</v>
      </c>
      <c r="AL57" s="62">
        <v>4</v>
      </c>
      <c r="AM57" s="33">
        <f t="shared" si="19"/>
        <v>27</v>
      </c>
      <c r="AN57" s="63">
        <f t="shared" si="20"/>
        <v>184</v>
      </c>
      <c r="AO57" s="63">
        <f t="shared" si="21"/>
        <v>0</v>
      </c>
      <c r="AP57" s="63">
        <f t="shared" si="22"/>
        <v>0</v>
      </c>
      <c r="AQ57" s="53">
        <f t="shared" si="23"/>
        <v>27</v>
      </c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</row>
    <row r="58" spans="1:56" ht="22" customHeight="1" x14ac:dyDescent="0.35">
      <c r="A58" s="8" t="s">
        <v>143</v>
      </c>
      <c r="B58" s="8" t="s">
        <v>144</v>
      </c>
      <c r="C58" s="8" t="s">
        <v>104</v>
      </c>
      <c r="D58" s="26" t="s">
        <v>3</v>
      </c>
      <c r="E58" s="26" t="s">
        <v>3</v>
      </c>
      <c r="F58" s="26" t="s">
        <v>3</v>
      </c>
      <c r="G58" s="22" t="s">
        <v>5</v>
      </c>
      <c r="H58" s="27" t="s">
        <v>7</v>
      </c>
      <c r="I58" s="28" t="s">
        <v>11</v>
      </c>
      <c r="J58" s="26" t="s">
        <v>3</v>
      </c>
      <c r="K58" s="26" t="s">
        <v>3</v>
      </c>
      <c r="L58" s="26" t="s">
        <v>3</v>
      </c>
      <c r="M58" s="26" t="s">
        <v>3</v>
      </c>
      <c r="N58" s="26" t="s">
        <v>3</v>
      </c>
      <c r="O58" s="27" t="s">
        <v>7</v>
      </c>
      <c r="P58" s="28" t="s">
        <v>11</v>
      </c>
      <c r="Q58" s="26" t="s">
        <v>3</v>
      </c>
      <c r="R58" s="26" t="s">
        <v>3</v>
      </c>
      <c r="S58" s="26" t="s">
        <v>3</v>
      </c>
      <c r="T58" s="26" t="s">
        <v>3</v>
      </c>
      <c r="U58" s="26" t="s">
        <v>3</v>
      </c>
      <c r="V58" s="27" t="s">
        <v>7</v>
      </c>
      <c r="W58" s="28" t="s">
        <v>11</v>
      </c>
      <c r="X58" s="26" t="s">
        <v>3</v>
      </c>
      <c r="Y58" s="26" t="s">
        <v>3</v>
      </c>
      <c r="Z58" s="26" t="s">
        <v>3</v>
      </c>
      <c r="AA58" s="26" t="s">
        <v>3</v>
      </c>
      <c r="AB58" s="26" t="s">
        <v>3</v>
      </c>
      <c r="AC58" s="27" t="s">
        <v>7</v>
      </c>
      <c r="AD58" s="28" t="s">
        <v>11</v>
      </c>
      <c r="AE58" s="22" t="s">
        <v>5</v>
      </c>
      <c r="AF58" s="26" t="s">
        <v>3</v>
      </c>
      <c r="AG58" s="26" t="s">
        <v>3</v>
      </c>
      <c r="AH58" s="26" t="s">
        <v>3</v>
      </c>
      <c r="AI58" s="8">
        <f t="shared" si="16"/>
        <v>21</v>
      </c>
      <c r="AJ58" s="8">
        <f t="shared" si="17"/>
        <v>2</v>
      </c>
      <c r="AK58" s="29">
        <f t="shared" si="18"/>
        <v>4</v>
      </c>
      <c r="AL58" s="62">
        <v>4</v>
      </c>
      <c r="AM58" s="33">
        <f t="shared" si="19"/>
        <v>27</v>
      </c>
      <c r="AN58" s="63">
        <f t="shared" si="20"/>
        <v>184</v>
      </c>
      <c r="AO58" s="63">
        <f t="shared" si="21"/>
        <v>0</v>
      </c>
      <c r="AP58" s="63">
        <f t="shared" si="22"/>
        <v>0</v>
      </c>
      <c r="AQ58" s="53">
        <f t="shared" si="23"/>
        <v>27</v>
      </c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</row>
    <row r="59" spans="1:56" ht="22" customHeight="1" x14ac:dyDescent="0.35">
      <c r="A59" s="8" t="s">
        <v>145</v>
      </c>
      <c r="B59" s="8" t="s">
        <v>146</v>
      </c>
      <c r="C59" s="8" t="s">
        <v>104</v>
      </c>
      <c r="D59" s="26" t="s">
        <v>3</v>
      </c>
      <c r="E59" s="26" t="s">
        <v>3</v>
      </c>
      <c r="F59" s="26" t="s">
        <v>3</v>
      </c>
      <c r="G59" s="26" t="s">
        <v>3</v>
      </c>
      <c r="H59" s="27" t="s">
        <v>7</v>
      </c>
      <c r="I59" s="28" t="s">
        <v>11</v>
      </c>
      <c r="J59" s="22" t="s">
        <v>5</v>
      </c>
      <c r="K59" s="26" t="s">
        <v>3</v>
      </c>
      <c r="L59" s="26" t="s">
        <v>3</v>
      </c>
      <c r="M59" s="26" t="s">
        <v>3</v>
      </c>
      <c r="N59" s="26" t="s">
        <v>3</v>
      </c>
      <c r="O59" s="27" t="s">
        <v>7</v>
      </c>
      <c r="P59" s="28" t="s">
        <v>11</v>
      </c>
      <c r="Q59" s="26" t="s">
        <v>3</v>
      </c>
      <c r="R59" s="26" t="s">
        <v>3</v>
      </c>
      <c r="S59" s="26" t="s">
        <v>3</v>
      </c>
      <c r="T59" s="26" t="s">
        <v>3</v>
      </c>
      <c r="U59" s="26" t="s">
        <v>3</v>
      </c>
      <c r="V59" s="27" t="s">
        <v>7</v>
      </c>
      <c r="W59" s="28" t="s">
        <v>11</v>
      </c>
      <c r="X59" s="26" t="s">
        <v>3</v>
      </c>
      <c r="Y59" s="26" t="s">
        <v>3</v>
      </c>
      <c r="Z59" s="26" t="s">
        <v>3</v>
      </c>
      <c r="AA59" s="26" t="s">
        <v>3</v>
      </c>
      <c r="AB59" s="26" t="s">
        <v>3</v>
      </c>
      <c r="AC59" s="27" t="s">
        <v>7</v>
      </c>
      <c r="AD59" s="28" t="s">
        <v>11</v>
      </c>
      <c r="AE59" s="26" t="s">
        <v>3</v>
      </c>
      <c r="AF59" s="26" t="s">
        <v>3</v>
      </c>
      <c r="AG59" s="26" t="s">
        <v>3</v>
      </c>
      <c r="AH59" s="26" t="s">
        <v>3</v>
      </c>
      <c r="AI59" s="8">
        <f t="shared" si="16"/>
        <v>22</v>
      </c>
      <c r="AJ59" s="8">
        <f t="shared" si="17"/>
        <v>1</v>
      </c>
      <c r="AK59" s="29">
        <f t="shared" si="18"/>
        <v>4</v>
      </c>
      <c r="AL59" s="62">
        <v>4</v>
      </c>
      <c r="AM59" s="33">
        <f t="shared" si="19"/>
        <v>28</v>
      </c>
      <c r="AN59" s="63">
        <f t="shared" si="20"/>
        <v>184</v>
      </c>
      <c r="AO59" s="63">
        <f t="shared" si="21"/>
        <v>0</v>
      </c>
      <c r="AP59" s="63">
        <f t="shared" si="22"/>
        <v>0</v>
      </c>
      <c r="AQ59" s="53">
        <f t="shared" si="23"/>
        <v>28</v>
      </c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</row>
    <row r="60" spans="1:56" ht="22" customHeight="1" x14ac:dyDescent="0.35">
      <c r="A60" s="8" t="s">
        <v>147</v>
      </c>
      <c r="B60" s="8" t="s">
        <v>148</v>
      </c>
      <c r="C60" s="8" t="s">
        <v>104</v>
      </c>
      <c r="D60" s="22" t="s">
        <v>5</v>
      </c>
      <c r="E60" s="22" t="s">
        <v>5</v>
      </c>
      <c r="F60" s="26" t="s">
        <v>3</v>
      </c>
      <c r="G60" s="26" t="s">
        <v>3</v>
      </c>
      <c r="H60" s="27" t="s">
        <v>7</v>
      </c>
      <c r="I60" s="28" t="s">
        <v>11</v>
      </c>
      <c r="J60" s="26" t="s">
        <v>3</v>
      </c>
      <c r="K60" s="26" t="s">
        <v>3</v>
      </c>
      <c r="L60" s="22" t="s">
        <v>5</v>
      </c>
      <c r="M60" s="22" t="s">
        <v>5</v>
      </c>
      <c r="N60" s="22" t="s">
        <v>5</v>
      </c>
      <c r="O60" s="23" t="s">
        <v>7</v>
      </c>
      <c r="P60" s="24" t="s">
        <v>9</v>
      </c>
      <c r="Q60" s="22" t="s">
        <v>5</v>
      </c>
      <c r="R60" s="22" t="s">
        <v>5</v>
      </c>
      <c r="S60" s="26" t="s">
        <v>3</v>
      </c>
      <c r="T60" s="26" t="s">
        <v>3</v>
      </c>
      <c r="U60" s="26" t="s">
        <v>3</v>
      </c>
      <c r="V60" s="27" t="s">
        <v>7</v>
      </c>
      <c r="W60" s="28" t="s">
        <v>11</v>
      </c>
      <c r="X60" s="26" t="s">
        <v>3</v>
      </c>
      <c r="Y60" s="26" t="s">
        <v>3</v>
      </c>
      <c r="Z60" s="26" t="s">
        <v>3</v>
      </c>
      <c r="AA60" s="26" t="s">
        <v>3</v>
      </c>
      <c r="AB60" s="26" t="s">
        <v>3</v>
      </c>
      <c r="AC60" s="27" t="s">
        <v>7</v>
      </c>
      <c r="AD60" s="24" t="s">
        <v>9</v>
      </c>
      <c r="AE60" s="26" t="s">
        <v>3</v>
      </c>
      <c r="AF60" s="26" t="s">
        <v>3</v>
      </c>
      <c r="AG60" s="26" t="s">
        <v>3</v>
      </c>
      <c r="AH60" s="26" t="s">
        <v>3</v>
      </c>
      <c r="AI60" s="8">
        <f t="shared" si="16"/>
        <v>16</v>
      </c>
      <c r="AJ60" s="8">
        <f t="shared" si="17"/>
        <v>7</v>
      </c>
      <c r="AK60" s="29">
        <f t="shared" si="18"/>
        <v>2</v>
      </c>
      <c r="AL60" s="62">
        <v>3</v>
      </c>
      <c r="AM60" s="33">
        <f t="shared" si="19"/>
        <v>19.5</v>
      </c>
      <c r="AN60" s="63">
        <f t="shared" si="20"/>
        <v>184</v>
      </c>
      <c r="AO60" s="63">
        <f t="shared" si="21"/>
        <v>0</v>
      </c>
      <c r="AP60" s="63">
        <f t="shared" si="22"/>
        <v>0</v>
      </c>
      <c r="AQ60" s="53">
        <f t="shared" si="23"/>
        <v>19.5</v>
      </c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</row>
    <row r="61" spans="1:56" ht="22" customHeight="1" x14ac:dyDescent="0.35">
      <c r="A61" s="8" t="s">
        <v>149</v>
      </c>
      <c r="B61" s="8" t="s">
        <v>150</v>
      </c>
      <c r="C61" s="8" t="s">
        <v>104</v>
      </c>
      <c r="D61" s="26" t="s">
        <v>3</v>
      </c>
      <c r="E61" s="26" t="s">
        <v>3</v>
      </c>
      <c r="F61" s="22" t="s">
        <v>5</v>
      </c>
      <c r="G61" s="22" t="s">
        <v>5</v>
      </c>
      <c r="H61" s="27" t="s">
        <v>7</v>
      </c>
      <c r="I61" s="28" t="s">
        <v>11</v>
      </c>
      <c r="J61" s="26" t="s">
        <v>3</v>
      </c>
      <c r="K61" s="26" t="s">
        <v>3</v>
      </c>
      <c r="L61" s="26" t="s">
        <v>3</v>
      </c>
      <c r="M61" s="26" t="s">
        <v>3</v>
      </c>
      <c r="N61" s="26" t="s">
        <v>3</v>
      </c>
      <c r="O61" s="27" t="s">
        <v>7</v>
      </c>
      <c r="P61" s="28" t="s">
        <v>11</v>
      </c>
      <c r="Q61" s="26" t="s">
        <v>3</v>
      </c>
      <c r="R61" s="26" t="s">
        <v>3</v>
      </c>
      <c r="S61" s="26" t="s">
        <v>3</v>
      </c>
      <c r="T61" s="26" t="s">
        <v>3</v>
      </c>
      <c r="U61" s="26" t="s">
        <v>3</v>
      </c>
      <c r="V61" s="27" t="s">
        <v>7</v>
      </c>
      <c r="W61" s="28" t="s">
        <v>11</v>
      </c>
      <c r="X61" s="26" t="s">
        <v>3</v>
      </c>
      <c r="Y61" s="26" t="s">
        <v>3</v>
      </c>
      <c r="Z61" s="26" t="s">
        <v>3</v>
      </c>
      <c r="AA61" s="26" t="s">
        <v>3</v>
      </c>
      <c r="AB61" s="26" t="s">
        <v>3</v>
      </c>
      <c r="AC61" s="27" t="s">
        <v>7</v>
      </c>
      <c r="AD61" s="28" t="s">
        <v>11</v>
      </c>
      <c r="AE61" s="26" t="s">
        <v>3</v>
      </c>
      <c r="AF61" s="26" t="s">
        <v>3</v>
      </c>
      <c r="AG61" s="26" t="s">
        <v>3</v>
      </c>
      <c r="AH61" s="26" t="s">
        <v>3</v>
      </c>
      <c r="AI61" s="8">
        <f t="shared" si="16"/>
        <v>21</v>
      </c>
      <c r="AJ61" s="8">
        <f t="shared" si="17"/>
        <v>2</v>
      </c>
      <c r="AK61" s="29">
        <f t="shared" si="18"/>
        <v>4</v>
      </c>
      <c r="AL61" s="62">
        <v>4</v>
      </c>
      <c r="AM61" s="33">
        <f t="shared" si="19"/>
        <v>27</v>
      </c>
      <c r="AN61" s="63">
        <f t="shared" si="20"/>
        <v>184</v>
      </c>
      <c r="AO61" s="63">
        <f t="shared" si="21"/>
        <v>0</v>
      </c>
      <c r="AP61" s="63">
        <f t="shared" si="22"/>
        <v>0</v>
      </c>
      <c r="AQ61" s="53">
        <f t="shared" si="23"/>
        <v>27</v>
      </c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</row>
    <row r="62" spans="1:56" ht="22" customHeight="1" x14ac:dyDescent="0.35">
      <c r="A62" s="8" t="s">
        <v>151</v>
      </c>
      <c r="B62" s="8" t="s">
        <v>152</v>
      </c>
      <c r="C62" s="8" t="s">
        <v>104</v>
      </c>
      <c r="D62" s="26" t="s">
        <v>3</v>
      </c>
      <c r="E62" s="26" t="s">
        <v>3</v>
      </c>
      <c r="F62" s="22" t="s">
        <v>5</v>
      </c>
      <c r="G62" s="22" t="s">
        <v>5</v>
      </c>
      <c r="H62" s="27" t="s">
        <v>7</v>
      </c>
      <c r="I62" s="28" t="s">
        <v>11</v>
      </c>
      <c r="J62" s="26" t="s">
        <v>3</v>
      </c>
      <c r="K62" s="26" t="s">
        <v>3</v>
      </c>
      <c r="L62" s="26" t="s">
        <v>3</v>
      </c>
      <c r="M62" s="26" t="s">
        <v>3</v>
      </c>
      <c r="N62" s="26" t="s">
        <v>3</v>
      </c>
      <c r="O62" s="27" t="s">
        <v>7</v>
      </c>
      <c r="P62" s="28" t="s">
        <v>11</v>
      </c>
      <c r="Q62" s="26" t="s">
        <v>3</v>
      </c>
      <c r="R62" s="26" t="s">
        <v>3</v>
      </c>
      <c r="S62" s="26" t="s">
        <v>3</v>
      </c>
      <c r="T62" s="26" t="s">
        <v>3</v>
      </c>
      <c r="U62" s="26" t="s">
        <v>3</v>
      </c>
      <c r="V62" s="27" t="s">
        <v>7</v>
      </c>
      <c r="W62" s="28" t="s">
        <v>11</v>
      </c>
      <c r="X62" s="22" t="s">
        <v>5</v>
      </c>
      <c r="Y62" s="22" t="s">
        <v>5</v>
      </c>
      <c r="Z62" s="22" t="s">
        <v>5</v>
      </c>
      <c r="AA62" s="26" t="s">
        <v>3</v>
      </c>
      <c r="AB62" s="26" t="s">
        <v>3</v>
      </c>
      <c r="AC62" s="27" t="s">
        <v>7</v>
      </c>
      <c r="AD62" s="28" t="s">
        <v>11</v>
      </c>
      <c r="AE62" s="26" t="s">
        <v>3</v>
      </c>
      <c r="AF62" s="22" t="s">
        <v>5</v>
      </c>
      <c r="AG62" s="22" t="s">
        <v>5</v>
      </c>
      <c r="AH62" s="22" t="s">
        <v>5</v>
      </c>
      <c r="AI62" s="8">
        <f t="shared" si="16"/>
        <v>15</v>
      </c>
      <c r="AJ62" s="8">
        <f t="shared" si="17"/>
        <v>8</v>
      </c>
      <c r="AK62" s="29">
        <f t="shared" si="18"/>
        <v>4</v>
      </c>
      <c r="AL62" s="62">
        <v>4</v>
      </c>
      <c r="AM62" s="33">
        <f t="shared" si="19"/>
        <v>21</v>
      </c>
      <c r="AN62" s="63">
        <f t="shared" si="20"/>
        <v>184</v>
      </c>
      <c r="AO62" s="63">
        <f t="shared" si="21"/>
        <v>0</v>
      </c>
      <c r="AP62" s="63">
        <f t="shared" si="22"/>
        <v>0</v>
      </c>
      <c r="AQ62" s="53">
        <f t="shared" si="23"/>
        <v>21</v>
      </c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</row>
    <row r="63" spans="1:56" ht="22" customHeight="1" x14ac:dyDescent="0.35">
      <c r="A63" s="8" t="s">
        <v>153</v>
      </c>
      <c r="B63" s="8" t="s">
        <v>154</v>
      </c>
      <c r="C63" s="8" t="s">
        <v>104</v>
      </c>
      <c r="D63" s="26" t="s">
        <v>3</v>
      </c>
      <c r="E63" s="26" t="s">
        <v>3</v>
      </c>
      <c r="F63" s="26" t="s">
        <v>3</v>
      </c>
      <c r="G63" s="26" t="s">
        <v>3</v>
      </c>
      <c r="H63" s="27" t="s">
        <v>7</v>
      </c>
      <c r="I63" s="28" t="s">
        <v>11</v>
      </c>
      <c r="J63" s="26" t="s">
        <v>3</v>
      </c>
      <c r="K63" s="26" t="s">
        <v>3</v>
      </c>
      <c r="L63" s="26" t="s">
        <v>3</v>
      </c>
      <c r="M63" s="26" t="s">
        <v>3</v>
      </c>
      <c r="N63" s="26" t="s">
        <v>3</v>
      </c>
      <c r="O63" s="27" t="s">
        <v>7</v>
      </c>
      <c r="P63" s="28" t="s">
        <v>11</v>
      </c>
      <c r="Q63" s="26" t="s">
        <v>3</v>
      </c>
      <c r="R63" s="26" t="s">
        <v>3</v>
      </c>
      <c r="S63" s="26" t="s">
        <v>3</v>
      </c>
      <c r="T63" s="26" t="s">
        <v>3</v>
      </c>
      <c r="U63" s="26" t="s">
        <v>3</v>
      </c>
      <c r="V63" s="27" t="s">
        <v>7</v>
      </c>
      <c r="W63" s="28" t="s">
        <v>11</v>
      </c>
      <c r="X63" s="26" t="s">
        <v>3</v>
      </c>
      <c r="Y63" s="26" t="s">
        <v>3</v>
      </c>
      <c r="Z63" s="26" t="s">
        <v>3</v>
      </c>
      <c r="AA63" s="26" t="s">
        <v>3</v>
      </c>
      <c r="AB63" s="26" t="s">
        <v>3</v>
      </c>
      <c r="AC63" s="27" t="s">
        <v>7</v>
      </c>
      <c r="AD63" s="28" t="s">
        <v>11</v>
      </c>
      <c r="AE63" s="22" t="s">
        <v>5</v>
      </c>
      <c r="AF63" s="26" t="s">
        <v>3</v>
      </c>
      <c r="AG63" s="26" t="s">
        <v>3</v>
      </c>
      <c r="AH63" s="26" t="s">
        <v>3</v>
      </c>
      <c r="AI63" s="8">
        <f t="shared" si="16"/>
        <v>22</v>
      </c>
      <c r="AJ63" s="8">
        <f t="shared" si="17"/>
        <v>1</v>
      </c>
      <c r="AK63" s="29">
        <f t="shared" si="18"/>
        <v>4</v>
      </c>
      <c r="AL63" s="62">
        <v>4</v>
      </c>
      <c r="AM63" s="33">
        <f t="shared" si="19"/>
        <v>28</v>
      </c>
      <c r="AN63" s="63">
        <f t="shared" si="20"/>
        <v>184</v>
      </c>
      <c r="AO63" s="63">
        <f t="shared" si="21"/>
        <v>0</v>
      </c>
      <c r="AP63" s="63">
        <f t="shared" si="22"/>
        <v>0</v>
      </c>
      <c r="AQ63" s="53">
        <f t="shared" si="23"/>
        <v>28</v>
      </c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</row>
    <row r="64" spans="1:56" ht="22" customHeight="1" x14ac:dyDescent="0.35">
      <c r="A64" s="8" t="s">
        <v>155</v>
      </c>
      <c r="B64" s="8" t="s">
        <v>156</v>
      </c>
      <c r="C64" s="8" t="s">
        <v>104</v>
      </c>
      <c r="D64" s="26" t="s">
        <v>3</v>
      </c>
      <c r="E64" s="26" t="s">
        <v>3</v>
      </c>
      <c r="F64" s="26" t="s">
        <v>3</v>
      </c>
      <c r="G64" s="26" t="s">
        <v>3</v>
      </c>
      <c r="H64" s="27" t="s">
        <v>7</v>
      </c>
      <c r="I64" s="28" t="s">
        <v>11</v>
      </c>
      <c r="J64" s="26" t="s">
        <v>3</v>
      </c>
      <c r="K64" s="26" t="s">
        <v>3</v>
      </c>
      <c r="L64" s="26" t="s">
        <v>3</v>
      </c>
      <c r="M64" s="26" t="s">
        <v>3</v>
      </c>
      <c r="N64" s="26" t="s">
        <v>3</v>
      </c>
      <c r="O64" s="27" t="s">
        <v>7</v>
      </c>
      <c r="P64" s="28" t="s">
        <v>11</v>
      </c>
      <c r="Q64" s="26" t="s">
        <v>3</v>
      </c>
      <c r="R64" s="26" t="s">
        <v>3</v>
      </c>
      <c r="S64" s="26" t="s">
        <v>3</v>
      </c>
      <c r="T64" s="26" t="s">
        <v>3</v>
      </c>
      <c r="U64" s="26" t="s">
        <v>3</v>
      </c>
      <c r="V64" s="27" t="s">
        <v>7</v>
      </c>
      <c r="W64" s="28" t="s">
        <v>11</v>
      </c>
      <c r="X64" s="26" t="s">
        <v>3</v>
      </c>
      <c r="Y64" s="26" t="s">
        <v>3</v>
      </c>
      <c r="Z64" s="26" t="s">
        <v>3</v>
      </c>
      <c r="AA64" s="26" t="s">
        <v>3</v>
      </c>
      <c r="AB64" s="26" t="s">
        <v>3</v>
      </c>
      <c r="AC64" s="23" t="s">
        <v>7</v>
      </c>
      <c r="AD64" s="24" t="s">
        <v>9</v>
      </c>
      <c r="AE64" s="22" t="s">
        <v>5</v>
      </c>
      <c r="AF64" s="22" t="s">
        <v>5</v>
      </c>
      <c r="AG64" s="22" t="s">
        <v>5</v>
      </c>
      <c r="AH64" s="26" t="s">
        <v>3</v>
      </c>
      <c r="AI64" s="8">
        <f t="shared" si="16"/>
        <v>20</v>
      </c>
      <c r="AJ64" s="8">
        <f t="shared" si="17"/>
        <v>3</v>
      </c>
      <c r="AK64" s="29">
        <f t="shared" si="18"/>
        <v>3</v>
      </c>
      <c r="AL64" s="62">
        <v>3</v>
      </c>
      <c r="AM64" s="33">
        <f t="shared" si="19"/>
        <v>24.5</v>
      </c>
      <c r="AN64" s="63">
        <f t="shared" si="20"/>
        <v>184</v>
      </c>
      <c r="AO64" s="63">
        <f t="shared" si="21"/>
        <v>1</v>
      </c>
      <c r="AP64" s="63">
        <f t="shared" si="22"/>
        <v>4</v>
      </c>
      <c r="AQ64" s="53">
        <f t="shared" si="23"/>
        <v>24</v>
      </c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</row>
    <row r="65" spans="1:56" ht="22" customHeight="1" x14ac:dyDescent="0.35">
      <c r="A65" s="8" t="s">
        <v>157</v>
      </c>
      <c r="B65" s="8" t="s">
        <v>158</v>
      </c>
      <c r="C65" s="8" t="s">
        <v>104</v>
      </c>
      <c r="D65" s="22" t="s">
        <v>5</v>
      </c>
      <c r="E65" s="22" t="s">
        <v>5</v>
      </c>
      <c r="F65" s="22" t="s">
        <v>5</v>
      </c>
      <c r="G65" s="22" t="s">
        <v>5</v>
      </c>
      <c r="H65" s="23" t="s">
        <v>7</v>
      </c>
      <c r="I65" s="24" t="s">
        <v>9</v>
      </c>
      <c r="J65" s="22" t="s">
        <v>5</v>
      </c>
      <c r="K65" s="26" t="s">
        <v>3</v>
      </c>
      <c r="L65" s="26" t="s">
        <v>3</v>
      </c>
      <c r="M65" s="26" t="s">
        <v>3</v>
      </c>
      <c r="N65" s="26" t="s">
        <v>3</v>
      </c>
      <c r="O65" s="27" t="s">
        <v>7</v>
      </c>
      <c r="P65" s="28" t="s">
        <v>11</v>
      </c>
      <c r="Q65" s="26" t="s">
        <v>3</v>
      </c>
      <c r="R65" s="26" t="s">
        <v>3</v>
      </c>
      <c r="S65" s="26" t="s">
        <v>3</v>
      </c>
      <c r="T65" s="26" t="s">
        <v>3</v>
      </c>
      <c r="U65" s="26" t="s">
        <v>3</v>
      </c>
      <c r="V65" s="27" t="s">
        <v>7</v>
      </c>
      <c r="W65" s="28" t="s">
        <v>11</v>
      </c>
      <c r="X65" s="26" t="s">
        <v>3</v>
      </c>
      <c r="Y65" s="26" t="s">
        <v>3</v>
      </c>
      <c r="Z65" s="26" t="s">
        <v>3</v>
      </c>
      <c r="AA65" s="26" t="s">
        <v>3</v>
      </c>
      <c r="AB65" s="26" t="s">
        <v>3</v>
      </c>
      <c r="AC65" s="27" t="s">
        <v>7</v>
      </c>
      <c r="AD65" s="28" t="s">
        <v>11</v>
      </c>
      <c r="AE65" s="26" t="s">
        <v>3</v>
      </c>
      <c r="AF65" s="26" t="s">
        <v>3</v>
      </c>
      <c r="AG65" s="26" t="s">
        <v>3</v>
      </c>
      <c r="AH65" s="26" t="s">
        <v>3</v>
      </c>
      <c r="AI65" s="8">
        <f t="shared" si="16"/>
        <v>18</v>
      </c>
      <c r="AJ65" s="8">
        <f t="shared" si="17"/>
        <v>5</v>
      </c>
      <c r="AK65" s="29">
        <f t="shared" si="18"/>
        <v>3</v>
      </c>
      <c r="AL65" s="62">
        <v>3</v>
      </c>
      <c r="AM65" s="33">
        <f t="shared" si="19"/>
        <v>22.5</v>
      </c>
      <c r="AN65" s="63">
        <f t="shared" si="20"/>
        <v>184</v>
      </c>
      <c r="AO65" s="63">
        <f t="shared" si="21"/>
        <v>0</v>
      </c>
      <c r="AP65" s="63">
        <f t="shared" si="22"/>
        <v>0</v>
      </c>
      <c r="AQ65" s="53">
        <f t="shared" si="23"/>
        <v>22.5</v>
      </c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</row>
    <row r="66" spans="1:56" ht="22" customHeight="1" x14ac:dyDescent="0.35">
      <c r="A66" s="8" t="s">
        <v>159</v>
      </c>
      <c r="B66" s="8" t="s">
        <v>160</v>
      </c>
      <c r="C66" s="8" t="s">
        <v>104</v>
      </c>
      <c r="D66" s="22" t="s">
        <v>5</v>
      </c>
      <c r="E66" s="22" t="s">
        <v>5</v>
      </c>
      <c r="F66" s="22" t="s">
        <v>5</v>
      </c>
      <c r="G66" s="22" t="s">
        <v>5</v>
      </c>
      <c r="H66" s="23" t="s">
        <v>7</v>
      </c>
      <c r="I66" s="24" t="s">
        <v>9</v>
      </c>
      <c r="J66" s="22" t="s">
        <v>5</v>
      </c>
      <c r="K66" s="26" t="s">
        <v>3</v>
      </c>
      <c r="L66" s="26" t="s">
        <v>3</v>
      </c>
      <c r="M66" s="26" t="s">
        <v>3</v>
      </c>
      <c r="N66" s="26" t="s">
        <v>3</v>
      </c>
      <c r="O66" s="27" t="s">
        <v>7</v>
      </c>
      <c r="P66" s="28" t="s">
        <v>11</v>
      </c>
      <c r="Q66" s="26" t="s">
        <v>3</v>
      </c>
      <c r="R66" s="26" t="s">
        <v>3</v>
      </c>
      <c r="S66" s="26" t="s">
        <v>3</v>
      </c>
      <c r="T66" s="26" t="s">
        <v>3</v>
      </c>
      <c r="U66" s="26" t="s">
        <v>3</v>
      </c>
      <c r="V66" s="27" t="s">
        <v>7</v>
      </c>
      <c r="W66" s="28" t="s">
        <v>11</v>
      </c>
      <c r="X66" s="26" t="s">
        <v>3</v>
      </c>
      <c r="Y66" s="26" t="s">
        <v>3</v>
      </c>
      <c r="Z66" s="26" t="s">
        <v>3</v>
      </c>
      <c r="AA66" s="26" t="s">
        <v>3</v>
      </c>
      <c r="AB66" s="26" t="s">
        <v>3</v>
      </c>
      <c r="AC66" s="27" t="s">
        <v>7</v>
      </c>
      <c r="AD66" s="28" t="s">
        <v>11</v>
      </c>
      <c r="AE66" s="26" t="s">
        <v>3</v>
      </c>
      <c r="AF66" s="26" t="s">
        <v>3</v>
      </c>
      <c r="AG66" s="26" t="s">
        <v>3</v>
      </c>
      <c r="AH66" s="26" t="s">
        <v>3</v>
      </c>
      <c r="AI66" s="8">
        <f t="shared" si="16"/>
        <v>18</v>
      </c>
      <c r="AJ66" s="8">
        <f t="shared" si="17"/>
        <v>5</v>
      </c>
      <c r="AK66" s="29">
        <f t="shared" si="18"/>
        <v>3</v>
      </c>
      <c r="AL66" s="62">
        <v>3</v>
      </c>
      <c r="AM66" s="33">
        <f t="shared" si="19"/>
        <v>22.5</v>
      </c>
      <c r="AN66" s="63">
        <f t="shared" si="20"/>
        <v>184</v>
      </c>
      <c r="AO66" s="63">
        <f t="shared" si="21"/>
        <v>0</v>
      </c>
      <c r="AP66" s="63">
        <f t="shared" si="22"/>
        <v>0</v>
      </c>
      <c r="AQ66" s="53">
        <f t="shared" si="23"/>
        <v>22.5</v>
      </c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</row>
    <row r="67" spans="1:56" ht="22" customHeight="1" x14ac:dyDescent="0.35">
      <c r="A67" s="8" t="s">
        <v>161</v>
      </c>
      <c r="B67" s="8" t="s">
        <v>162</v>
      </c>
      <c r="C67" s="8" t="s">
        <v>104</v>
      </c>
      <c r="D67" s="22" t="s">
        <v>5</v>
      </c>
      <c r="E67" s="22" t="s">
        <v>5</v>
      </c>
      <c r="F67" s="22" t="s">
        <v>5</v>
      </c>
      <c r="G67" s="22" t="s">
        <v>5</v>
      </c>
      <c r="H67" s="23" t="s">
        <v>7</v>
      </c>
      <c r="I67" s="24" t="s">
        <v>9</v>
      </c>
      <c r="J67" s="22" t="s">
        <v>5</v>
      </c>
      <c r="K67" s="26" t="s">
        <v>3</v>
      </c>
      <c r="L67" s="26" t="s">
        <v>3</v>
      </c>
      <c r="M67" s="26" t="s">
        <v>3</v>
      </c>
      <c r="N67" s="26" t="s">
        <v>3</v>
      </c>
      <c r="O67" s="27" t="s">
        <v>7</v>
      </c>
      <c r="P67" s="28" t="s">
        <v>11</v>
      </c>
      <c r="Q67" s="26" t="s">
        <v>3</v>
      </c>
      <c r="R67" s="26" t="s">
        <v>3</v>
      </c>
      <c r="S67" s="26" t="s">
        <v>3</v>
      </c>
      <c r="T67" s="26" t="s">
        <v>3</v>
      </c>
      <c r="U67" s="26" t="s">
        <v>3</v>
      </c>
      <c r="V67" s="27" t="s">
        <v>7</v>
      </c>
      <c r="W67" s="28" t="s">
        <v>11</v>
      </c>
      <c r="X67" s="26" t="s">
        <v>3</v>
      </c>
      <c r="Y67" s="26" t="s">
        <v>3</v>
      </c>
      <c r="Z67" s="26" t="s">
        <v>3</v>
      </c>
      <c r="AA67" s="26" t="s">
        <v>3</v>
      </c>
      <c r="AB67" s="26" t="s">
        <v>3</v>
      </c>
      <c r="AC67" s="27" t="s">
        <v>7</v>
      </c>
      <c r="AD67" s="28" t="s">
        <v>11</v>
      </c>
      <c r="AE67" s="26" t="s">
        <v>3</v>
      </c>
      <c r="AF67" s="26" t="s">
        <v>3</v>
      </c>
      <c r="AG67" s="26" t="s">
        <v>3</v>
      </c>
      <c r="AH67" s="26" t="s">
        <v>3</v>
      </c>
      <c r="AI67" s="8">
        <f t="shared" si="16"/>
        <v>18</v>
      </c>
      <c r="AJ67" s="8">
        <f t="shared" si="17"/>
        <v>5</v>
      </c>
      <c r="AK67" s="29">
        <f t="shared" si="18"/>
        <v>3</v>
      </c>
      <c r="AL67" s="62">
        <v>3</v>
      </c>
      <c r="AM67" s="33">
        <f t="shared" si="19"/>
        <v>22.5</v>
      </c>
      <c r="AN67" s="63">
        <f t="shared" si="20"/>
        <v>184</v>
      </c>
      <c r="AO67" s="63">
        <f t="shared" si="21"/>
        <v>0</v>
      </c>
      <c r="AP67" s="63">
        <f t="shared" si="22"/>
        <v>0</v>
      </c>
      <c r="AQ67" s="53">
        <f t="shared" si="23"/>
        <v>22.5</v>
      </c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</row>
    <row r="68" spans="1:56" ht="22" customHeight="1" x14ac:dyDescent="0.35">
      <c r="A68" s="8" t="s">
        <v>163</v>
      </c>
      <c r="B68" s="8" t="s">
        <v>164</v>
      </c>
      <c r="C68" s="8" t="s">
        <v>104</v>
      </c>
      <c r="D68" s="22" t="s">
        <v>5</v>
      </c>
      <c r="E68" s="22" t="s">
        <v>5</v>
      </c>
      <c r="F68" s="22" t="s">
        <v>5</v>
      </c>
      <c r="G68" s="22" t="s">
        <v>5</v>
      </c>
      <c r="H68" s="23" t="s">
        <v>7</v>
      </c>
      <c r="I68" s="24" t="s">
        <v>9</v>
      </c>
      <c r="J68" s="22" t="s">
        <v>5</v>
      </c>
      <c r="K68" s="26" t="s">
        <v>3</v>
      </c>
      <c r="L68" s="26" t="s">
        <v>3</v>
      </c>
      <c r="M68" s="26" t="s">
        <v>3</v>
      </c>
      <c r="N68" s="26" t="s">
        <v>3</v>
      </c>
      <c r="O68" s="27" t="s">
        <v>7</v>
      </c>
      <c r="P68" s="28" t="s">
        <v>11</v>
      </c>
      <c r="Q68" s="26" t="s">
        <v>3</v>
      </c>
      <c r="R68" s="26" t="s">
        <v>3</v>
      </c>
      <c r="S68" s="26" t="s">
        <v>3</v>
      </c>
      <c r="T68" s="26" t="s">
        <v>3</v>
      </c>
      <c r="U68" s="26" t="s">
        <v>3</v>
      </c>
      <c r="V68" s="27" t="s">
        <v>7</v>
      </c>
      <c r="W68" s="28" t="s">
        <v>11</v>
      </c>
      <c r="X68" s="26" t="s">
        <v>3</v>
      </c>
      <c r="Y68" s="26" t="s">
        <v>3</v>
      </c>
      <c r="Z68" s="26" t="s">
        <v>3</v>
      </c>
      <c r="AA68" s="26" t="s">
        <v>3</v>
      </c>
      <c r="AB68" s="26" t="s">
        <v>3</v>
      </c>
      <c r="AC68" s="27" t="s">
        <v>7</v>
      </c>
      <c r="AD68" s="28" t="s">
        <v>11</v>
      </c>
      <c r="AE68" s="26" t="s">
        <v>3</v>
      </c>
      <c r="AF68" s="26" t="s">
        <v>3</v>
      </c>
      <c r="AG68" s="26" t="s">
        <v>3</v>
      </c>
      <c r="AH68" s="26" t="s">
        <v>3</v>
      </c>
      <c r="AI68" s="8">
        <f t="shared" si="16"/>
        <v>18</v>
      </c>
      <c r="AJ68" s="8">
        <f t="shared" si="17"/>
        <v>5</v>
      </c>
      <c r="AK68" s="29">
        <f t="shared" si="18"/>
        <v>3</v>
      </c>
      <c r="AL68" s="62">
        <v>3</v>
      </c>
      <c r="AM68" s="33">
        <f t="shared" si="19"/>
        <v>22.5</v>
      </c>
      <c r="AN68" s="63">
        <f t="shared" si="20"/>
        <v>184</v>
      </c>
      <c r="AO68" s="63">
        <f t="shared" si="21"/>
        <v>0</v>
      </c>
      <c r="AP68" s="63">
        <f t="shared" si="22"/>
        <v>0</v>
      </c>
      <c r="AQ68" s="53">
        <f t="shared" si="23"/>
        <v>22.5</v>
      </c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</row>
    <row r="69" spans="1:56" ht="22" customHeight="1" x14ac:dyDescent="0.35">
      <c r="A69" s="8" t="s">
        <v>165</v>
      </c>
      <c r="B69" s="8" t="s">
        <v>166</v>
      </c>
      <c r="C69" s="8" t="s">
        <v>104</v>
      </c>
      <c r="D69" s="26" t="s">
        <v>3</v>
      </c>
      <c r="E69" s="26" t="s">
        <v>3</v>
      </c>
      <c r="F69" s="26" t="s">
        <v>3</v>
      </c>
      <c r="G69" s="26" t="s">
        <v>3</v>
      </c>
      <c r="H69" s="27" t="s">
        <v>7</v>
      </c>
      <c r="I69" s="28" t="s">
        <v>11</v>
      </c>
      <c r="J69" s="26" t="s">
        <v>3</v>
      </c>
      <c r="K69" s="26" t="s">
        <v>3</v>
      </c>
      <c r="L69" s="26" t="s">
        <v>3</v>
      </c>
      <c r="M69" s="26" t="s">
        <v>3</v>
      </c>
      <c r="N69" s="26" t="s">
        <v>3</v>
      </c>
      <c r="O69" s="27" t="s">
        <v>7</v>
      </c>
      <c r="P69" s="28" t="s">
        <v>11</v>
      </c>
      <c r="Q69" s="26" t="s">
        <v>3</v>
      </c>
      <c r="R69" s="26" t="s">
        <v>3</v>
      </c>
      <c r="S69" s="22" t="s">
        <v>5</v>
      </c>
      <c r="T69" s="26" t="s">
        <v>3</v>
      </c>
      <c r="U69" s="26" t="s">
        <v>3</v>
      </c>
      <c r="V69" s="27" t="s">
        <v>7</v>
      </c>
      <c r="W69" s="28" t="s">
        <v>11</v>
      </c>
      <c r="X69" s="26" t="s">
        <v>3</v>
      </c>
      <c r="Y69" s="26" t="s">
        <v>3</v>
      </c>
      <c r="Z69" s="26" t="s">
        <v>3</v>
      </c>
      <c r="AA69" s="26" t="s">
        <v>3</v>
      </c>
      <c r="AB69" s="26" t="s">
        <v>3</v>
      </c>
      <c r="AC69" s="27" t="s">
        <v>7</v>
      </c>
      <c r="AD69" s="28" t="s">
        <v>11</v>
      </c>
      <c r="AE69" s="26" t="s">
        <v>3</v>
      </c>
      <c r="AF69" s="26" t="s">
        <v>3</v>
      </c>
      <c r="AG69" s="26" t="s">
        <v>3</v>
      </c>
      <c r="AH69" s="26" t="s">
        <v>3</v>
      </c>
      <c r="AI69" s="8">
        <f t="shared" si="16"/>
        <v>22</v>
      </c>
      <c r="AJ69" s="8">
        <f t="shared" si="17"/>
        <v>1</v>
      </c>
      <c r="AK69" s="29">
        <f t="shared" si="18"/>
        <v>4</v>
      </c>
      <c r="AL69" s="62">
        <v>4</v>
      </c>
      <c r="AM69" s="33">
        <f t="shared" si="19"/>
        <v>28</v>
      </c>
      <c r="AN69" s="63">
        <f t="shared" si="20"/>
        <v>184</v>
      </c>
      <c r="AO69" s="63">
        <f t="shared" si="21"/>
        <v>0</v>
      </c>
      <c r="AP69" s="63">
        <f t="shared" si="22"/>
        <v>0</v>
      </c>
      <c r="AQ69" s="53">
        <f t="shared" si="23"/>
        <v>28</v>
      </c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</row>
    <row r="70" spans="1:56" ht="22" customHeight="1" x14ac:dyDescent="0.35">
      <c r="A70" s="8" t="s">
        <v>167</v>
      </c>
      <c r="B70" s="8" t="s">
        <v>168</v>
      </c>
      <c r="C70" s="8" t="s">
        <v>104</v>
      </c>
      <c r="D70" s="26" t="s">
        <v>3</v>
      </c>
      <c r="E70" s="26" t="s">
        <v>3</v>
      </c>
      <c r="F70" s="26" t="s">
        <v>3</v>
      </c>
      <c r="G70" s="26" t="s">
        <v>3</v>
      </c>
      <c r="H70" s="27" t="s">
        <v>7</v>
      </c>
      <c r="I70" s="28" t="s">
        <v>11</v>
      </c>
      <c r="J70" s="26" t="s">
        <v>3</v>
      </c>
      <c r="K70" s="26" t="s">
        <v>3</v>
      </c>
      <c r="L70" s="26" t="s">
        <v>3</v>
      </c>
      <c r="M70" s="26" t="s">
        <v>3</v>
      </c>
      <c r="N70" s="26" t="s">
        <v>3</v>
      </c>
      <c r="O70" s="27" t="s">
        <v>7</v>
      </c>
      <c r="P70" s="28" t="s">
        <v>11</v>
      </c>
      <c r="Q70" s="26" t="s">
        <v>3</v>
      </c>
      <c r="R70" s="26" t="s">
        <v>3</v>
      </c>
      <c r="S70" s="26" t="s">
        <v>3</v>
      </c>
      <c r="T70" s="22" t="s">
        <v>5</v>
      </c>
      <c r="U70" s="26" t="s">
        <v>3</v>
      </c>
      <c r="V70" s="27" t="s">
        <v>7</v>
      </c>
      <c r="W70" s="28" t="s">
        <v>11</v>
      </c>
      <c r="X70" s="26" t="s">
        <v>3</v>
      </c>
      <c r="Y70" s="26" t="s">
        <v>3</v>
      </c>
      <c r="Z70" s="26" t="s">
        <v>3</v>
      </c>
      <c r="AA70" s="26" t="s">
        <v>3</v>
      </c>
      <c r="AB70" s="26" t="s">
        <v>3</v>
      </c>
      <c r="AC70" s="27" t="s">
        <v>7</v>
      </c>
      <c r="AD70" s="28" t="s">
        <v>11</v>
      </c>
      <c r="AE70" s="26" t="s">
        <v>3</v>
      </c>
      <c r="AF70" s="26" t="s">
        <v>3</v>
      </c>
      <c r="AG70" s="26" t="s">
        <v>3</v>
      </c>
      <c r="AH70" s="26" t="s">
        <v>3</v>
      </c>
      <c r="AI70" s="8">
        <f t="shared" si="16"/>
        <v>22</v>
      </c>
      <c r="AJ70" s="8">
        <f t="shared" si="17"/>
        <v>1</v>
      </c>
      <c r="AK70" s="29">
        <f t="shared" si="18"/>
        <v>4</v>
      </c>
      <c r="AL70" s="62">
        <v>4</v>
      </c>
      <c r="AM70" s="33">
        <f t="shared" si="19"/>
        <v>28</v>
      </c>
      <c r="AN70" s="63">
        <f t="shared" si="20"/>
        <v>184</v>
      </c>
      <c r="AO70" s="63">
        <f t="shared" si="21"/>
        <v>0</v>
      </c>
      <c r="AP70" s="63">
        <f t="shared" si="22"/>
        <v>0</v>
      </c>
      <c r="AQ70" s="53">
        <f t="shared" si="23"/>
        <v>28</v>
      </c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</row>
    <row r="71" spans="1:56" ht="22" customHeight="1" x14ac:dyDescent="0.35">
      <c r="A71" s="8" t="s">
        <v>169</v>
      </c>
      <c r="B71" s="8" t="s">
        <v>170</v>
      </c>
      <c r="C71" s="8" t="s">
        <v>104</v>
      </c>
      <c r="D71" s="26" t="s">
        <v>3</v>
      </c>
      <c r="E71" s="26" t="s">
        <v>3</v>
      </c>
      <c r="F71" s="26" t="s">
        <v>3</v>
      </c>
      <c r="G71" s="26" t="s">
        <v>3</v>
      </c>
      <c r="H71" s="27" t="s">
        <v>7</v>
      </c>
      <c r="I71" s="28" t="s">
        <v>11</v>
      </c>
      <c r="J71" s="26" t="s">
        <v>3</v>
      </c>
      <c r="K71" s="26" t="s">
        <v>3</v>
      </c>
      <c r="L71" s="26" t="s">
        <v>3</v>
      </c>
      <c r="M71" s="26" t="s">
        <v>3</v>
      </c>
      <c r="N71" s="26" t="s">
        <v>3</v>
      </c>
      <c r="O71" s="27" t="s">
        <v>7</v>
      </c>
      <c r="P71" s="28" t="s">
        <v>11</v>
      </c>
      <c r="Q71" s="26" t="s">
        <v>3</v>
      </c>
      <c r="R71" s="26" t="s">
        <v>3</v>
      </c>
      <c r="S71" s="26" t="s">
        <v>3</v>
      </c>
      <c r="T71" s="26" t="s">
        <v>3</v>
      </c>
      <c r="U71" s="26" t="s">
        <v>3</v>
      </c>
      <c r="V71" s="23" t="s">
        <v>7</v>
      </c>
      <c r="W71" s="24" t="s">
        <v>9</v>
      </c>
      <c r="X71" s="26" t="s">
        <v>3</v>
      </c>
      <c r="Y71" s="26" t="s">
        <v>3</v>
      </c>
      <c r="Z71" s="26" t="s">
        <v>3</v>
      </c>
      <c r="AA71" s="22" t="s">
        <v>5</v>
      </c>
      <c r="AB71" s="22" t="s">
        <v>5</v>
      </c>
      <c r="AC71" s="27" t="s">
        <v>7</v>
      </c>
      <c r="AD71" s="28" t="s">
        <v>11</v>
      </c>
      <c r="AE71" s="26" t="s">
        <v>3</v>
      </c>
      <c r="AF71" s="26" t="s">
        <v>3</v>
      </c>
      <c r="AG71" s="26" t="s">
        <v>3</v>
      </c>
      <c r="AH71" s="26" t="s">
        <v>3</v>
      </c>
      <c r="AI71" s="8">
        <f t="shared" si="16"/>
        <v>21</v>
      </c>
      <c r="AJ71" s="8">
        <f t="shared" si="17"/>
        <v>2</v>
      </c>
      <c r="AK71" s="29">
        <f t="shared" si="18"/>
        <v>3</v>
      </c>
      <c r="AL71" s="62">
        <v>3</v>
      </c>
      <c r="AM71" s="33">
        <f t="shared" si="19"/>
        <v>25.5</v>
      </c>
      <c r="AN71" s="63">
        <f t="shared" si="20"/>
        <v>184</v>
      </c>
      <c r="AO71" s="63">
        <f t="shared" si="21"/>
        <v>0</v>
      </c>
      <c r="AP71" s="63">
        <f t="shared" si="22"/>
        <v>0</v>
      </c>
      <c r="AQ71" s="53">
        <f t="shared" si="23"/>
        <v>25.5</v>
      </c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</row>
    <row r="72" spans="1:56" ht="22" customHeight="1" x14ac:dyDescent="0.35">
      <c r="A72" s="8" t="s">
        <v>171</v>
      </c>
      <c r="B72" s="8" t="s">
        <v>172</v>
      </c>
      <c r="C72" s="8" t="s">
        <v>104</v>
      </c>
      <c r="D72" s="26" t="s">
        <v>3</v>
      </c>
      <c r="E72" s="22" t="s">
        <v>5</v>
      </c>
      <c r="F72" s="26" t="s">
        <v>3</v>
      </c>
      <c r="G72" s="26" t="s">
        <v>3</v>
      </c>
      <c r="H72" s="27" t="s">
        <v>7</v>
      </c>
      <c r="I72" s="28" t="s">
        <v>11</v>
      </c>
      <c r="J72" s="26" t="s">
        <v>3</v>
      </c>
      <c r="K72" s="26" t="s">
        <v>3</v>
      </c>
      <c r="L72" s="26" t="s">
        <v>3</v>
      </c>
      <c r="M72" s="26" t="s">
        <v>3</v>
      </c>
      <c r="N72" s="26" t="s">
        <v>3</v>
      </c>
      <c r="O72" s="27" t="s">
        <v>7</v>
      </c>
      <c r="P72" s="28" t="s">
        <v>11</v>
      </c>
      <c r="Q72" s="26" t="s">
        <v>3</v>
      </c>
      <c r="R72" s="26" t="s">
        <v>3</v>
      </c>
      <c r="S72" s="26" t="s">
        <v>3</v>
      </c>
      <c r="T72" s="26" t="s">
        <v>3</v>
      </c>
      <c r="U72" s="26" t="s">
        <v>3</v>
      </c>
      <c r="V72" s="27" t="s">
        <v>7</v>
      </c>
      <c r="W72" s="28" t="s">
        <v>11</v>
      </c>
      <c r="X72" s="26" t="s">
        <v>3</v>
      </c>
      <c r="Y72" s="26" t="s">
        <v>3</v>
      </c>
      <c r="Z72" s="26" t="s">
        <v>3</v>
      </c>
      <c r="AA72" s="26" t="s">
        <v>3</v>
      </c>
      <c r="AB72" s="26" t="s">
        <v>3</v>
      </c>
      <c r="AC72" s="27" t="s">
        <v>7</v>
      </c>
      <c r="AD72" s="24" t="s">
        <v>9</v>
      </c>
      <c r="AE72" s="26" t="s">
        <v>3</v>
      </c>
      <c r="AF72" s="26" t="s">
        <v>3</v>
      </c>
      <c r="AG72" s="26" t="s">
        <v>3</v>
      </c>
      <c r="AH72" s="26" t="s">
        <v>3</v>
      </c>
      <c r="AI72" s="8">
        <f t="shared" si="16"/>
        <v>22</v>
      </c>
      <c r="AJ72" s="8">
        <f t="shared" si="17"/>
        <v>1</v>
      </c>
      <c r="AK72" s="29">
        <f t="shared" si="18"/>
        <v>3</v>
      </c>
      <c r="AL72" s="62">
        <v>4</v>
      </c>
      <c r="AM72" s="33">
        <f t="shared" si="19"/>
        <v>27</v>
      </c>
      <c r="AN72" s="63">
        <f t="shared" si="20"/>
        <v>184</v>
      </c>
      <c r="AO72" s="63">
        <f t="shared" si="21"/>
        <v>0</v>
      </c>
      <c r="AP72" s="63">
        <f t="shared" si="22"/>
        <v>0</v>
      </c>
      <c r="AQ72" s="53">
        <f t="shared" si="23"/>
        <v>27</v>
      </c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</row>
    <row r="73" spans="1:56" ht="22" customHeight="1" x14ac:dyDescent="0.35">
      <c r="A73" s="8" t="s">
        <v>173</v>
      </c>
      <c r="B73" s="8" t="s">
        <v>174</v>
      </c>
      <c r="C73" s="8" t="s">
        <v>104</v>
      </c>
      <c r="D73" s="26" t="s">
        <v>3</v>
      </c>
      <c r="E73" s="22" t="s">
        <v>5</v>
      </c>
      <c r="F73" s="22" t="s">
        <v>5</v>
      </c>
      <c r="G73" s="22" t="s">
        <v>5</v>
      </c>
      <c r="H73" s="27" t="s">
        <v>7</v>
      </c>
      <c r="I73" s="28" t="s">
        <v>11</v>
      </c>
      <c r="J73" s="26" t="s">
        <v>3</v>
      </c>
      <c r="K73" s="26" t="s">
        <v>3</v>
      </c>
      <c r="L73" s="26" t="s">
        <v>3</v>
      </c>
      <c r="M73" s="26" t="s">
        <v>3</v>
      </c>
      <c r="N73" s="26" t="s">
        <v>3</v>
      </c>
      <c r="O73" s="27" t="s">
        <v>7</v>
      </c>
      <c r="P73" s="28" t="s">
        <v>11</v>
      </c>
      <c r="Q73" s="26" t="s">
        <v>3</v>
      </c>
      <c r="R73" s="26" t="s">
        <v>3</v>
      </c>
      <c r="S73" s="26" t="s">
        <v>3</v>
      </c>
      <c r="T73" s="26" t="s">
        <v>3</v>
      </c>
      <c r="U73" s="22" t="s">
        <v>5</v>
      </c>
      <c r="V73" s="23" t="s">
        <v>7</v>
      </c>
      <c r="W73" s="24" t="s">
        <v>9</v>
      </c>
      <c r="X73" s="26" t="s">
        <v>3</v>
      </c>
      <c r="Y73" s="26" t="s">
        <v>3</v>
      </c>
      <c r="Z73" s="26" t="s">
        <v>3</v>
      </c>
      <c r="AA73" s="26" t="s">
        <v>3</v>
      </c>
      <c r="AB73" s="26" t="s">
        <v>3</v>
      </c>
      <c r="AC73" s="27" t="s">
        <v>7</v>
      </c>
      <c r="AD73" s="28" t="s">
        <v>11</v>
      </c>
      <c r="AE73" s="26" t="s">
        <v>3</v>
      </c>
      <c r="AF73" s="26" t="s">
        <v>3</v>
      </c>
      <c r="AG73" s="26" t="s">
        <v>3</v>
      </c>
      <c r="AH73" s="26" t="s">
        <v>3</v>
      </c>
      <c r="AI73" s="8">
        <f t="shared" si="16"/>
        <v>19</v>
      </c>
      <c r="AJ73" s="8">
        <f t="shared" si="17"/>
        <v>4</v>
      </c>
      <c r="AK73" s="29">
        <f t="shared" si="18"/>
        <v>3</v>
      </c>
      <c r="AL73" s="62">
        <v>3</v>
      </c>
      <c r="AM73" s="33">
        <f t="shared" si="19"/>
        <v>23.5</v>
      </c>
      <c r="AN73" s="63">
        <f t="shared" si="20"/>
        <v>184</v>
      </c>
      <c r="AO73" s="63">
        <f t="shared" si="21"/>
        <v>0</v>
      </c>
      <c r="AP73" s="63">
        <f t="shared" si="22"/>
        <v>0</v>
      </c>
      <c r="AQ73" s="53">
        <f t="shared" si="23"/>
        <v>23.5</v>
      </c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</row>
    <row r="74" spans="1:56" ht="22" customHeight="1" x14ac:dyDescent="0.35">
      <c r="A74" s="8" t="s">
        <v>175</v>
      </c>
      <c r="B74" s="8" t="s">
        <v>176</v>
      </c>
      <c r="C74" s="8" t="s">
        <v>104</v>
      </c>
      <c r="D74" s="22" t="s">
        <v>5</v>
      </c>
      <c r="E74" s="22" t="s">
        <v>5</v>
      </c>
      <c r="F74" s="26" t="s">
        <v>3</v>
      </c>
      <c r="G74" s="26" t="s">
        <v>3</v>
      </c>
      <c r="H74" s="27" t="s">
        <v>7</v>
      </c>
      <c r="I74" s="28" t="s">
        <v>11</v>
      </c>
      <c r="J74" s="26" t="s">
        <v>3</v>
      </c>
      <c r="K74" s="26" t="s">
        <v>3</v>
      </c>
      <c r="L74" s="26" t="s">
        <v>3</v>
      </c>
      <c r="M74" s="26" t="s">
        <v>3</v>
      </c>
      <c r="N74" s="26" t="s">
        <v>3</v>
      </c>
      <c r="O74" s="27" t="s">
        <v>7</v>
      </c>
      <c r="P74" s="28" t="s">
        <v>11</v>
      </c>
      <c r="Q74" s="26" t="s">
        <v>3</v>
      </c>
      <c r="R74" s="26" t="s">
        <v>3</v>
      </c>
      <c r="S74" s="26" t="s">
        <v>3</v>
      </c>
      <c r="T74" s="26" t="s">
        <v>3</v>
      </c>
      <c r="U74" s="22" t="s">
        <v>5</v>
      </c>
      <c r="V74" s="23" t="s">
        <v>7</v>
      </c>
      <c r="W74" s="24" t="s">
        <v>9</v>
      </c>
      <c r="X74" s="26" t="s">
        <v>3</v>
      </c>
      <c r="Y74" s="26" t="s">
        <v>3</v>
      </c>
      <c r="Z74" s="26" t="s">
        <v>3</v>
      </c>
      <c r="AA74" s="26" t="s">
        <v>3</v>
      </c>
      <c r="AB74" s="26" t="s">
        <v>3</v>
      </c>
      <c r="AC74" s="27" t="s">
        <v>7</v>
      </c>
      <c r="AD74" s="28" t="s">
        <v>11</v>
      </c>
      <c r="AE74" s="22" t="s">
        <v>5</v>
      </c>
      <c r="AF74" s="22" t="s">
        <v>5</v>
      </c>
      <c r="AG74" s="26" t="s">
        <v>3</v>
      </c>
      <c r="AH74" s="26" t="s">
        <v>3</v>
      </c>
      <c r="AI74" s="8">
        <f t="shared" si="16"/>
        <v>18</v>
      </c>
      <c r="AJ74" s="8">
        <f t="shared" si="17"/>
        <v>5</v>
      </c>
      <c r="AK74" s="29">
        <f t="shared" si="18"/>
        <v>3</v>
      </c>
      <c r="AL74" s="62">
        <v>3</v>
      </c>
      <c r="AM74" s="33">
        <f t="shared" si="19"/>
        <v>22.5</v>
      </c>
      <c r="AN74" s="63">
        <f t="shared" si="20"/>
        <v>184</v>
      </c>
      <c r="AO74" s="63">
        <f t="shared" si="21"/>
        <v>0</v>
      </c>
      <c r="AP74" s="63">
        <f t="shared" si="22"/>
        <v>0</v>
      </c>
      <c r="AQ74" s="53">
        <f t="shared" si="23"/>
        <v>22.5</v>
      </c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</row>
    <row r="75" spans="1:56" x14ac:dyDescent="0.35"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</row>
    <row r="76" spans="1:56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</row>
    <row r="77" spans="1:56" ht="22" customHeight="1" x14ac:dyDescent="0.35">
      <c r="A77" s="8" t="s">
        <v>178</v>
      </c>
      <c r="B77" s="8" t="s">
        <v>179</v>
      </c>
      <c r="C77" s="8" t="s">
        <v>180</v>
      </c>
      <c r="D77" s="26" t="s">
        <v>3</v>
      </c>
      <c r="E77" s="26" t="s">
        <v>3</v>
      </c>
      <c r="F77" s="26" t="s">
        <v>3</v>
      </c>
      <c r="G77" s="26" t="s">
        <v>3</v>
      </c>
      <c r="H77" s="27" t="s">
        <v>7</v>
      </c>
      <c r="I77" s="28" t="s">
        <v>11</v>
      </c>
      <c r="J77" s="22" t="s">
        <v>5</v>
      </c>
      <c r="K77" s="26" t="s">
        <v>3</v>
      </c>
      <c r="L77" s="26" t="s">
        <v>3</v>
      </c>
      <c r="M77" s="26" t="s">
        <v>3</v>
      </c>
      <c r="N77" s="26" t="s">
        <v>3</v>
      </c>
      <c r="O77" s="27" t="s">
        <v>7</v>
      </c>
      <c r="P77" s="28" t="s">
        <v>11</v>
      </c>
      <c r="Q77" s="26" t="s">
        <v>3</v>
      </c>
      <c r="R77" s="26" t="s">
        <v>3</v>
      </c>
      <c r="S77" s="26" t="s">
        <v>3</v>
      </c>
      <c r="T77" s="26" t="s">
        <v>3</v>
      </c>
      <c r="U77" s="26" t="s">
        <v>3</v>
      </c>
      <c r="V77" s="23" t="s">
        <v>7</v>
      </c>
      <c r="W77" s="24" t="s">
        <v>9</v>
      </c>
      <c r="X77" s="26" t="s">
        <v>3</v>
      </c>
      <c r="Y77" s="26" t="s">
        <v>3</v>
      </c>
      <c r="Z77" s="26" t="s">
        <v>3</v>
      </c>
      <c r="AA77" s="26" t="s">
        <v>3</v>
      </c>
      <c r="AB77" s="26" t="s">
        <v>3</v>
      </c>
      <c r="AC77" s="23" t="s">
        <v>7</v>
      </c>
      <c r="AD77" s="24" t="s">
        <v>9</v>
      </c>
      <c r="AE77" s="26" t="s">
        <v>3</v>
      </c>
      <c r="AF77" s="26" t="s">
        <v>3</v>
      </c>
      <c r="AG77" s="26" t="s">
        <v>3</v>
      </c>
      <c r="AH77" s="26" t="s">
        <v>3</v>
      </c>
      <c r="AI77" s="8">
        <f t="shared" ref="AI77:AI82" si="24">COUNTIF(D77:AH77,"ON")</f>
        <v>22</v>
      </c>
      <c r="AJ77" s="8">
        <f t="shared" ref="AJ77:AJ82" si="25">COUNTIF(D77:AH77,"OFF")</f>
        <v>1</v>
      </c>
      <c r="AK77" s="29">
        <f t="shared" ref="AK77:AK82" si="26">COUNTIF(D77:AH77,"OT")</f>
        <v>2</v>
      </c>
      <c r="AL77" s="62">
        <v>2</v>
      </c>
      <c r="AM77" s="33">
        <f t="shared" ref="AM77:AM82" si="27">AI77+AK77+AL77*0.5</f>
        <v>25</v>
      </c>
      <c r="AN77" s="63">
        <f t="shared" ref="AN77:AN82" si="28">NETWORKDAYS(DATE(2025,7,1),EOMONTH(DATE(2025,7,1),0))*8</f>
        <v>184</v>
      </c>
      <c r="AO77" s="63">
        <f t="shared" ref="AO77:AO82" si="29">MAX(0,COUNTIF(G77,"ON")+COUNTIF(N77,"ON")+COUNTIF(U77,"ON")+COUNTIF(AB77,"ON")-AL77)</f>
        <v>2</v>
      </c>
      <c r="AP77" s="63">
        <f t="shared" ref="AP77:AP82" si="30">AO77*$AP$2</f>
        <v>8</v>
      </c>
      <c r="AQ77" s="53">
        <f t="shared" ref="AQ77:AQ82" si="31">AM77-AP77/8</f>
        <v>24</v>
      </c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</row>
    <row r="78" spans="1:56" ht="22" customHeight="1" x14ac:dyDescent="0.35">
      <c r="A78" s="8" t="s">
        <v>181</v>
      </c>
      <c r="B78" s="8" t="s">
        <v>182</v>
      </c>
      <c r="C78" s="8" t="s">
        <v>180</v>
      </c>
      <c r="D78" s="26" t="s">
        <v>3</v>
      </c>
      <c r="E78" s="22" t="s">
        <v>5</v>
      </c>
      <c r="F78" s="22" t="s">
        <v>5</v>
      </c>
      <c r="G78" s="26" t="s">
        <v>3</v>
      </c>
      <c r="H78" s="27" t="s">
        <v>7</v>
      </c>
      <c r="I78" s="28" t="s">
        <v>11</v>
      </c>
      <c r="J78" s="26" t="s">
        <v>3</v>
      </c>
      <c r="K78" s="26" t="s">
        <v>3</v>
      </c>
      <c r="L78" s="26" t="s">
        <v>3</v>
      </c>
      <c r="M78" s="26" t="s">
        <v>3</v>
      </c>
      <c r="N78" s="26" t="s">
        <v>3</v>
      </c>
      <c r="O78" s="27" t="s">
        <v>7</v>
      </c>
      <c r="P78" s="28" t="s">
        <v>11</v>
      </c>
      <c r="Q78" s="26" t="s">
        <v>3</v>
      </c>
      <c r="R78" s="26" t="s">
        <v>3</v>
      </c>
      <c r="S78" s="26" t="s">
        <v>3</v>
      </c>
      <c r="T78" s="26" t="s">
        <v>3</v>
      </c>
      <c r="U78" s="26" t="s">
        <v>3</v>
      </c>
      <c r="V78" s="27" t="s">
        <v>7</v>
      </c>
      <c r="W78" s="28" t="s">
        <v>11</v>
      </c>
      <c r="X78" s="26" t="s">
        <v>3</v>
      </c>
      <c r="Y78" s="26" t="s">
        <v>3</v>
      </c>
      <c r="Z78" s="22" t="s">
        <v>5</v>
      </c>
      <c r="AA78" s="22" t="s">
        <v>5</v>
      </c>
      <c r="AB78" s="26" t="s">
        <v>3</v>
      </c>
      <c r="AC78" s="27" t="s">
        <v>7</v>
      </c>
      <c r="AD78" s="28" t="s">
        <v>11</v>
      </c>
      <c r="AE78" s="26" t="s">
        <v>3</v>
      </c>
      <c r="AF78" s="26" t="s">
        <v>3</v>
      </c>
      <c r="AG78" s="26" t="s">
        <v>3</v>
      </c>
      <c r="AH78" s="26" t="s">
        <v>3</v>
      </c>
      <c r="AI78" s="8">
        <f t="shared" si="24"/>
        <v>19</v>
      </c>
      <c r="AJ78" s="8">
        <f t="shared" si="25"/>
        <v>4</v>
      </c>
      <c r="AK78" s="29">
        <f t="shared" si="26"/>
        <v>4</v>
      </c>
      <c r="AL78" s="62">
        <v>4</v>
      </c>
      <c r="AM78" s="33">
        <f t="shared" si="27"/>
        <v>25</v>
      </c>
      <c r="AN78" s="63">
        <f t="shared" si="28"/>
        <v>184</v>
      </c>
      <c r="AO78" s="63">
        <f t="shared" si="29"/>
        <v>0</v>
      </c>
      <c r="AP78" s="63">
        <f t="shared" si="30"/>
        <v>0</v>
      </c>
      <c r="AQ78" s="53">
        <f t="shared" si="31"/>
        <v>25</v>
      </c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</row>
    <row r="79" spans="1:56" ht="22" customHeight="1" x14ac:dyDescent="0.35">
      <c r="A79" s="8" t="s">
        <v>183</v>
      </c>
      <c r="B79" s="8" t="s">
        <v>184</v>
      </c>
      <c r="C79" s="8" t="s">
        <v>180</v>
      </c>
      <c r="D79" s="22" t="s">
        <v>5</v>
      </c>
      <c r="E79" s="22" t="s">
        <v>5</v>
      </c>
      <c r="F79" s="22" t="s">
        <v>5</v>
      </c>
      <c r="G79" s="22" t="s">
        <v>5</v>
      </c>
      <c r="H79" s="23" t="s">
        <v>7</v>
      </c>
      <c r="I79" s="24" t="s">
        <v>9</v>
      </c>
      <c r="J79" s="22" t="s">
        <v>5</v>
      </c>
      <c r="K79" s="22" t="s">
        <v>5</v>
      </c>
      <c r="L79" s="22" t="s">
        <v>5</v>
      </c>
      <c r="M79" s="22" t="s">
        <v>5</v>
      </c>
      <c r="N79" s="22" t="s">
        <v>5</v>
      </c>
      <c r="O79" s="23" t="s">
        <v>7</v>
      </c>
      <c r="P79" s="24" t="s">
        <v>9</v>
      </c>
      <c r="Q79" s="22" t="s">
        <v>5</v>
      </c>
      <c r="R79" s="22" t="s">
        <v>5</v>
      </c>
      <c r="S79" s="22" t="s">
        <v>5</v>
      </c>
      <c r="T79" s="26" t="s">
        <v>3</v>
      </c>
      <c r="U79" s="26" t="s">
        <v>3</v>
      </c>
      <c r="V79" s="27" t="s">
        <v>7</v>
      </c>
      <c r="W79" s="28" t="s">
        <v>11</v>
      </c>
      <c r="X79" s="26" t="s">
        <v>3</v>
      </c>
      <c r="Y79" s="26" t="s">
        <v>3</v>
      </c>
      <c r="Z79" s="26" t="s">
        <v>3</v>
      </c>
      <c r="AA79" s="26" t="s">
        <v>3</v>
      </c>
      <c r="AB79" s="26" t="s">
        <v>3</v>
      </c>
      <c r="AC79" s="23" t="s">
        <v>7</v>
      </c>
      <c r="AD79" s="24" t="s">
        <v>9</v>
      </c>
      <c r="AE79" s="26" t="s">
        <v>3</v>
      </c>
      <c r="AF79" s="26" t="s">
        <v>3</v>
      </c>
      <c r="AG79" s="26" t="s">
        <v>3</v>
      </c>
      <c r="AH79" s="26" t="s">
        <v>3</v>
      </c>
      <c r="AI79" s="8">
        <f t="shared" si="24"/>
        <v>11</v>
      </c>
      <c r="AJ79" s="25">
        <f t="shared" si="25"/>
        <v>12</v>
      </c>
      <c r="AK79" s="29">
        <f t="shared" si="26"/>
        <v>1</v>
      </c>
      <c r="AL79" s="62">
        <v>1</v>
      </c>
      <c r="AM79" s="33">
        <f t="shared" si="27"/>
        <v>12.5</v>
      </c>
      <c r="AN79" s="63">
        <f t="shared" si="28"/>
        <v>184</v>
      </c>
      <c r="AO79" s="63">
        <f t="shared" si="29"/>
        <v>1</v>
      </c>
      <c r="AP79" s="63">
        <f t="shared" si="30"/>
        <v>4</v>
      </c>
      <c r="AQ79" s="53">
        <f t="shared" si="31"/>
        <v>12</v>
      </c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</row>
    <row r="80" spans="1:56" ht="22" customHeight="1" x14ac:dyDescent="0.35">
      <c r="A80" s="8" t="s">
        <v>185</v>
      </c>
      <c r="B80" s="8" t="s">
        <v>186</v>
      </c>
      <c r="C80" s="8" t="s">
        <v>180</v>
      </c>
      <c r="D80" s="22" t="s">
        <v>5</v>
      </c>
      <c r="E80" s="22" t="s">
        <v>5</v>
      </c>
      <c r="F80" s="22" t="s">
        <v>5</v>
      </c>
      <c r="G80" s="22" t="s">
        <v>5</v>
      </c>
      <c r="H80" s="23" t="s">
        <v>7</v>
      </c>
      <c r="I80" s="24" t="s">
        <v>9</v>
      </c>
      <c r="J80" s="22" t="s">
        <v>5</v>
      </c>
      <c r="K80" s="22" t="s">
        <v>5</v>
      </c>
      <c r="L80" s="22" t="s">
        <v>5</v>
      </c>
      <c r="M80" s="22" t="s">
        <v>5</v>
      </c>
      <c r="N80" s="22" t="s">
        <v>5</v>
      </c>
      <c r="O80" s="23" t="s">
        <v>7</v>
      </c>
      <c r="P80" s="24" t="s">
        <v>9</v>
      </c>
      <c r="Q80" s="22" t="s">
        <v>5</v>
      </c>
      <c r="R80" s="22" t="s">
        <v>5</v>
      </c>
      <c r="S80" s="22" t="s">
        <v>5</v>
      </c>
      <c r="T80" s="26" t="s">
        <v>3</v>
      </c>
      <c r="U80" s="26" t="s">
        <v>3</v>
      </c>
      <c r="V80" s="27" t="s">
        <v>7</v>
      </c>
      <c r="W80" s="28" t="s">
        <v>11</v>
      </c>
      <c r="X80" s="26" t="s">
        <v>3</v>
      </c>
      <c r="Y80" s="26" t="s">
        <v>3</v>
      </c>
      <c r="Z80" s="26" t="s">
        <v>3</v>
      </c>
      <c r="AA80" s="26" t="s">
        <v>3</v>
      </c>
      <c r="AB80" s="26" t="s">
        <v>3</v>
      </c>
      <c r="AC80" s="27" t="s">
        <v>7</v>
      </c>
      <c r="AD80" s="28" t="s">
        <v>11</v>
      </c>
      <c r="AE80" s="26" t="s">
        <v>3</v>
      </c>
      <c r="AF80" s="26" t="s">
        <v>3</v>
      </c>
      <c r="AG80" s="26" t="s">
        <v>3</v>
      </c>
      <c r="AH80" s="26" t="s">
        <v>3</v>
      </c>
      <c r="AI80" s="8">
        <f t="shared" si="24"/>
        <v>11</v>
      </c>
      <c r="AJ80" s="25">
        <f t="shared" si="25"/>
        <v>12</v>
      </c>
      <c r="AK80" s="29">
        <f t="shared" si="26"/>
        <v>2</v>
      </c>
      <c r="AL80" s="62">
        <v>2</v>
      </c>
      <c r="AM80" s="33">
        <f t="shared" si="27"/>
        <v>14</v>
      </c>
      <c r="AN80" s="63">
        <f t="shared" si="28"/>
        <v>184</v>
      </c>
      <c r="AO80" s="63">
        <f t="shared" si="29"/>
        <v>0</v>
      </c>
      <c r="AP80" s="63">
        <f t="shared" si="30"/>
        <v>0</v>
      </c>
      <c r="AQ80" s="53">
        <f t="shared" si="31"/>
        <v>14</v>
      </c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</row>
    <row r="81" spans="1:56" ht="22" customHeight="1" x14ac:dyDescent="0.35">
      <c r="A81" s="8" t="s">
        <v>187</v>
      </c>
      <c r="B81" s="8" t="s">
        <v>188</v>
      </c>
      <c r="C81" s="8" t="s">
        <v>180</v>
      </c>
      <c r="D81" s="26" t="s">
        <v>3</v>
      </c>
      <c r="E81" s="26" t="s">
        <v>3</v>
      </c>
      <c r="F81" s="26" t="s">
        <v>3</v>
      </c>
      <c r="G81" s="22" t="s">
        <v>5</v>
      </c>
      <c r="H81" s="23" t="s">
        <v>7</v>
      </c>
      <c r="I81" s="24" t="s">
        <v>9</v>
      </c>
      <c r="J81" s="26" t="s">
        <v>3</v>
      </c>
      <c r="K81" s="22" t="s">
        <v>5</v>
      </c>
      <c r="L81" s="26" t="s">
        <v>3</v>
      </c>
      <c r="M81" s="26" t="s">
        <v>3</v>
      </c>
      <c r="N81" s="26" t="s">
        <v>3</v>
      </c>
      <c r="O81" s="27" t="s">
        <v>7</v>
      </c>
      <c r="P81" s="28" t="s">
        <v>11</v>
      </c>
      <c r="Q81" s="26" t="s">
        <v>3</v>
      </c>
      <c r="R81" s="26" t="s">
        <v>3</v>
      </c>
      <c r="S81" s="26" t="s">
        <v>3</v>
      </c>
      <c r="T81" s="26" t="s">
        <v>3</v>
      </c>
      <c r="U81" s="26" t="s">
        <v>3</v>
      </c>
      <c r="V81" s="27" t="s">
        <v>7</v>
      </c>
      <c r="W81" s="28" t="s">
        <v>11</v>
      </c>
      <c r="X81" s="26" t="s">
        <v>3</v>
      </c>
      <c r="Y81" s="26" t="s">
        <v>3</v>
      </c>
      <c r="Z81" s="26" t="s">
        <v>3</v>
      </c>
      <c r="AA81" s="26" t="s">
        <v>3</v>
      </c>
      <c r="AB81" s="26" t="s">
        <v>3</v>
      </c>
      <c r="AC81" s="27" t="s">
        <v>7</v>
      </c>
      <c r="AD81" s="28" t="s">
        <v>11</v>
      </c>
      <c r="AE81" s="22" t="s">
        <v>5</v>
      </c>
      <c r="AF81" s="26" t="s">
        <v>3</v>
      </c>
      <c r="AG81" s="26" t="s">
        <v>3</v>
      </c>
      <c r="AH81" s="26" t="s">
        <v>3</v>
      </c>
      <c r="AI81" s="8">
        <f t="shared" si="24"/>
        <v>20</v>
      </c>
      <c r="AJ81" s="8">
        <f t="shared" si="25"/>
        <v>3</v>
      </c>
      <c r="AK81" s="29">
        <f t="shared" si="26"/>
        <v>3</v>
      </c>
      <c r="AL81" s="62">
        <v>3</v>
      </c>
      <c r="AM81" s="33">
        <f t="shared" si="27"/>
        <v>24.5</v>
      </c>
      <c r="AN81" s="63">
        <f t="shared" si="28"/>
        <v>184</v>
      </c>
      <c r="AO81" s="63">
        <f t="shared" si="29"/>
        <v>0</v>
      </c>
      <c r="AP81" s="63">
        <f t="shared" si="30"/>
        <v>0</v>
      </c>
      <c r="AQ81" s="53">
        <f t="shared" si="31"/>
        <v>24.5</v>
      </c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</row>
    <row r="82" spans="1:56" ht="22" customHeight="1" x14ac:dyDescent="0.35">
      <c r="A82" s="8" t="s">
        <v>189</v>
      </c>
      <c r="B82" s="8" t="s">
        <v>190</v>
      </c>
      <c r="C82" s="8" t="s">
        <v>180</v>
      </c>
      <c r="D82" s="26" t="s">
        <v>3</v>
      </c>
      <c r="E82" s="26" t="s">
        <v>3</v>
      </c>
      <c r="F82" s="26" t="s">
        <v>3</v>
      </c>
      <c r="G82" s="26" t="s">
        <v>3</v>
      </c>
      <c r="H82" s="27" t="s">
        <v>7</v>
      </c>
      <c r="I82" s="28" t="s">
        <v>11</v>
      </c>
      <c r="J82" s="26" t="s">
        <v>3</v>
      </c>
      <c r="K82" s="26" t="s">
        <v>3</v>
      </c>
      <c r="L82" s="26" t="s">
        <v>3</v>
      </c>
      <c r="M82" s="26" t="s">
        <v>3</v>
      </c>
      <c r="N82" s="26" t="s">
        <v>3</v>
      </c>
      <c r="O82" s="23" t="s">
        <v>7</v>
      </c>
      <c r="P82" s="24" t="s">
        <v>9</v>
      </c>
      <c r="Q82" s="26" t="s">
        <v>3</v>
      </c>
      <c r="R82" s="26" t="s">
        <v>3</v>
      </c>
      <c r="S82" s="26" t="s">
        <v>3</v>
      </c>
      <c r="T82" s="26" t="s">
        <v>3</v>
      </c>
      <c r="U82" s="26" t="s">
        <v>3</v>
      </c>
      <c r="V82" s="27" t="s">
        <v>7</v>
      </c>
      <c r="W82" s="28" t="s">
        <v>11</v>
      </c>
      <c r="X82" s="26" t="s">
        <v>3</v>
      </c>
      <c r="Y82" s="26" t="s">
        <v>3</v>
      </c>
      <c r="Z82" s="26" t="s">
        <v>3</v>
      </c>
      <c r="AA82" s="26" t="s">
        <v>3</v>
      </c>
      <c r="AB82" s="26" t="s">
        <v>3</v>
      </c>
      <c r="AC82" s="23" t="s">
        <v>7</v>
      </c>
      <c r="AD82" s="24" t="s">
        <v>9</v>
      </c>
      <c r="AE82" s="26" t="s">
        <v>3</v>
      </c>
      <c r="AF82" s="26" t="s">
        <v>3</v>
      </c>
      <c r="AG82" s="26" t="s">
        <v>3</v>
      </c>
      <c r="AH82" s="26" t="s">
        <v>3</v>
      </c>
      <c r="AI82" s="8">
        <f t="shared" si="24"/>
        <v>23</v>
      </c>
      <c r="AJ82" s="8">
        <f t="shared" si="25"/>
        <v>0</v>
      </c>
      <c r="AK82" s="29">
        <f t="shared" si="26"/>
        <v>2</v>
      </c>
      <c r="AL82" s="62">
        <v>2</v>
      </c>
      <c r="AM82" s="33">
        <f t="shared" si="27"/>
        <v>26</v>
      </c>
      <c r="AN82" s="63">
        <f t="shared" si="28"/>
        <v>184</v>
      </c>
      <c r="AO82" s="63">
        <f t="shared" si="29"/>
        <v>2</v>
      </c>
      <c r="AP82" s="63">
        <f t="shared" si="30"/>
        <v>8</v>
      </c>
      <c r="AQ82" s="53">
        <f t="shared" si="31"/>
        <v>25</v>
      </c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</row>
    <row r="83" spans="1:56" x14ac:dyDescent="0.35"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</row>
    <row r="84" spans="1:56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</row>
    <row r="85" spans="1:56" ht="22" customHeight="1" x14ac:dyDescent="0.35">
      <c r="A85" s="8" t="s">
        <v>192</v>
      </c>
      <c r="B85" s="8" t="s">
        <v>193</v>
      </c>
      <c r="C85" s="8" t="s">
        <v>194</v>
      </c>
      <c r="D85" s="22" t="s">
        <v>5</v>
      </c>
      <c r="E85" s="22" t="s">
        <v>5</v>
      </c>
      <c r="F85" s="22" t="s">
        <v>5</v>
      </c>
      <c r="G85" s="22" t="s">
        <v>5</v>
      </c>
      <c r="H85" s="23" t="s">
        <v>7</v>
      </c>
      <c r="I85" s="24" t="s">
        <v>9</v>
      </c>
      <c r="J85" s="26" t="s">
        <v>3</v>
      </c>
      <c r="K85" s="26" t="s">
        <v>3</v>
      </c>
      <c r="L85" s="26" t="s">
        <v>3</v>
      </c>
      <c r="M85" s="26" t="s">
        <v>3</v>
      </c>
      <c r="N85" s="26" t="s">
        <v>3</v>
      </c>
      <c r="O85" s="23" t="s">
        <v>7</v>
      </c>
      <c r="P85" s="28" t="s">
        <v>11</v>
      </c>
      <c r="Q85" s="26" t="s">
        <v>3</v>
      </c>
      <c r="R85" s="26" t="s">
        <v>3</v>
      </c>
      <c r="S85" s="26" t="s">
        <v>3</v>
      </c>
      <c r="T85" s="26" t="s">
        <v>3</v>
      </c>
      <c r="U85" s="26" t="s">
        <v>3</v>
      </c>
      <c r="V85" s="23" t="s">
        <v>7</v>
      </c>
      <c r="W85" s="24" t="s">
        <v>9</v>
      </c>
      <c r="X85" s="22" t="s">
        <v>5</v>
      </c>
      <c r="Y85" s="22" t="s">
        <v>5</v>
      </c>
      <c r="Z85" s="22" t="s">
        <v>5</v>
      </c>
      <c r="AA85" s="22" t="s">
        <v>5</v>
      </c>
      <c r="AB85" s="22" t="s">
        <v>5</v>
      </c>
      <c r="AC85" s="23" t="s">
        <v>7</v>
      </c>
      <c r="AD85" s="28" t="s">
        <v>11</v>
      </c>
      <c r="AE85" s="26" t="s">
        <v>3</v>
      </c>
      <c r="AF85" s="26" t="s">
        <v>3</v>
      </c>
      <c r="AG85" s="26" t="s">
        <v>3</v>
      </c>
      <c r="AH85" s="26" t="s">
        <v>3</v>
      </c>
      <c r="AI85" s="8">
        <f>COUNTIF(D85:AH85,"ON")</f>
        <v>14</v>
      </c>
      <c r="AJ85" s="8">
        <f>COUNTIF(D85:AH85,"OFF")</f>
        <v>9</v>
      </c>
      <c r="AK85" s="29">
        <f>COUNTIF(D85:AH85,"OT")</f>
        <v>2</v>
      </c>
      <c r="AL85" s="62">
        <v>0</v>
      </c>
      <c r="AM85" s="33">
        <f>AI85+AK85+AL85*0.5</f>
        <v>16</v>
      </c>
      <c r="AN85" s="63">
        <f>NETWORKDAYS(DATE(2025,7,1),EOMONTH(DATE(2025,7,1),0))*8</f>
        <v>184</v>
      </c>
      <c r="AO85" s="63">
        <f>MAX(0,COUNTIF(G85,"ON")+COUNTIF(N85,"ON")+COUNTIF(U85,"ON")+COUNTIF(AB85,"ON")-AL85)</f>
        <v>2</v>
      </c>
      <c r="AP85" s="63">
        <f>AO85*$AP$2</f>
        <v>8</v>
      </c>
      <c r="AQ85" s="53">
        <f>AM85-AP85/8</f>
        <v>15</v>
      </c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</row>
    <row r="86" spans="1:56" ht="22" customHeight="1" x14ac:dyDescent="0.35">
      <c r="A86" s="8" t="s">
        <v>195</v>
      </c>
      <c r="B86" s="8" t="s">
        <v>196</v>
      </c>
      <c r="C86" s="8" t="s">
        <v>194</v>
      </c>
      <c r="D86" s="26" t="s">
        <v>3</v>
      </c>
      <c r="E86" s="26" t="s">
        <v>3</v>
      </c>
      <c r="F86" s="22" t="s">
        <v>5</v>
      </c>
      <c r="G86" s="22" t="s">
        <v>5</v>
      </c>
      <c r="H86" s="23" t="s">
        <v>7</v>
      </c>
      <c r="I86" s="24" t="s">
        <v>9</v>
      </c>
      <c r="J86" s="26" t="s">
        <v>3</v>
      </c>
      <c r="K86" s="26" t="s">
        <v>3</v>
      </c>
      <c r="L86" s="26" t="s">
        <v>3</v>
      </c>
      <c r="M86" s="26" t="s">
        <v>3</v>
      </c>
      <c r="N86" s="26" t="s">
        <v>3</v>
      </c>
      <c r="O86" s="27" t="s">
        <v>7</v>
      </c>
      <c r="P86" s="24" t="s">
        <v>9</v>
      </c>
      <c r="Q86" s="26" t="s">
        <v>3</v>
      </c>
      <c r="R86" s="26" t="s">
        <v>3</v>
      </c>
      <c r="S86" s="26" t="s">
        <v>3</v>
      </c>
      <c r="T86" s="26" t="s">
        <v>3</v>
      </c>
      <c r="U86" s="26" t="s">
        <v>3</v>
      </c>
      <c r="V86" s="23" t="s">
        <v>7</v>
      </c>
      <c r="W86" s="24" t="s">
        <v>9</v>
      </c>
      <c r="X86" s="22" t="s">
        <v>5</v>
      </c>
      <c r="Y86" s="26" t="s">
        <v>3</v>
      </c>
      <c r="Z86" s="26" t="s">
        <v>3</v>
      </c>
      <c r="AA86" s="26" t="s">
        <v>3</v>
      </c>
      <c r="AB86" s="26" t="s">
        <v>3</v>
      </c>
      <c r="AC86" s="27" t="s">
        <v>7</v>
      </c>
      <c r="AD86" s="24" t="s">
        <v>9</v>
      </c>
      <c r="AE86" s="26" t="s">
        <v>3</v>
      </c>
      <c r="AF86" s="26" t="s">
        <v>3</v>
      </c>
      <c r="AG86" s="26" t="s">
        <v>3</v>
      </c>
      <c r="AH86" s="26" t="s">
        <v>3</v>
      </c>
      <c r="AI86" s="8">
        <f>COUNTIF(D86:AH86,"ON")</f>
        <v>20</v>
      </c>
      <c r="AJ86" s="8">
        <f>COUNTIF(D86:AH86,"OFF")</f>
        <v>3</v>
      </c>
      <c r="AK86" s="8">
        <f>COUNTIF(D86:AH86,"OT")</f>
        <v>0</v>
      </c>
      <c r="AL86" s="62">
        <v>2</v>
      </c>
      <c r="AM86" s="33">
        <f>AI86+AK86+AL86*0.5</f>
        <v>21</v>
      </c>
      <c r="AN86" s="63">
        <f>NETWORKDAYS(DATE(2025,7,1),EOMONTH(DATE(2025,7,1),0))*8</f>
        <v>184</v>
      </c>
      <c r="AO86" s="63">
        <f>MAX(0,COUNTIF(G86,"ON")+COUNTIF(N86,"ON")+COUNTIF(U86,"ON")+COUNTIF(AB86,"ON")-AL86)</f>
        <v>1</v>
      </c>
      <c r="AP86" s="63">
        <f>AO86*$AP$2</f>
        <v>4</v>
      </c>
      <c r="AQ86" s="53">
        <f>AM86-AP86/8</f>
        <v>20.5</v>
      </c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</row>
    <row r="87" spans="1:56" ht="22" customHeight="1" x14ac:dyDescent="0.35">
      <c r="A87" s="8" t="s">
        <v>197</v>
      </c>
      <c r="B87" s="8" t="s">
        <v>198</v>
      </c>
      <c r="C87" s="8" t="s">
        <v>194</v>
      </c>
      <c r="D87" s="26" t="s">
        <v>3</v>
      </c>
      <c r="E87" s="26" t="s">
        <v>3</v>
      </c>
      <c r="F87" s="26" t="s">
        <v>3</v>
      </c>
      <c r="G87" s="26" t="s">
        <v>3</v>
      </c>
      <c r="H87" s="27" t="s">
        <v>7</v>
      </c>
      <c r="I87" s="24" t="s">
        <v>9</v>
      </c>
      <c r="J87" s="26" t="s">
        <v>3</v>
      </c>
      <c r="K87" s="26" t="s">
        <v>3</v>
      </c>
      <c r="L87" s="26" t="s">
        <v>3</v>
      </c>
      <c r="M87" s="22" t="s">
        <v>5</v>
      </c>
      <c r="N87" s="22" t="s">
        <v>5</v>
      </c>
      <c r="O87" s="23" t="s">
        <v>7</v>
      </c>
      <c r="P87" s="24" t="s">
        <v>9</v>
      </c>
      <c r="Q87" s="22" t="s">
        <v>5</v>
      </c>
      <c r="R87" s="26" t="s">
        <v>3</v>
      </c>
      <c r="S87" s="26" t="s">
        <v>3</v>
      </c>
      <c r="T87" s="26" t="s">
        <v>3</v>
      </c>
      <c r="U87" s="26" t="s">
        <v>3</v>
      </c>
      <c r="V87" s="27" t="s">
        <v>7</v>
      </c>
      <c r="W87" s="24" t="s">
        <v>9</v>
      </c>
      <c r="X87" s="26" t="s">
        <v>3</v>
      </c>
      <c r="Y87" s="26" t="s">
        <v>3</v>
      </c>
      <c r="Z87" s="22" t="s">
        <v>5</v>
      </c>
      <c r="AA87" s="22" t="s">
        <v>5</v>
      </c>
      <c r="AB87" s="26" t="s">
        <v>3</v>
      </c>
      <c r="AC87" s="23" t="s">
        <v>7</v>
      </c>
      <c r="AD87" s="24" t="s">
        <v>9</v>
      </c>
      <c r="AE87" s="26" t="s">
        <v>3</v>
      </c>
      <c r="AF87" s="26" t="s">
        <v>3</v>
      </c>
      <c r="AG87" s="26" t="s">
        <v>3</v>
      </c>
      <c r="AH87" s="26" t="s">
        <v>3</v>
      </c>
      <c r="AI87" s="8">
        <f>COUNTIF(D87:AH87,"ON")</f>
        <v>18</v>
      </c>
      <c r="AJ87" s="8">
        <f>COUNTIF(D87:AH87,"OFF")</f>
        <v>5</v>
      </c>
      <c r="AK87" s="8">
        <f>COUNTIF(D87:AH87,"OT")</f>
        <v>0</v>
      </c>
      <c r="AL87" s="62">
        <v>2</v>
      </c>
      <c r="AM87" s="33">
        <f>AI87+AK87+AL87*0.5</f>
        <v>19</v>
      </c>
      <c r="AN87" s="63">
        <f>NETWORKDAYS(DATE(2025,7,1),EOMONTH(DATE(2025,7,1),0))*8</f>
        <v>184</v>
      </c>
      <c r="AO87" s="63">
        <f>MAX(0,COUNTIF(G87,"ON")+COUNTIF(N87,"ON")+COUNTIF(U87,"ON")+COUNTIF(AB87,"ON")-AL87)</f>
        <v>1</v>
      </c>
      <c r="AP87" s="63">
        <f>AO87*$AP$2</f>
        <v>4</v>
      </c>
      <c r="AQ87" s="53">
        <f>AM87-AP87/8</f>
        <v>18.5</v>
      </c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</row>
    <row r="88" spans="1:56" ht="22" customHeight="1" x14ac:dyDescent="0.35">
      <c r="A88" s="8" t="s">
        <v>199</v>
      </c>
      <c r="B88" s="8" t="s">
        <v>200</v>
      </c>
      <c r="C88" s="8" t="s">
        <v>194</v>
      </c>
      <c r="D88" s="26" t="s">
        <v>3</v>
      </c>
      <c r="E88" s="26" t="s">
        <v>3</v>
      </c>
      <c r="F88" s="26" t="s">
        <v>3</v>
      </c>
      <c r="G88" s="26" t="s">
        <v>3</v>
      </c>
      <c r="H88" s="23" t="s">
        <v>7</v>
      </c>
      <c r="I88" s="28" t="s">
        <v>11</v>
      </c>
      <c r="J88" s="26" t="s">
        <v>3</v>
      </c>
      <c r="K88" s="26" t="s">
        <v>3</v>
      </c>
      <c r="L88" s="26" t="s">
        <v>3</v>
      </c>
      <c r="M88" s="22" t="s">
        <v>5</v>
      </c>
      <c r="N88" s="22" t="s">
        <v>5</v>
      </c>
      <c r="O88" s="23" t="s">
        <v>7</v>
      </c>
      <c r="P88" s="24" t="s">
        <v>9</v>
      </c>
      <c r="Q88" s="26" t="s">
        <v>3</v>
      </c>
      <c r="R88" s="26" t="s">
        <v>3</v>
      </c>
      <c r="S88" s="26" t="s">
        <v>3</v>
      </c>
      <c r="T88" s="26" t="s">
        <v>3</v>
      </c>
      <c r="U88" s="26" t="s">
        <v>3</v>
      </c>
      <c r="V88" s="23" t="s">
        <v>7</v>
      </c>
      <c r="W88" s="28" t="s">
        <v>11</v>
      </c>
      <c r="X88" s="26" t="s">
        <v>3</v>
      </c>
      <c r="Y88" s="26" t="s">
        <v>3</v>
      </c>
      <c r="Z88" s="26" t="s">
        <v>3</v>
      </c>
      <c r="AA88" s="26" t="s">
        <v>3</v>
      </c>
      <c r="AB88" s="26" t="s">
        <v>3</v>
      </c>
      <c r="AC88" s="23" t="s">
        <v>7</v>
      </c>
      <c r="AD88" s="24" t="s">
        <v>9</v>
      </c>
      <c r="AE88" s="26" t="s">
        <v>3</v>
      </c>
      <c r="AF88" s="26" t="s">
        <v>3</v>
      </c>
      <c r="AG88" s="26" t="s">
        <v>3</v>
      </c>
      <c r="AH88" s="26" t="s">
        <v>3</v>
      </c>
      <c r="AI88" s="8">
        <f>COUNTIF(D88:AH88,"ON")</f>
        <v>21</v>
      </c>
      <c r="AJ88" s="8">
        <f>COUNTIF(D88:AH88,"OFF")</f>
        <v>2</v>
      </c>
      <c r="AK88" s="29">
        <f>COUNTIF(D88:AH88,"OT")</f>
        <v>2</v>
      </c>
      <c r="AL88" s="62">
        <v>0</v>
      </c>
      <c r="AM88" s="33">
        <f>AI88+AK88+AL88*0.5</f>
        <v>23</v>
      </c>
      <c r="AN88" s="63">
        <f>NETWORKDAYS(DATE(2025,7,1),EOMONTH(DATE(2025,7,1),0))*8</f>
        <v>184</v>
      </c>
      <c r="AO88" s="63">
        <f>MAX(0,COUNTIF(G88,"ON")+COUNTIF(N88,"ON")+COUNTIF(U88,"ON")+COUNTIF(AB88,"ON")-AL88)</f>
        <v>3</v>
      </c>
      <c r="AP88" s="63">
        <f>AO88*$AP$2</f>
        <v>12</v>
      </c>
      <c r="AQ88" s="53">
        <f>AM88-AP88/8</f>
        <v>21.5</v>
      </c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</row>
    <row r="89" spans="1:56" ht="22" customHeight="1" x14ac:dyDescent="0.35">
      <c r="A89" s="8" t="s">
        <v>201</v>
      </c>
      <c r="B89" s="8" t="s">
        <v>202</v>
      </c>
      <c r="C89" s="8" t="s">
        <v>194</v>
      </c>
      <c r="D89" s="22" t="s">
        <v>5</v>
      </c>
      <c r="E89" s="22" t="s">
        <v>5</v>
      </c>
      <c r="F89" s="22" t="s">
        <v>5</v>
      </c>
      <c r="G89" s="22" t="s">
        <v>5</v>
      </c>
      <c r="H89" s="23" t="s">
        <v>7</v>
      </c>
      <c r="I89" s="24" t="s">
        <v>9</v>
      </c>
      <c r="J89" s="22" t="s">
        <v>5</v>
      </c>
      <c r="K89" s="22" t="s">
        <v>5</v>
      </c>
      <c r="L89" s="22" t="s">
        <v>5</v>
      </c>
      <c r="M89" s="22" t="s">
        <v>5</v>
      </c>
      <c r="N89" s="22" t="s">
        <v>5</v>
      </c>
      <c r="O89" s="23" t="s">
        <v>7</v>
      </c>
      <c r="P89" s="24" t="s">
        <v>9</v>
      </c>
      <c r="Q89" s="22" t="s">
        <v>5</v>
      </c>
      <c r="R89" s="22" t="s">
        <v>5</v>
      </c>
      <c r="S89" s="22" t="s">
        <v>5</v>
      </c>
      <c r="T89" s="22" t="s">
        <v>5</v>
      </c>
      <c r="U89" s="22" t="s">
        <v>5</v>
      </c>
      <c r="V89" s="23" t="s">
        <v>7</v>
      </c>
      <c r="W89" s="24" t="s">
        <v>9</v>
      </c>
      <c r="X89" s="22" t="s">
        <v>5</v>
      </c>
      <c r="Y89" s="22" t="s">
        <v>5</v>
      </c>
      <c r="Z89" s="22" t="s">
        <v>5</v>
      </c>
      <c r="AA89" s="22" t="s">
        <v>5</v>
      </c>
      <c r="AB89" s="22" t="s">
        <v>5</v>
      </c>
      <c r="AC89" s="23" t="s">
        <v>7</v>
      </c>
      <c r="AD89" s="24" t="s">
        <v>9</v>
      </c>
      <c r="AE89" s="22" t="s">
        <v>5</v>
      </c>
      <c r="AF89" s="22" t="s">
        <v>5</v>
      </c>
      <c r="AG89" s="22" t="s">
        <v>5</v>
      </c>
      <c r="AH89" s="22" t="s">
        <v>5</v>
      </c>
      <c r="AI89" s="8">
        <f>COUNTIF(D89:AH89,"ON")</f>
        <v>0</v>
      </c>
      <c r="AJ89" s="25">
        <f>COUNTIF(D89:AH89,"OFF")</f>
        <v>23</v>
      </c>
      <c r="AK89" s="8">
        <f>COUNTIF(D89:AH89,"OT")</f>
        <v>0</v>
      </c>
      <c r="AL89" s="62">
        <v>0</v>
      </c>
      <c r="AM89" s="33">
        <f>AI89+AK89+AL89*0.5</f>
        <v>0</v>
      </c>
      <c r="AN89" s="63">
        <f>NETWORKDAYS(DATE(2025,7,1),EOMONTH(DATE(2025,7,1),0))*8</f>
        <v>184</v>
      </c>
      <c r="AO89" s="63">
        <f>MAX(0,COUNTIF(G89,"ON")+COUNTIF(N89,"ON")+COUNTIF(U89,"ON")+COUNTIF(AB89,"ON")-AL89)</f>
        <v>0</v>
      </c>
      <c r="AP89" s="63">
        <f>AO89*$AP$2</f>
        <v>0</v>
      </c>
      <c r="AQ89" s="53">
        <f>AM89-AP89/8</f>
        <v>0</v>
      </c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</row>
    <row r="90" spans="1:56" x14ac:dyDescent="0.35"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</row>
    <row r="91" spans="1:56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</row>
    <row r="92" spans="1:56" ht="22" customHeight="1" x14ac:dyDescent="0.35">
      <c r="A92" s="8" t="s">
        <v>204</v>
      </c>
      <c r="B92" s="8" t="s">
        <v>205</v>
      </c>
      <c r="C92" s="8" t="s">
        <v>206</v>
      </c>
      <c r="D92" s="26" t="s">
        <v>3</v>
      </c>
      <c r="E92" s="26" t="s">
        <v>3</v>
      </c>
      <c r="F92" s="26" t="s">
        <v>3</v>
      </c>
      <c r="G92" s="26" t="s">
        <v>3</v>
      </c>
      <c r="H92" s="23" t="s">
        <v>7</v>
      </c>
      <c r="I92" s="24" t="s">
        <v>9</v>
      </c>
      <c r="J92" s="26" t="s">
        <v>3</v>
      </c>
      <c r="K92" s="26" t="s">
        <v>3</v>
      </c>
      <c r="L92" s="26" t="s">
        <v>3</v>
      </c>
      <c r="M92" s="22" t="s">
        <v>5</v>
      </c>
      <c r="N92" s="22" t="s">
        <v>5</v>
      </c>
      <c r="O92" s="23" t="s">
        <v>7</v>
      </c>
      <c r="P92" s="24" t="s">
        <v>9</v>
      </c>
      <c r="Q92" s="26" t="s">
        <v>3</v>
      </c>
      <c r="R92" s="26" t="s">
        <v>3</v>
      </c>
      <c r="S92" s="22" t="s">
        <v>5</v>
      </c>
      <c r="T92" s="22" t="s">
        <v>5</v>
      </c>
      <c r="U92" s="22" t="s">
        <v>5</v>
      </c>
      <c r="V92" s="23" t="s">
        <v>7</v>
      </c>
      <c r="W92" s="24" t="s">
        <v>9</v>
      </c>
      <c r="X92" s="22" t="s">
        <v>5</v>
      </c>
      <c r="Y92" s="22" t="s">
        <v>5</v>
      </c>
      <c r="Z92" s="22" t="s">
        <v>5</v>
      </c>
      <c r="AA92" s="22" t="s">
        <v>5</v>
      </c>
      <c r="AB92" s="22" t="s">
        <v>5</v>
      </c>
      <c r="AC92" s="23" t="s">
        <v>7</v>
      </c>
      <c r="AD92" s="24" t="s">
        <v>9</v>
      </c>
      <c r="AE92" s="22" t="s">
        <v>5</v>
      </c>
      <c r="AF92" s="22" t="s">
        <v>5</v>
      </c>
      <c r="AG92" s="22" t="s">
        <v>5</v>
      </c>
      <c r="AH92" s="22" t="s">
        <v>5</v>
      </c>
      <c r="AI92" s="8">
        <f>COUNTIF(D92:AH92,"ON")</f>
        <v>9</v>
      </c>
      <c r="AJ92" s="25">
        <f>COUNTIF(D92:AH92,"OFF")</f>
        <v>14</v>
      </c>
      <c r="AK92" s="8">
        <f>COUNTIF(D92:AH92,"OT")</f>
        <v>0</v>
      </c>
      <c r="AL92" s="62">
        <v>0</v>
      </c>
      <c r="AM92" s="33">
        <f>AI92+AK92+AL92*0.5</f>
        <v>9</v>
      </c>
      <c r="AN92" s="63">
        <f>NETWORKDAYS(DATE(2025,7,1),EOMONTH(DATE(2025,7,1),0))*8</f>
        <v>184</v>
      </c>
      <c r="AO92" s="63">
        <f>MAX(0,COUNTIF(G92,"ON")+COUNTIF(N92,"ON")+COUNTIF(U92,"ON")+COUNTIF(AB92,"ON")-AL92)</f>
        <v>1</v>
      </c>
      <c r="AP92" s="63">
        <f>AO92*$AP$2</f>
        <v>4</v>
      </c>
      <c r="AQ92" s="53">
        <f>AM92-AP92/8</f>
        <v>8.5</v>
      </c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</row>
    <row r="93" spans="1:56" ht="22" customHeight="1" x14ac:dyDescent="0.35">
      <c r="A93" s="8" t="s">
        <v>207</v>
      </c>
      <c r="B93" s="8" t="s">
        <v>208</v>
      </c>
      <c r="C93" s="8" t="s">
        <v>206</v>
      </c>
      <c r="D93" s="26" t="s">
        <v>3</v>
      </c>
      <c r="E93" s="26" t="s">
        <v>3</v>
      </c>
      <c r="F93" s="22" t="s">
        <v>5</v>
      </c>
      <c r="G93" s="22" t="s">
        <v>5</v>
      </c>
      <c r="H93" s="23" t="s">
        <v>7</v>
      </c>
      <c r="I93" s="24" t="s">
        <v>9</v>
      </c>
      <c r="J93" s="26" t="s">
        <v>3</v>
      </c>
      <c r="K93" s="26" t="s">
        <v>3</v>
      </c>
      <c r="L93" s="26" t="s">
        <v>3</v>
      </c>
      <c r="M93" s="26" t="s">
        <v>3</v>
      </c>
      <c r="N93" s="26" t="s">
        <v>3</v>
      </c>
      <c r="O93" s="27" t="s">
        <v>7</v>
      </c>
      <c r="P93" s="24" t="s">
        <v>9</v>
      </c>
      <c r="Q93" s="26" t="s">
        <v>3</v>
      </c>
      <c r="R93" s="26" t="s">
        <v>3</v>
      </c>
      <c r="S93" s="26" t="s">
        <v>3</v>
      </c>
      <c r="T93" s="26" t="s">
        <v>3</v>
      </c>
      <c r="U93" s="26" t="s">
        <v>3</v>
      </c>
      <c r="V93" s="23" t="s">
        <v>7</v>
      </c>
      <c r="W93" s="24" t="s">
        <v>9</v>
      </c>
      <c r="X93" s="26" t="s">
        <v>3</v>
      </c>
      <c r="Y93" s="26" t="s">
        <v>3</v>
      </c>
      <c r="Z93" s="26" t="s">
        <v>3</v>
      </c>
      <c r="AA93" s="22" t="s">
        <v>5</v>
      </c>
      <c r="AB93" s="26" t="s">
        <v>3</v>
      </c>
      <c r="AC93" s="23" t="s">
        <v>7</v>
      </c>
      <c r="AD93" s="24" t="s">
        <v>9</v>
      </c>
      <c r="AE93" s="26" t="s">
        <v>3</v>
      </c>
      <c r="AF93" s="26" t="s">
        <v>3</v>
      </c>
      <c r="AG93" s="26" t="s">
        <v>3</v>
      </c>
      <c r="AH93" s="26" t="s">
        <v>3</v>
      </c>
      <c r="AI93" s="8">
        <f>COUNTIF(D93:AH93,"ON")</f>
        <v>20</v>
      </c>
      <c r="AJ93" s="8">
        <f>COUNTIF(D93:AH93,"OFF")</f>
        <v>3</v>
      </c>
      <c r="AK93" s="8">
        <f>COUNTIF(D93:AH93,"OT")</f>
        <v>0</v>
      </c>
      <c r="AL93" s="62">
        <v>1</v>
      </c>
      <c r="AM93" s="33">
        <f>AI93+AK93+AL93*0.5</f>
        <v>20.5</v>
      </c>
      <c r="AN93" s="63">
        <f>NETWORKDAYS(DATE(2025,7,1),EOMONTH(DATE(2025,7,1),0))*8</f>
        <v>184</v>
      </c>
      <c r="AO93" s="63">
        <f>MAX(0,COUNTIF(G93,"ON")+COUNTIF(N93,"ON")+COUNTIF(U93,"ON")+COUNTIF(AB93,"ON")-AL93)</f>
        <v>2</v>
      </c>
      <c r="AP93" s="63">
        <f>AO93*$AP$2</f>
        <v>8</v>
      </c>
      <c r="AQ93" s="53">
        <f>AM93-AP93/8</f>
        <v>19.5</v>
      </c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</row>
    <row r="94" spans="1:56" ht="22" customHeight="1" x14ac:dyDescent="0.35">
      <c r="A94" s="8" t="s">
        <v>209</v>
      </c>
      <c r="B94" s="8" t="s">
        <v>210</v>
      </c>
      <c r="C94" s="8" t="s">
        <v>206</v>
      </c>
      <c r="D94" s="26" t="s">
        <v>3</v>
      </c>
      <c r="E94" s="26" t="s">
        <v>3</v>
      </c>
      <c r="F94" s="26" t="s">
        <v>3</v>
      </c>
      <c r="G94" s="26" t="s">
        <v>3</v>
      </c>
      <c r="H94" s="23" t="s">
        <v>7</v>
      </c>
      <c r="I94" s="24" t="s">
        <v>9</v>
      </c>
      <c r="J94" s="26" t="s">
        <v>3</v>
      </c>
      <c r="K94" s="26" t="s">
        <v>3</v>
      </c>
      <c r="L94" s="26" t="s">
        <v>3</v>
      </c>
      <c r="M94" s="22" t="s">
        <v>5</v>
      </c>
      <c r="N94" s="22" t="s">
        <v>5</v>
      </c>
      <c r="O94" s="23" t="s">
        <v>7</v>
      </c>
      <c r="P94" s="24" t="s">
        <v>9</v>
      </c>
      <c r="Q94" s="26" t="s">
        <v>3</v>
      </c>
      <c r="R94" s="26" t="s">
        <v>3</v>
      </c>
      <c r="S94" s="26" t="s">
        <v>3</v>
      </c>
      <c r="T94" s="26" t="s">
        <v>3</v>
      </c>
      <c r="U94" s="26" t="s">
        <v>3</v>
      </c>
      <c r="V94" s="23" t="s">
        <v>7</v>
      </c>
      <c r="W94" s="24" t="s">
        <v>9</v>
      </c>
      <c r="X94" s="26" t="s">
        <v>3</v>
      </c>
      <c r="Y94" s="26" t="s">
        <v>3</v>
      </c>
      <c r="Z94" s="22" t="s">
        <v>5</v>
      </c>
      <c r="AA94" s="26" t="s">
        <v>3</v>
      </c>
      <c r="AB94" s="26" t="s">
        <v>3</v>
      </c>
      <c r="AC94" s="27" t="s">
        <v>7</v>
      </c>
      <c r="AD94" s="24" t="s">
        <v>9</v>
      </c>
      <c r="AE94" s="26" t="s">
        <v>3</v>
      </c>
      <c r="AF94" s="26" t="s">
        <v>3</v>
      </c>
      <c r="AG94" s="26" t="s">
        <v>3</v>
      </c>
      <c r="AH94" s="26" t="s">
        <v>3</v>
      </c>
      <c r="AI94" s="8">
        <f>COUNTIF(D94:AH94,"ON")</f>
        <v>20</v>
      </c>
      <c r="AJ94" s="8">
        <f>COUNTIF(D94:AH94,"OFF")</f>
        <v>3</v>
      </c>
      <c r="AK94" s="8">
        <f>COUNTIF(D94:AH94,"OT")</f>
        <v>0</v>
      </c>
      <c r="AL94" s="62">
        <v>1</v>
      </c>
      <c r="AM94" s="33">
        <f>AI94+AK94+AL94*0.5</f>
        <v>20.5</v>
      </c>
      <c r="AN94" s="63">
        <f>NETWORKDAYS(DATE(2025,7,1),EOMONTH(DATE(2025,7,1),0))*8</f>
        <v>184</v>
      </c>
      <c r="AO94" s="63">
        <f>MAX(0,COUNTIF(G94,"ON")+COUNTIF(N94,"ON")+COUNTIF(U94,"ON")+COUNTIF(AB94,"ON")-AL94)</f>
        <v>2</v>
      </c>
      <c r="AP94" s="63">
        <f>AO94*$AP$2</f>
        <v>8</v>
      </c>
      <c r="AQ94" s="53">
        <f>AM94-AP94/8</f>
        <v>19.5</v>
      </c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</row>
    <row r="95" spans="1:56" ht="22" customHeight="1" x14ac:dyDescent="0.35">
      <c r="A95" s="8" t="s">
        <v>211</v>
      </c>
      <c r="B95" s="8" t="s">
        <v>212</v>
      </c>
      <c r="C95" s="8" t="s">
        <v>206</v>
      </c>
      <c r="D95" s="22" t="s">
        <v>5</v>
      </c>
      <c r="E95" s="22" t="s">
        <v>5</v>
      </c>
      <c r="F95" s="22" t="s">
        <v>5</v>
      </c>
      <c r="G95" s="22" t="s">
        <v>5</v>
      </c>
      <c r="H95" s="23" t="s">
        <v>7</v>
      </c>
      <c r="I95" s="24" t="s">
        <v>9</v>
      </c>
      <c r="J95" s="22" t="s">
        <v>5</v>
      </c>
      <c r="K95" s="22" t="s">
        <v>5</v>
      </c>
      <c r="L95" s="22" t="s">
        <v>5</v>
      </c>
      <c r="M95" s="22" t="s">
        <v>5</v>
      </c>
      <c r="N95" s="22" t="s">
        <v>5</v>
      </c>
      <c r="O95" s="23" t="s">
        <v>7</v>
      </c>
      <c r="P95" s="24" t="s">
        <v>9</v>
      </c>
      <c r="Q95" s="22" t="s">
        <v>5</v>
      </c>
      <c r="R95" s="26" t="s">
        <v>3</v>
      </c>
      <c r="S95" s="26" t="s">
        <v>3</v>
      </c>
      <c r="T95" s="26" t="s">
        <v>3</v>
      </c>
      <c r="U95" s="26" t="s">
        <v>3</v>
      </c>
      <c r="V95" s="27" t="s">
        <v>7</v>
      </c>
      <c r="W95" s="24" t="s">
        <v>9</v>
      </c>
      <c r="X95" s="26" t="s">
        <v>3</v>
      </c>
      <c r="Y95" s="26" t="s">
        <v>3</v>
      </c>
      <c r="Z95" s="26" t="s">
        <v>3</v>
      </c>
      <c r="AA95" s="26" t="s">
        <v>3</v>
      </c>
      <c r="AB95" s="26" t="s">
        <v>3</v>
      </c>
      <c r="AC95" s="23" t="s">
        <v>7</v>
      </c>
      <c r="AD95" s="24" t="s">
        <v>9</v>
      </c>
      <c r="AE95" s="26" t="s">
        <v>3</v>
      </c>
      <c r="AF95" s="26" t="s">
        <v>3</v>
      </c>
      <c r="AG95" s="26" t="s">
        <v>3</v>
      </c>
      <c r="AH95" s="26" t="s">
        <v>3</v>
      </c>
      <c r="AI95" s="8">
        <f>COUNTIF(D95:AH95,"ON")</f>
        <v>13</v>
      </c>
      <c r="AJ95" s="8">
        <f>COUNTIF(D95:AH95,"OFF")</f>
        <v>10</v>
      </c>
      <c r="AK95" s="8">
        <f>COUNTIF(D95:AH95,"OT")</f>
        <v>0</v>
      </c>
      <c r="AL95" s="62">
        <v>1</v>
      </c>
      <c r="AM95" s="33">
        <f>AI95+AK95+AL95*0.5</f>
        <v>13.5</v>
      </c>
      <c r="AN95" s="63">
        <f>NETWORKDAYS(DATE(2025,7,1),EOMONTH(DATE(2025,7,1),0))*8</f>
        <v>184</v>
      </c>
      <c r="AO95" s="63">
        <f>MAX(0,COUNTIF(G95,"ON")+COUNTIF(N95,"ON")+COUNTIF(U95,"ON")+COUNTIF(AB95,"ON")-AL95)</f>
        <v>1</v>
      </c>
      <c r="AP95" s="63">
        <f>AO95*$AP$2</f>
        <v>4</v>
      </c>
      <c r="AQ95" s="53">
        <f>AM95-AP95/8</f>
        <v>13</v>
      </c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</row>
    <row r="96" spans="1:56" x14ac:dyDescent="0.35"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</row>
    <row r="97" spans="1:56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</row>
    <row r="98" spans="1:56" ht="22" customHeight="1" x14ac:dyDescent="0.35">
      <c r="A98" s="8" t="s">
        <v>214</v>
      </c>
      <c r="B98" s="8" t="s">
        <v>215</v>
      </c>
      <c r="C98" s="8" t="s">
        <v>216</v>
      </c>
      <c r="D98" s="26" t="s">
        <v>3</v>
      </c>
      <c r="E98" s="26" t="s">
        <v>3</v>
      </c>
      <c r="F98" s="22" t="s">
        <v>5</v>
      </c>
      <c r="G98" s="22" t="s">
        <v>5</v>
      </c>
      <c r="H98" s="23" t="s">
        <v>7</v>
      </c>
      <c r="I98" s="24" t="s">
        <v>9</v>
      </c>
      <c r="J98" s="26" t="s">
        <v>3</v>
      </c>
      <c r="K98" s="26" t="s">
        <v>3</v>
      </c>
      <c r="L98" s="26" t="s">
        <v>3</v>
      </c>
      <c r="M98" s="26" t="s">
        <v>3</v>
      </c>
      <c r="N98" s="26" t="s">
        <v>3</v>
      </c>
      <c r="O98" s="27" t="s">
        <v>7</v>
      </c>
      <c r="P98" s="24" t="s">
        <v>9</v>
      </c>
      <c r="Q98" s="26" t="s">
        <v>3</v>
      </c>
      <c r="R98" s="26" t="s">
        <v>3</v>
      </c>
      <c r="S98" s="26" t="s">
        <v>3</v>
      </c>
      <c r="T98" s="26" t="s">
        <v>3</v>
      </c>
      <c r="U98" s="26" t="s">
        <v>3</v>
      </c>
      <c r="V98" s="23" t="s">
        <v>7</v>
      </c>
      <c r="W98" s="24" t="s">
        <v>9</v>
      </c>
      <c r="X98" s="26" t="s">
        <v>3</v>
      </c>
      <c r="Y98" s="26" t="s">
        <v>3</v>
      </c>
      <c r="Z98" s="26" t="s">
        <v>3</v>
      </c>
      <c r="AA98" s="26" t="s">
        <v>3</v>
      </c>
      <c r="AB98" s="26" t="s">
        <v>3</v>
      </c>
      <c r="AC98" s="23" t="s">
        <v>7</v>
      </c>
      <c r="AD98" s="24" t="s">
        <v>9</v>
      </c>
      <c r="AE98" s="26" t="s">
        <v>3</v>
      </c>
      <c r="AF98" s="26" t="s">
        <v>3</v>
      </c>
      <c r="AG98" s="26" t="s">
        <v>3</v>
      </c>
      <c r="AH98" s="26" t="s">
        <v>3</v>
      </c>
      <c r="AI98" s="8">
        <f t="shared" ref="AI98:AI111" si="32">COUNTIF(D98:AH98,"ON")</f>
        <v>21</v>
      </c>
      <c r="AJ98" s="8">
        <f t="shared" ref="AJ98:AJ111" si="33">COUNTIF(D98:AH98,"OFF")</f>
        <v>2</v>
      </c>
      <c r="AK98" s="8">
        <f t="shared" ref="AK98:AK111" si="34">COUNTIF(D98:AH98,"OT")</f>
        <v>0</v>
      </c>
      <c r="AL98" s="62">
        <v>1</v>
      </c>
      <c r="AM98" s="33">
        <f t="shared" ref="AM98:AM111" si="35">AI98+AK98+AL98*0.5</f>
        <v>21.5</v>
      </c>
      <c r="AN98" s="63">
        <f t="shared" ref="AN98:AN111" si="36">NETWORKDAYS(DATE(2025,7,1),EOMONTH(DATE(2025,7,1),0))*8</f>
        <v>184</v>
      </c>
      <c r="AO98" s="63">
        <f t="shared" ref="AO98:AO111" si="37">MAX(0,COUNTIF(G98,"ON")+COUNTIF(N98,"ON")+COUNTIF(U98,"ON")+COUNTIF(AB98,"ON")-AL98)</f>
        <v>2</v>
      </c>
      <c r="AP98" s="63">
        <f t="shared" ref="AP98:AP111" si="38">AO98*$AP$2</f>
        <v>8</v>
      </c>
      <c r="AQ98" s="53">
        <f t="shared" ref="AQ98:AQ111" si="39">AM98-AP98/8</f>
        <v>20.5</v>
      </c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</row>
    <row r="99" spans="1:56" ht="22" customHeight="1" x14ac:dyDescent="0.35">
      <c r="A99" s="8" t="s">
        <v>217</v>
      </c>
      <c r="B99" s="8" t="s">
        <v>218</v>
      </c>
      <c r="C99" s="8" t="s">
        <v>216</v>
      </c>
      <c r="D99" s="26" t="s">
        <v>3</v>
      </c>
      <c r="E99" s="26" t="s">
        <v>3</v>
      </c>
      <c r="F99" s="26" t="s">
        <v>3</v>
      </c>
      <c r="G99" s="26" t="s">
        <v>3</v>
      </c>
      <c r="H99" s="23" t="s">
        <v>7</v>
      </c>
      <c r="I99" s="24" t="s">
        <v>9</v>
      </c>
      <c r="J99" s="26" t="s">
        <v>3</v>
      </c>
      <c r="K99" s="26" t="s">
        <v>3</v>
      </c>
      <c r="L99" s="26" t="s">
        <v>3</v>
      </c>
      <c r="M99" s="26" t="s">
        <v>3</v>
      </c>
      <c r="N99" s="26" t="s">
        <v>3</v>
      </c>
      <c r="O99" s="27" t="s">
        <v>7</v>
      </c>
      <c r="P99" s="24" t="s">
        <v>9</v>
      </c>
      <c r="Q99" s="22" t="s">
        <v>5</v>
      </c>
      <c r="R99" s="22" t="s">
        <v>5</v>
      </c>
      <c r="S99" s="26" t="s">
        <v>3</v>
      </c>
      <c r="T99" s="26" t="s">
        <v>3</v>
      </c>
      <c r="U99" s="26" t="s">
        <v>3</v>
      </c>
      <c r="V99" s="23" t="s">
        <v>7</v>
      </c>
      <c r="W99" s="24" t="s">
        <v>9</v>
      </c>
      <c r="X99" s="22" t="s">
        <v>5</v>
      </c>
      <c r="Y99" s="26" t="s">
        <v>3</v>
      </c>
      <c r="Z99" s="26" t="s">
        <v>3</v>
      </c>
      <c r="AA99" s="26" t="s">
        <v>3</v>
      </c>
      <c r="AB99" s="26" t="s">
        <v>3</v>
      </c>
      <c r="AC99" s="23" t="s">
        <v>7</v>
      </c>
      <c r="AD99" s="24" t="s">
        <v>9</v>
      </c>
      <c r="AE99" s="26" t="s">
        <v>3</v>
      </c>
      <c r="AF99" s="26" t="s">
        <v>3</v>
      </c>
      <c r="AG99" s="26" t="s">
        <v>3</v>
      </c>
      <c r="AH99" s="26" t="s">
        <v>3</v>
      </c>
      <c r="AI99" s="8">
        <f t="shared" si="32"/>
        <v>20</v>
      </c>
      <c r="AJ99" s="8">
        <f t="shared" si="33"/>
        <v>3</v>
      </c>
      <c r="AK99" s="8">
        <f t="shared" si="34"/>
        <v>0</v>
      </c>
      <c r="AL99" s="62">
        <v>1</v>
      </c>
      <c r="AM99" s="33">
        <f t="shared" si="35"/>
        <v>20.5</v>
      </c>
      <c r="AN99" s="63">
        <f t="shared" si="36"/>
        <v>184</v>
      </c>
      <c r="AO99" s="63">
        <f t="shared" si="37"/>
        <v>3</v>
      </c>
      <c r="AP99" s="63">
        <f t="shared" si="38"/>
        <v>12</v>
      </c>
      <c r="AQ99" s="53">
        <f t="shared" si="39"/>
        <v>19</v>
      </c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</row>
    <row r="100" spans="1:56" ht="22" customHeight="1" x14ac:dyDescent="0.35">
      <c r="A100" s="8" t="s">
        <v>219</v>
      </c>
      <c r="B100" s="8" t="s">
        <v>220</v>
      </c>
      <c r="C100" s="8" t="s">
        <v>216</v>
      </c>
      <c r="D100" s="26" t="s">
        <v>3</v>
      </c>
      <c r="E100" s="22" t="s">
        <v>5</v>
      </c>
      <c r="F100" s="26" t="s">
        <v>3</v>
      </c>
      <c r="G100" s="26" t="s">
        <v>3</v>
      </c>
      <c r="H100" s="23" t="s">
        <v>7</v>
      </c>
      <c r="I100" s="24" t="s">
        <v>9</v>
      </c>
      <c r="J100" s="26" t="s">
        <v>3</v>
      </c>
      <c r="K100" s="26" t="s">
        <v>3</v>
      </c>
      <c r="L100" s="22" t="s">
        <v>5</v>
      </c>
      <c r="M100" s="26" t="s">
        <v>3</v>
      </c>
      <c r="N100" s="22" t="s">
        <v>5</v>
      </c>
      <c r="O100" s="23" t="s">
        <v>7</v>
      </c>
      <c r="P100" s="24" t="s">
        <v>9</v>
      </c>
      <c r="Q100" s="26" t="s">
        <v>3</v>
      </c>
      <c r="R100" s="26" t="s">
        <v>3</v>
      </c>
      <c r="S100" s="26" t="s">
        <v>3</v>
      </c>
      <c r="T100" s="26" t="s">
        <v>3</v>
      </c>
      <c r="U100" s="26" t="s">
        <v>3</v>
      </c>
      <c r="V100" s="23" t="s">
        <v>7</v>
      </c>
      <c r="W100" s="24" t="s">
        <v>9</v>
      </c>
      <c r="X100" s="26" t="s">
        <v>3</v>
      </c>
      <c r="Y100" s="26" t="s">
        <v>3</v>
      </c>
      <c r="Z100" s="26" t="s">
        <v>3</v>
      </c>
      <c r="AA100" s="26" t="s">
        <v>3</v>
      </c>
      <c r="AB100" s="26" t="s">
        <v>3</v>
      </c>
      <c r="AC100" s="23" t="s">
        <v>7</v>
      </c>
      <c r="AD100" s="24" t="s">
        <v>9</v>
      </c>
      <c r="AE100" s="26" t="s">
        <v>3</v>
      </c>
      <c r="AF100" s="26" t="s">
        <v>3</v>
      </c>
      <c r="AG100" s="26" t="s">
        <v>3</v>
      </c>
      <c r="AH100" s="22" t="s">
        <v>5</v>
      </c>
      <c r="AI100" s="8">
        <f t="shared" si="32"/>
        <v>19</v>
      </c>
      <c r="AJ100" s="8">
        <f t="shared" si="33"/>
        <v>4</v>
      </c>
      <c r="AK100" s="8">
        <f t="shared" si="34"/>
        <v>0</v>
      </c>
      <c r="AL100" s="62">
        <v>0</v>
      </c>
      <c r="AM100" s="33">
        <f t="shared" si="35"/>
        <v>19</v>
      </c>
      <c r="AN100" s="63">
        <f t="shared" si="36"/>
        <v>184</v>
      </c>
      <c r="AO100" s="63">
        <f t="shared" si="37"/>
        <v>3</v>
      </c>
      <c r="AP100" s="63">
        <f t="shared" si="38"/>
        <v>12</v>
      </c>
      <c r="AQ100" s="53">
        <f t="shared" si="39"/>
        <v>17.5</v>
      </c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</row>
    <row r="101" spans="1:56" ht="22" customHeight="1" x14ac:dyDescent="0.35">
      <c r="A101" s="8" t="s">
        <v>221</v>
      </c>
      <c r="B101" s="8" t="s">
        <v>222</v>
      </c>
      <c r="C101" s="8" t="s">
        <v>216</v>
      </c>
      <c r="D101" s="26" t="s">
        <v>3</v>
      </c>
      <c r="E101" s="26" t="s">
        <v>3</v>
      </c>
      <c r="F101" s="26" t="s">
        <v>3</v>
      </c>
      <c r="G101" s="26" t="s">
        <v>3</v>
      </c>
      <c r="H101" s="23" t="s">
        <v>7</v>
      </c>
      <c r="I101" s="24" t="s">
        <v>9</v>
      </c>
      <c r="J101" s="26" t="s">
        <v>3</v>
      </c>
      <c r="K101" s="26" t="s">
        <v>3</v>
      </c>
      <c r="L101" s="26" t="s">
        <v>3</v>
      </c>
      <c r="M101" s="26" t="s">
        <v>3</v>
      </c>
      <c r="N101" s="26" t="s">
        <v>3</v>
      </c>
      <c r="O101" s="23" t="s">
        <v>7</v>
      </c>
      <c r="P101" s="24" t="s">
        <v>9</v>
      </c>
      <c r="Q101" s="26" t="s">
        <v>3</v>
      </c>
      <c r="R101" s="26" t="s">
        <v>3</v>
      </c>
      <c r="S101" s="26" t="s">
        <v>3</v>
      </c>
      <c r="T101" s="26" t="s">
        <v>3</v>
      </c>
      <c r="U101" s="26" t="s">
        <v>3</v>
      </c>
      <c r="V101" s="23" t="s">
        <v>7</v>
      </c>
      <c r="W101" s="24" t="s">
        <v>9</v>
      </c>
      <c r="X101" s="26" t="s">
        <v>3</v>
      </c>
      <c r="Y101" s="26" t="s">
        <v>3</v>
      </c>
      <c r="Z101" s="26" t="s">
        <v>3</v>
      </c>
      <c r="AA101" s="26" t="s">
        <v>3</v>
      </c>
      <c r="AB101" s="26" t="s">
        <v>3</v>
      </c>
      <c r="AC101" s="23" t="s">
        <v>7</v>
      </c>
      <c r="AD101" s="24" t="s">
        <v>9</v>
      </c>
      <c r="AE101" s="26" t="s">
        <v>3</v>
      </c>
      <c r="AF101" s="26" t="s">
        <v>3</v>
      </c>
      <c r="AG101" s="26" t="s">
        <v>3</v>
      </c>
      <c r="AH101" s="26" t="s">
        <v>3</v>
      </c>
      <c r="AI101" s="8">
        <f t="shared" si="32"/>
        <v>23</v>
      </c>
      <c r="AJ101" s="8">
        <f t="shared" si="33"/>
        <v>0</v>
      </c>
      <c r="AK101" s="8">
        <f t="shared" si="34"/>
        <v>0</v>
      </c>
      <c r="AL101" s="62">
        <v>0</v>
      </c>
      <c r="AM101" s="33">
        <f t="shared" si="35"/>
        <v>23</v>
      </c>
      <c r="AN101" s="63">
        <f t="shared" si="36"/>
        <v>184</v>
      </c>
      <c r="AO101" s="63">
        <f t="shared" si="37"/>
        <v>4</v>
      </c>
      <c r="AP101" s="63">
        <f t="shared" si="38"/>
        <v>16</v>
      </c>
      <c r="AQ101" s="53">
        <f t="shared" si="39"/>
        <v>21</v>
      </c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</row>
    <row r="102" spans="1:56" ht="22" customHeight="1" x14ac:dyDescent="0.35">
      <c r="A102" s="8" t="s">
        <v>223</v>
      </c>
      <c r="B102" s="8" t="s">
        <v>224</v>
      </c>
      <c r="C102" s="8" t="s">
        <v>216</v>
      </c>
      <c r="D102" s="22" t="s">
        <v>5</v>
      </c>
      <c r="E102" s="22" t="s">
        <v>5</v>
      </c>
      <c r="F102" s="22" t="s">
        <v>5</v>
      </c>
      <c r="G102" s="22" t="s">
        <v>5</v>
      </c>
      <c r="H102" s="23" t="s">
        <v>7</v>
      </c>
      <c r="I102" s="24" t="s">
        <v>9</v>
      </c>
      <c r="J102" s="22" t="s">
        <v>5</v>
      </c>
      <c r="K102" s="22" t="s">
        <v>5</v>
      </c>
      <c r="L102" s="26" t="s">
        <v>3</v>
      </c>
      <c r="M102" s="26" t="s">
        <v>3</v>
      </c>
      <c r="N102" s="26" t="s">
        <v>3</v>
      </c>
      <c r="O102" s="23" t="s">
        <v>7</v>
      </c>
      <c r="P102" s="24" t="s">
        <v>9</v>
      </c>
      <c r="Q102" s="22" t="s">
        <v>5</v>
      </c>
      <c r="R102" s="26" t="s">
        <v>3</v>
      </c>
      <c r="S102" s="26" t="s">
        <v>3</v>
      </c>
      <c r="T102" s="26" t="s">
        <v>3</v>
      </c>
      <c r="U102" s="26" t="s">
        <v>3</v>
      </c>
      <c r="V102" s="23" t="s">
        <v>7</v>
      </c>
      <c r="W102" s="24" t="s">
        <v>9</v>
      </c>
      <c r="X102" s="26" t="s">
        <v>3</v>
      </c>
      <c r="Y102" s="26" t="s">
        <v>3</v>
      </c>
      <c r="Z102" s="26" t="s">
        <v>3</v>
      </c>
      <c r="AA102" s="26" t="s">
        <v>3</v>
      </c>
      <c r="AB102" s="26" t="s">
        <v>3</v>
      </c>
      <c r="AC102" s="27" t="s">
        <v>7</v>
      </c>
      <c r="AD102" s="24" t="s">
        <v>9</v>
      </c>
      <c r="AE102" s="26" t="s">
        <v>3</v>
      </c>
      <c r="AF102" s="26" t="s">
        <v>3</v>
      </c>
      <c r="AG102" s="26" t="s">
        <v>3</v>
      </c>
      <c r="AH102" s="26" t="s">
        <v>3</v>
      </c>
      <c r="AI102" s="8">
        <f t="shared" si="32"/>
        <v>16</v>
      </c>
      <c r="AJ102" s="8">
        <f t="shared" si="33"/>
        <v>7</v>
      </c>
      <c r="AK102" s="8">
        <f t="shared" si="34"/>
        <v>0</v>
      </c>
      <c r="AL102" s="62">
        <v>1</v>
      </c>
      <c r="AM102" s="33">
        <f t="shared" si="35"/>
        <v>16.5</v>
      </c>
      <c r="AN102" s="63">
        <f t="shared" si="36"/>
        <v>184</v>
      </c>
      <c r="AO102" s="63">
        <f t="shared" si="37"/>
        <v>2</v>
      </c>
      <c r="AP102" s="63">
        <f t="shared" si="38"/>
        <v>8</v>
      </c>
      <c r="AQ102" s="53">
        <f t="shared" si="39"/>
        <v>15.5</v>
      </c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</row>
    <row r="103" spans="1:56" ht="22" customHeight="1" x14ac:dyDescent="0.35">
      <c r="A103" s="8" t="s">
        <v>225</v>
      </c>
      <c r="B103" s="8" t="s">
        <v>226</v>
      </c>
      <c r="C103" s="8" t="s">
        <v>216</v>
      </c>
      <c r="D103" s="22" t="s">
        <v>5</v>
      </c>
      <c r="E103" s="22" t="s">
        <v>5</v>
      </c>
      <c r="F103" s="22" t="s">
        <v>5</v>
      </c>
      <c r="G103" s="22" t="s">
        <v>5</v>
      </c>
      <c r="H103" s="23" t="s">
        <v>7</v>
      </c>
      <c r="I103" s="24" t="s">
        <v>9</v>
      </c>
      <c r="J103" s="22" t="s">
        <v>5</v>
      </c>
      <c r="K103" s="22" t="s">
        <v>5</v>
      </c>
      <c r="L103" s="22" t="s">
        <v>5</v>
      </c>
      <c r="M103" s="22" t="s">
        <v>5</v>
      </c>
      <c r="N103" s="22" t="s">
        <v>5</v>
      </c>
      <c r="O103" s="23" t="s">
        <v>7</v>
      </c>
      <c r="P103" s="24" t="s">
        <v>9</v>
      </c>
      <c r="Q103" s="22" t="s">
        <v>5</v>
      </c>
      <c r="R103" s="22" t="s">
        <v>5</v>
      </c>
      <c r="S103" s="22" t="s">
        <v>5</v>
      </c>
      <c r="T103" s="22" t="s">
        <v>5</v>
      </c>
      <c r="U103" s="22" t="s">
        <v>5</v>
      </c>
      <c r="V103" s="23" t="s">
        <v>7</v>
      </c>
      <c r="W103" s="24" t="s">
        <v>9</v>
      </c>
      <c r="X103" s="22" t="s">
        <v>5</v>
      </c>
      <c r="Y103" s="22" t="s">
        <v>5</v>
      </c>
      <c r="Z103" s="22" t="s">
        <v>5</v>
      </c>
      <c r="AA103" s="26" t="s">
        <v>3</v>
      </c>
      <c r="AB103" s="26" t="s">
        <v>3</v>
      </c>
      <c r="AC103" s="23" t="s">
        <v>7</v>
      </c>
      <c r="AD103" s="24" t="s">
        <v>9</v>
      </c>
      <c r="AE103" s="26" t="s">
        <v>3</v>
      </c>
      <c r="AF103" s="26" t="s">
        <v>3</v>
      </c>
      <c r="AG103" s="26" t="s">
        <v>3</v>
      </c>
      <c r="AH103" s="26" t="s">
        <v>3</v>
      </c>
      <c r="AI103" s="8">
        <f t="shared" si="32"/>
        <v>6</v>
      </c>
      <c r="AJ103" s="25">
        <f t="shared" si="33"/>
        <v>17</v>
      </c>
      <c r="AK103" s="8">
        <f t="shared" si="34"/>
        <v>0</v>
      </c>
      <c r="AL103" s="62">
        <v>0</v>
      </c>
      <c r="AM103" s="33">
        <f t="shared" si="35"/>
        <v>6</v>
      </c>
      <c r="AN103" s="63">
        <f t="shared" si="36"/>
        <v>184</v>
      </c>
      <c r="AO103" s="63">
        <f t="shared" si="37"/>
        <v>1</v>
      </c>
      <c r="AP103" s="63">
        <f t="shared" si="38"/>
        <v>4</v>
      </c>
      <c r="AQ103" s="53">
        <f t="shared" si="39"/>
        <v>5.5</v>
      </c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</row>
    <row r="104" spans="1:56" ht="22" customHeight="1" x14ac:dyDescent="0.35">
      <c r="A104" s="8" t="s">
        <v>227</v>
      </c>
      <c r="B104" s="8" t="s">
        <v>228</v>
      </c>
      <c r="C104" s="8" t="s">
        <v>216</v>
      </c>
      <c r="D104" s="26" t="s">
        <v>3</v>
      </c>
      <c r="E104" s="26" t="s">
        <v>3</v>
      </c>
      <c r="F104" s="26" t="s">
        <v>3</v>
      </c>
      <c r="G104" s="26" t="s">
        <v>3</v>
      </c>
      <c r="H104" s="23" t="s">
        <v>7</v>
      </c>
      <c r="I104" s="24" t="s">
        <v>9</v>
      </c>
      <c r="J104" s="26" t="s">
        <v>3</v>
      </c>
      <c r="K104" s="26" t="s">
        <v>3</v>
      </c>
      <c r="L104" s="26" t="s">
        <v>3</v>
      </c>
      <c r="M104" s="26" t="s">
        <v>3</v>
      </c>
      <c r="N104" s="26" t="s">
        <v>3</v>
      </c>
      <c r="O104" s="23" t="s">
        <v>7</v>
      </c>
      <c r="P104" s="24" t="s">
        <v>9</v>
      </c>
      <c r="Q104" s="26" t="s">
        <v>3</v>
      </c>
      <c r="R104" s="26" t="s">
        <v>3</v>
      </c>
      <c r="S104" s="26" t="s">
        <v>3</v>
      </c>
      <c r="T104" s="26" t="s">
        <v>3</v>
      </c>
      <c r="U104" s="26" t="s">
        <v>3</v>
      </c>
      <c r="V104" s="23" t="s">
        <v>7</v>
      </c>
      <c r="W104" s="24" t="s">
        <v>9</v>
      </c>
      <c r="X104" s="26" t="s">
        <v>3</v>
      </c>
      <c r="Y104" s="26" t="s">
        <v>3</v>
      </c>
      <c r="Z104" s="26" t="s">
        <v>3</v>
      </c>
      <c r="AA104" s="26" t="s">
        <v>3</v>
      </c>
      <c r="AB104" s="26" t="s">
        <v>3</v>
      </c>
      <c r="AC104" s="23" t="s">
        <v>7</v>
      </c>
      <c r="AD104" s="24" t="s">
        <v>9</v>
      </c>
      <c r="AE104" s="26" t="s">
        <v>3</v>
      </c>
      <c r="AF104" s="26" t="s">
        <v>3</v>
      </c>
      <c r="AG104" s="26" t="s">
        <v>3</v>
      </c>
      <c r="AH104" s="26" t="s">
        <v>3</v>
      </c>
      <c r="AI104" s="8">
        <f t="shared" si="32"/>
        <v>23</v>
      </c>
      <c r="AJ104" s="8">
        <f t="shared" si="33"/>
        <v>0</v>
      </c>
      <c r="AK104" s="8">
        <f t="shared" si="34"/>
        <v>0</v>
      </c>
      <c r="AL104" s="62">
        <v>0</v>
      </c>
      <c r="AM104" s="33">
        <f t="shared" si="35"/>
        <v>23</v>
      </c>
      <c r="AN104" s="63">
        <f t="shared" si="36"/>
        <v>184</v>
      </c>
      <c r="AO104" s="63">
        <f t="shared" si="37"/>
        <v>4</v>
      </c>
      <c r="AP104" s="63">
        <f t="shared" si="38"/>
        <v>16</v>
      </c>
      <c r="AQ104" s="53">
        <f t="shared" si="39"/>
        <v>21</v>
      </c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</row>
    <row r="105" spans="1:56" ht="22" customHeight="1" x14ac:dyDescent="0.35">
      <c r="A105" s="8" t="s">
        <v>229</v>
      </c>
      <c r="B105" s="8" t="s">
        <v>230</v>
      </c>
      <c r="C105" s="8" t="s">
        <v>216</v>
      </c>
      <c r="D105" s="22" t="s">
        <v>5</v>
      </c>
      <c r="E105" s="26" t="s">
        <v>3</v>
      </c>
      <c r="F105" s="26" t="s">
        <v>3</v>
      </c>
      <c r="G105" s="26" t="s">
        <v>3</v>
      </c>
      <c r="H105" s="27" t="s">
        <v>7</v>
      </c>
      <c r="I105" s="24" t="s">
        <v>9</v>
      </c>
      <c r="J105" s="26" t="s">
        <v>3</v>
      </c>
      <c r="K105" s="26" t="s">
        <v>3</v>
      </c>
      <c r="L105" s="26" t="s">
        <v>3</v>
      </c>
      <c r="M105" s="22" t="s">
        <v>5</v>
      </c>
      <c r="N105" s="26" t="s">
        <v>3</v>
      </c>
      <c r="O105" s="23" t="s">
        <v>7</v>
      </c>
      <c r="P105" s="24" t="s">
        <v>9</v>
      </c>
      <c r="Q105" s="22" t="s">
        <v>5</v>
      </c>
      <c r="R105" s="22" t="s">
        <v>5</v>
      </c>
      <c r="S105" s="26" t="s">
        <v>3</v>
      </c>
      <c r="T105" s="26" t="s">
        <v>3</v>
      </c>
      <c r="U105" s="26" t="s">
        <v>3</v>
      </c>
      <c r="V105" s="23" t="s">
        <v>7</v>
      </c>
      <c r="W105" s="24" t="s">
        <v>9</v>
      </c>
      <c r="X105" s="26" t="s">
        <v>3</v>
      </c>
      <c r="Y105" s="22" t="s">
        <v>5</v>
      </c>
      <c r="Z105" s="22" t="s">
        <v>5</v>
      </c>
      <c r="AA105" s="22" t="s">
        <v>5</v>
      </c>
      <c r="AB105" s="22" t="s">
        <v>5</v>
      </c>
      <c r="AC105" s="23" t="s">
        <v>7</v>
      </c>
      <c r="AD105" s="24" t="s">
        <v>9</v>
      </c>
      <c r="AE105" s="22" t="s">
        <v>5</v>
      </c>
      <c r="AF105" s="22" t="s">
        <v>5</v>
      </c>
      <c r="AG105" s="22" t="s">
        <v>5</v>
      </c>
      <c r="AH105" s="22" t="s">
        <v>5</v>
      </c>
      <c r="AI105" s="8">
        <f t="shared" si="32"/>
        <v>11</v>
      </c>
      <c r="AJ105" s="25">
        <f t="shared" si="33"/>
        <v>12</v>
      </c>
      <c r="AK105" s="8">
        <f t="shared" si="34"/>
        <v>0</v>
      </c>
      <c r="AL105" s="62">
        <v>1</v>
      </c>
      <c r="AM105" s="33">
        <f t="shared" si="35"/>
        <v>11.5</v>
      </c>
      <c r="AN105" s="63">
        <f t="shared" si="36"/>
        <v>184</v>
      </c>
      <c r="AO105" s="63">
        <f t="shared" si="37"/>
        <v>2</v>
      </c>
      <c r="AP105" s="63">
        <f t="shared" si="38"/>
        <v>8</v>
      </c>
      <c r="AQ105" s="53">
        <f t="shared" si="39"/>
        <v>10.5</v>
      </c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</row>
    <row r="106" spans="1:56" ht="22" customHeight="1" x14ac:dyDescent="0.35">
      <c r="A106" s="8" t="s">
        <v>231</v>
      </c>
      <c r="B106" s="8" t="s">
        <v>232</v>
      </c>
      <c r="C106" s="8" t="s">
        <v>216</v>
      </c>
      <c r="D106" s="26" t="s">
        <v>3</v>
      </c>
      <c r="E106" s="26" t="s">
        <v>3</v>
      </c>
      <c r="F106" s="26" t="s">
        <v>3</v>
      </c>
      <c r="G106" s="26" t="s">
        <v>3</v>
      </c>
      <c r="H106" s="23" t="s">
        <v>7</v>
      </c>
      <c r="I106" s="24" t="s">
        <v>9</v>
      </c>
      <c r="J106" s="22" t="s">
        <v>5</v>
      </c>
      <c r="K106" s="26" t="s">
        <v>3</v>
      </c>
      <c r="L106" s="26" t="s">
        <v>3</v>
      </c>
      <c r="M106" s="26" t="s">
        <v>3</v>
      </c>
      <c r="N106" s="26" t="s">
        <v>3</v>
      </c>
      <c r="O106" s="23" t="s">
        <v>7</v>
      </c>
      <c r="P106" s="24" t="s">
        <v>9</v>
      </c>
      <c r="Q106" s="26" t="s">
        <v>3</v>
      </c>
      <c r="R106" s="26" t="s">
        <v>3</v>
      </c>
      <c r="S106" s="26" t="s">
        <v>3</v>
      </c>
      <c r="T106" s="26" t="s">
        <v>3</v>
      </c>
      <c r="U106" s="26" t="s">
        <v>3</v>
      </c>
      <c r="V106" s="23" t="s">
        <v>7</v>
      </c>
      <c r="W106" s="24" t="s">
        <v>9</v>
      </c>
      <c r="X106" s="22" t="s">
        <v>5</v>
      </c>
      <c r="Y106" s="26" t="s">
        <v>3</v>
      </c>
      <c r="Z106" s="26" t="s">
        <v>3</v>
      </c>
      <c r="AA106" s="26" t="s">
        <v>3</v>
      </c>
      <c r="AB106" s="26" t="s">
        <v>3</v>
      </c>
      <c r="AC106" s="23" t="s">
        <v>7</v>
      </c>
      <c r="AD106" s="24" t="s">
        <v>9</v>
      </c>
      <c r="AE106" s="26" t="s">
        <v>3</v>
      </c>
      <c r="AF106" s="26" t="s">
        <v>3</v>
      </c>
      <c r="AG106" s="26" t="s">
        <v>3</v>
      </c>
      <c r="AH106" s="26" t="s">
        <v>3</v>
      </c>
      <c r="AI106" s="8">
        <f t="shared" si="32"/>
        <v>21</v>
      </c>
      <c r="AJ106" s="8">
        <f t="shared" si="33"/>
        <v>2</v>
      </c>
      <c r="AK106" s="8">
        <f t="shared" si="34"/>
        <v>0</v>
      </c>
      <c r="AL106" s="62">
        <v>0</v>
      </c>
      <c r="AM106" s="33">
        <f t="shared" si="35"/>
        <v>21</v>
      </c>
      <c r="AN106" s="63">
        <f t="shared" si="36"/>
        <v>184</v>
      </c>
      <c r="AO106" s="63">
        <f t="shared" si="37"/>
        <v>4</v>
      </c>
      <c r="AP106" s="63">
        <f t="shared" si="38"/>
        <v>16</v>
      </c>
      <c r="AQ106" s="53">
        <f t="shared" si="39"/>
        <v>19</v>
      </c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</row>
    <row r="107" spans="1:56" ht="22" customHeight="1" x14ac:dyDescent="0.35">
      <c r="A107" s="8" t="s">
        <v>233</v>
      </c>
      <c r="B107" s="8" t="s">
        <v>234</v>
      </c>
      <c r="C107" s="8" t="s">
        <v>216</v>
      </c>
      <c r="D107" s="26" t="s">
        <v>3</v>
      </c>
      <c r="E107" s="26" t="s">
        <v>3</v>
      </c>
      <c r="F107" s="26" t="s">
        <v>3</v>
      </c>
      <c r="G107" s="22" t="s">
        <v>5</v>
      </c>
      <c r="H107" s="23" t="s">
        <v>7</v>
      </c>
      <c r="I107" s="24" t="s">
        <v>9</v>
      </c>
      <c r="J107" s="26" t="s">
        <v>3</v>
      </c>
      <c r="K107" s="26" t="s">
        <v>3</v>
      </c>
      <c r="L107" s="26" t="s">
        <v>3</v>
      </c>
      <c r="M107" s="26" t="s">
        <v>3</v>
      </c>
      <c r="N107" s="26" t="s">
        <v>3</v>
      </c>
      <c r="O107" s="23" t="s">
        <v>7</v>
      </c>
      <c r="P107" s="24" t="s">
        <v>9</v>
      </c>
      <c r="Q107" s="26" t="s">
        <v>3</v>
      </c>
      <c r="R107" s="26" t="s">
        <v>3</v>
      </c>
      <c r="S107" s="26" t="s">
        <v>3</v>
      </c>
      <c r="T107" s="26" t="s">
        <v>3</v>
      </c>
      <c r="U107" s="26" t="s">
        <v>3</v>
      </c>
      <c r="V107" s="27" t="s">
        <v>7</v>
      </c>
      <c r="W107" s="24" t="s">
        <v>9</v>
      </c>
      <c r="X107" s="26" t="s">
        <v>3</v>
      </c>
      <c r="Y107" s="26" t="s">
        <v>3</v>
      </c>
      <c r="Z107" s="26" t="s">
        <v>3</v>
      </c>
      <c r="AA107" s="26" t="s">
        <v>3</v>
      </c>
      <c r="AB107" s="26" t="s">
        <v>3</v>
      </c>
      <c r="AC107" s="23" t="s">
        <v>7</v>
      </c>
      <c r="AD107" s="24" t="s">
        <v>9</v>
      </c>
      <c r="AE107" s="26" t="s">
        <v>3</v>
      </c>
      <c r="AF107" s="26" t="s">
        <v>3</v>
      </c>
      <c r="AG107" s="26" t="s">
        <v>3</v>
      </c>
      <c r="AH107" s="26" t="s">
        <v>3</v>
      </c>
      <c r="AI107" s="8">
        <f t="shared" si="32"/>
        <v>22</v>
      </c>
      <c r="AJ107" s="8">
        <f t="shared" si="33"/>
        <v>1</v>
      </c>
      <c r="AK107" s="8">
        <f t="shared" si="34"/>
        <v>0</v>
      </c>
      <c r="AL107" s="62">
        <v>1</v>
      </c>
      <c r="AM107" s="33">
        <f t="shared" si="35"/>
        <v>22.5</v>
      </c>
      <c r="AN107" s="63">
        <f t="shared" si="36"/>
        <v>184</v>
      </c>
      <c r="AO107" s="63">
        <f t="shared" si="37"/>
        <v>2</v>
      </c>
      <c r="AP107" s="63">
        <f t="shared" si="38"/>
        <v>8</v>
      </c>
      <c r="AQ107" s="53">
        <f t="shared" si="39"/>
        <v>21.5</v>
      </c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</row>
    <row r="108" spans="1:56" ht="22" customHeight="1" x14ac:dyDescent="0.35">
      <c r="A108" s="8" t="s">
        <v>235</v>
      </c>
      <c r="B108" s="8" t="s">
        <v>236</v>
      </c>
      <c r="C108" s="8" t="s">
        <v>216</v>
      </c>
      <c r="D108" s="26" t="s">
        <v>3</v>
      </c>
      <c r="E108" s="26" t="s">
        <v>3</v>
      </c>
      <c r="F108" s="26" t="s">
        <v>3</v>
      </c>
      <c r="G108" s="26" t="s">
        <v>3</v>
      </c>
      <c r="H108" s="23" t="s">
        <v>7</v>
      </c>
      <c r="I108" s="24" t="s">
        <v>9</v>
      </c>
      <c r="J108" s="26" t="s">
        <v>3</v>
      </c>
      <c r="K108" s="26" t="s">
        <v>3</v>
      </c>
      <c r="L108" s="26" t="s">
        <v>3</v>
      </c>
      <c r="M108" s="26" t="s">
        <v>3</v>
      </c>
      <c r="N108" s="26" t="s">
        <v>3</v>
      </c>
      <c r="O108" s="23" t="s">
        <v>7</v>
      </c>
      <c r="P108" s="24" t="s">
        <v>9</v>
      </c>
      <c r="Q108" s="26" t="s">
        <v>3</v>
      </c>
      <c r="R108" s="26" t="s">
        <v>3</v>
      </c>
      <c r="S108" s="26" t="s">
        <v>3</v>
      </c>
      <c r="T108" s="26" t="s">
        <v>3</v>
      </c>
      <c r="U108" s="26" t="s">
        <v>3</v>
      </c>
      <c r="V108" s="23" t="s">
        <v>7</v>
      </c>
      <c r="W108" s="24" t="s">
        <v>9</v>
      </c>
      <c r="X108" s="26" t="s">
        <v>3</v>
      </c>
      <c r="Y108" s="26" t="s">
        <v>3</v>
      </c>
      <c r="Z108" s="26" t="s">
        <v>3</v>
      </c>
      <c r="AA108" s="26" t="s">
        <v>3</v>
      </c>
      <c r="AB108" s="26" t="s">
        <v>3</v>
      </c>
      <c r="AC108" s="27" t="s">
        <v>7</v>
      </c>
      <c r="AD108" s="24" t="s">
        <v>9</v>
      </c>
      <c r="AE108" s="26" t="s">
        <v>3</v>
      </c>
      <c r="AF108" s="26" t="s">
        <v>3</v>
      </c>
      <c r="AG108" s="26" t="s">
        <v>3</v>
      </c>
      <c r="AH108" s="26" t="s">
        <v>3</v>
      </c>
      <c r="AI108" s="8">
        <f t="shared" si="32"/>
        <v>23</v>
      </c>
      <c r="AJ108" s="8">
        <f t="shared" si="33"/>
        <v>0</v>
      </c>
      <c r="AK108" s="8">
        <f t="shared" si="34"/>
        <v>0</v>
      </c>
      <c r="AL108" s="62">
        <v>1</v>
      </c>
      <c r="AM108" s="33">
        <f t="shared" si="35"/>
        <v>23.5</v>
      </c>
      <c r="AN108" s="63">
        <f t="shared" si="36"/>
        <v>184</v>
      </c>
      <c r="AO108" s="63">
        <f t="shared" si="37"/>
        <v>3</v>
      </c>
      <c r="AP108" s="63">
        <f t="shared" si="38"/>
        <v>12</v>
      </c>
      <c r="AQ108" s="53">
        <f t="shared" si="39"/>
        <v>22</v>
      </c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</row>
    <row r="109" spans="1:56" ht="22" customHeight="1" x14ac:dyDescent="0.35">
      <c r="A109" s="8" t="s">
        <v>237</v>
      </c>
      <c r="B109" s="8" t="s">
        <v>238</v>
      </c>
      <c r="C109" s="8" t="s">
        <v>216</v>
      </c>
      <c r="D109" s="22" t="s">
        <v>5</v>
      </c>
      <c r="E109" s="26" t="s">
        <v>3</v>
      </c>
      <c r="F109" s="26" t="s">
        <v>3</v>
      </c>
      <c r="G109" s="22" t="s">
        <v>5</v>
      </c>
      <c r="H109" s="23" t="s">
        <v>7</v>
      </c>
      <c r="I109" s="24" t="s">
        <v>9</v>
      </c>
      <c r="J109" s="26" t="s">
        <v>3</v>
      </c>
      <c r="K109" s="26" t="s">
        <v>3</v>
      </c>
      <c r="L109" s="26" t="s">
        <v>3</v>
      </c>
      <c r="M109" s="26" t="s">
        <v>3</v>
      </c>
      <c r="N109" s="26" t="s">
        <v>3</v>
      </c>
      <c r="O109" s="23" t="s">
        <v>7</v>
      </c>
      <c r="P109" s="24" t="s">
        <v>9</v>
      </c>
      <c r="Q109" s="26" t="s">
        <v>3</v>
      </c>
      <c r="R109" s="26" t="s">
        <v>3</v>
      </c>
      <c r="S109" s="22" t="s">
        <v>5</v>
      </c>
      <c r="T109" s="26" t="s">
        <v>3</v>
      </c>
      <c r="U109" s="26" t="s">
        <v>3</v>
      </c>
      <c r="V109" s="27" t="s">
        <v>7</v>
      </c>
      <c r="W109" s="24" t="s">
        <v>9</v>
      </c>
      <c r="X109" s="26" t="s">
        <v>3</v>
      </c>
      <c r="Y109" s="26" t="s">
        <v>3</v>
      </c>
      <c r="Z109" s="26" t="s">
        <v>3</v>
      </c>
      <c r="AA109" s="26" t="s">
        <v>3</v>
      </c>
      <c r="AB109" s="26" t="s">
        <v>3</v>
      </c>
      <c r="AC109" s="23" t="s">
        <v>7</v>
      </c>
      <c r="AD109" s="24" t="s">
        <v>9</v>
      </c>
      <c r="AE109" s="26" t="s">
        <v>3</v>
      </c>
      <c r="AF109" s="26" t="s">
        <v>3</v>
      </c>
      <c r="AG109" s="26" t="s">
        <v>3</v>
      </c>
      <c r="AH109" s="26" t="s">
        <v>3</v>
      </c>
      <c r="AI109" s="8">
        <f t="shared" si="32"/>
        <v>20</v>
      </c>
      <c r="AJ109" s="8">
        <f t="shared" si="33"/>
        <v>3</v>
      </c>
      <c r="AK109" s="8">
        <f t="shared" si="34"/>
        <v>0</v>
      </c>
      <c r="AL109" s="62">
        <v>1</v>
      </c>
      <c r="AM109" s="33">
        <f t="shared" si="35"/>
        <v>20.5</v>
      </c>
      <c r="AN109" s="63">
        <f t="shared" si="36"/>
        <v>184</v>
      </c>
      <c r="AO109" s="63">
        <f t="shared" si="37"/>
        <v>2</v>
      </c>
      <c r="AP109" s="63">
        <f t="shared" si="38"/>
        <v>8</v>
      </c>
      <c r="AQ109" s="53">
        <f t="shared" si="39"/>
        <v>19.5</v>
      </c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</row>
    <row r="110" spans="1:56" ht="22" customHeight="1" x14ac:dyDescent="0.35">
      <c r="A110" s="8" t="s">
        <v>239</v>
      </c>
      <c r="B110" s="8" t="s">
        <v>240</v>
      </c>
      <c r="C110" s="8" t="s">
        <v>216</v>
      </c>
      <c r="D110" s="26" t="s">
        <v>3</v>
      </c>
      <c r="E110" s="26" t="s">
        <v>3</v>
      </c>
      <c r="F110" s="26" t="s">
        <v>3</v>
      </c>
      <c r="G110" s="26" t="s">
        <v>3</v>
      </c>
      <c r="H110" s="27" t="s">
        <v>7</v>
      </c>
      <c r="I110" s="24" t="s">
        <v>9</v>
      </c>
      <c r="J110" s="26" t="s">
        <v>3</v>
      </c>
      <c r="K110" s="26" t="s">
        <v>3</v>
      </c>
      <c r="L110" s="26" t="s">
        <v>3</v>
      </c>
      <c r="M110" s="26" t="s">
        <v>3</v>
      </c>
      <c r="N110" s="26" t="s">
        <v>3</v>
      </c>
      <c r="O110" s="23" t="s">
        <v>7</v>
      </c>
      <c r="P110" s="24" t="s">
        <v>9</v>
      </c>
      <c r="Q110" s="26" t="s">
        <v>3</v>
      </c>
      <c r="R110" s="26" t="s">
        <v>3</v>
      </c>
      <c r="S110" s="22" t="s">
        <v>5</v>
      </c>
      <c r="T110" s="26" t="s">
        <v>3</v>
      </c>
      <c r="U110" s="26" t="s">
        <v>3</v>
      </c>
      <c r="V110" s="23" t="s">
        <v>7</v>
      </c>
      <c r="W110" s="24" t="s">
        <v>9</v>
      </c>
      <c r="X110" s="22" t="s">
        <v>5</v>
      </c>
      <c r="Y110" s="26" t="s">
        <v>3</v>
      </c>
      <c r="Z110" s="26" t="s">
        <v>3</v>
      </c>
      <c r="AA110" s="26" t="s">
        <v>3</v>
      </c>
      <c r="AB110" s="26" t="s">
        <v>3</v>
      </c>
      <c r="AC110" s="23" t="s">
        <v>7</v>
      </c>
      <c r="AD110" s="24" t="s">
        <v>9</v>
      </c>
      <c r="AE110" s="26" t="s">
        <v>3</v>
      </c>
      <c r="AF110" s="26" t="s">
        <v>3</v>
      </c>
      <c r="AG110" s="26" t="s">
        <v>3</v>
      </c>
      <c r="AH110" s="26" t="s">
        <v>3</v>
      </c>
      <c r="AI110" s="8">
        <f t="shared" si="32"/>
        <v>21</v>
      </c>
      <c r="AJ110" s="8">
        <f t="shared" si="33"/>
        <v>2</v>
      </c>
      <c r="AK110" s="8">
        <f t="shared" si="34"/>
        <v>0</v>
      </c>
      <c r="AL110" s="62">
        <v>1</v>
      </c>
      <c r="AM110" s="33">
        <f t="shared" si="35"/>
        <v>21.5</v>
      </c>
      <c r="AN110" s="63">
        <f t="shared" si="36"/>
        <v>184</v>
      </c>
      <c r="AO110" s="63">
        <f t="shared" si="37"/>
        <v>3</v>
      </c>
      <c r="AP110" s="63">
        <f t="shared" si="38"/>
        <v>12</v>
      </c>
      <c r="AQ110" s="53">
        <f t="shared" si="39"/>
        <v>20</v>
      </c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</row>
    <row r="111" spans="1:56" ht="22" customHeight="1" x14ac:dyDescent="0.35">
      <c r="A111" s="8" t="s">
        <v>241</v>
      </c>
      <c r="B111" s="8" t="s">
        <v>242</v>
      </c>
      <c r="C111" s="8" t="s">
        <v>216</v>
      </c>
      <c r="D111" s="26" t="s">
        <v>3</v>
      </c>
      <c r="E111" s="26" t="s">
        <v>3</v>
      </c>
      <c r="F111" s="26" t="s">
        <v>3</v>
      </c>
      <c r="G111" s="26" t="s">
        <v>3</v>
      </c>
      <c r="H111" s="23" t="s">
        <v>7</v>
      </c>
      <c r="I111" s="24" t="s">
        <v>9</v>
      </c>
      <c r="J111" s="26" t="s">
        <v>3</v>
      </c>
      <c r="K111" s="26" t="s">
        <v>3</v>
      </c>
      <c r="L111" s="26" t="s">
        <v>3</v>
      </c>
      <c r="M111" s="26" t="s">
        <v>3</v>
      </c>
      <c r="N111" s="26" t="s">
        <v>3</v>
      </c>
      <c r="O111" s="23" t="s">
        <v>7</v>
      </c>
      <c r="P111" s="24" t="s">
        <v>9</v>
      </c>
      <c r="Q111" s="26" t="s">
        <v>3</v>
      </c>
      <c r="R111" s="26" t="s">
        <v>3</v>
      </c>
      <c r="S111" s="26" t="s">
        <v>3</v>
      </c>
      <c r="T111" s="26" t="s">
        <v>3</v>
      </c>
      <c r="U111" s="26" t="s">
        <v>3</v>
      </c>
      <c r="V111" s="23" t="s">
        <v>7</v>
      </c>
      <c r="W111" s="24" t="s">
        <v>9</v>
      </c>
      <c r="X111" s="26" t="s">
        <v>3</v>
      </c>
      <c r="Y111" s="26" t="s">
        <v>3</v>
      </c>
      <c r="Z111" s="26" t="s">
        <v>3</v>
      </c>
      <c r="AA111" s="26" t="s">
        <v>3</v>
      </c>
      <c r="AB111" s="26" t="s">
        <v>3</v>
      </c>
      <c r="AC111" s="23" t="s">
        <v>7</v>
      </c>
      <c r="AD111" s="24" t="s">
        <v>9</v>
      </c>
      <c r="AE111" s="26" t="s">
        <v>3</v>
      </c>
      <c r="AF111" s="26" t="s">
        <v>3</v>
      </c>
      <c r="AG111" s="26" t="s">
        <v>3</v>
      </c>
      <c r="AH111" s="26" t="s">
        <v>3</v>
      </c>
      <c r="AI111" s="8">
        <f t="shared" si="32"/>
        <v>23</v>
      </c>
      <c r="AJ111" s="8">
        <f t="shared" si="33"/>
        <v>0</v>
      </c>
      <c r="AK111" s="8">
        <f t="shared" si="34"/>
        <v>0</v>
      </c>
      <c r="AL111" s="62">
        <v>0</v>
      </c>
      <c r="AM111" s="33">
        <f t="shared" si="35"/>
        <v>23</v>
      </c>
      <c r="AN111" s="63">
        <f t="shared" si="36"/>
        <v>184</v>
      </c>
      <c r="AO111" s="63">
        <f t="shared" si="37"/>
        <v>4</v>
      </c>
      <c r="AP111" s="63">
        <f t="shared" si="38"/>
        <v>16</v>
      </c>
      <c r="AQ111" s="53">
        <f t="shared" si="39"/>
        <v>21</v>
      </c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</row>
    <row r="112" spans="1:56" x14ac:dyDescent="0.35"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</row>
    <row r="113" spans="1:56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</row>
    <row r="114" spans="1:56" ht="22" customHeight="1" x14ac:dyDescent="0.35">
      <c r="A114" s="8" t="s">
        <v>244</v>
      </c>
      <c r="B114" s="8" t="s">
        <v>245</v>
      </c>
      <c r="C114" s="8" t="s">
        <v>354</v>
      </c>
      <c r="D114" s="26" t="s">
        <v>3</v>
      </c>
      <c r="E114" s="26" t="s">
        <v>3</v>
      </c>
      <c r="F114" s="26" t="s">
        <v>3</v>
      </c>
      <c r="G114" s="26" t="s">
        <v>3</v>
      </c>
      <c r="H114" s="27" t="s">
        <v>7</v>
      </c>
      <c r="I114" s="28" t="s">
        <v>11</v>
      </c>
      <c r="J114" s="26" t="s">
        <v>3</v>
      </c>
      <c r="K114" s="26" t="s">
        <v>3</v>
      </c>
      <c r="L114" s="26" t="s">
        <v>3</v>
      </c>
      <c r="M114" s="26" t="s">
        <v>3</v>
      </c>
      <c r="N114" s="26" t="s">
        <v>3</v>
      </c>
      <c r="O114" s="27" t="s">
        <v>7</v>
      </c>
      <c r="P114" s="28" t="s">
        <v>11</v>
      </c>
      <c r="Q114" s="26" t="s">
        <v>3</v>
      </c>
      <c r="R114" s="26" t="s">
        <v>3</v>
      </c>
      <c r="S114" s="26" t="s">
        <v>3</v>
      </c>
      <c r="T114" s="26" t="s">
        <v>3</v>
      </c>
      <c r="U114" s="26" t="s">
        <v>3</v>
      </c>
      <c r="V114" s="27" t="s">
        <v>7</v>
      </c>
      <c r="W114" s="28" t="s">
        <v>11</v>
      </c>
      <c r="X114" s="26" t="s">
        <v>3</v>
      </c>
      <c r="Y114" s="26" t="s">
        <v>3</v>
      </c>
      <c r="Z114" s="26" t="s">
        <v>3</v>
      </c>
      <c r="AA114" s="26" t="s">
        <v>3</v>
      </c>
      <c r="AB114" s="26" t="s">
        <v>3</v>
      </c>
      <c r="AC114" s="27" t="s">
        <v>7</v>
      </c>
      <c r="AD114" s="28" t="s">
        <v>11</v>
      </c>
      <c r="AE114" s="22" t="s">
        <v>5</v>
      </c>
      <c r="AF114" s="22" t="s">
        <v>5</v>
      </c>
      <c r="AG114" s="26" t="s">
        <v>3</v>
      </c>
      <c r="AH114" s="26" t="s">
        <v>3</v>
      </c>
      <c r="AI114" s="8">
        <f>COUNTIF(D114:AH114,"ON")</f>
        <v>21</v>
      </c>
      <c r="AJ114" s="8">
        <f>COUNTIF(D114:AH114,"OFF")</f>
        <v>2</v>
      </c>
      <c r="AK114" s="29">
        <f>COUNTIF(D114:AH114,"OT")</f>
        <v>4</v>
      </c>
      <c r="AL114" s="62">
        <v>4</v>
      </c>
      <c r="AM114" s="33">
        <f>AI114+AK114+AL114*0.5</f>
        <v>27</v>
      </c>
      <c r="AN114" s="63">
        <f>NETWORKDAYS(DATE(2025,7,1),EOMONTH(DATE(2025,7,1),0))*8</f>
        <v>184</v>
      </c>
      <c r="AO114" s="63">
        <f>MAX(0,COUNTIF(G114,"ON")+COUNTIF(N114,"ON")+COUNTIF(U114,"ON")+COUNTIF(AB114,"ON")-AL114)</f>
        <v>0</v>
      </c>
      <c r="AP114" s="63">
        <f>AO114*$AP$2</f>
        <v>0</v>
      </c>
      <c r="AQ114" s="53">
        <f>AM114-AP114/8</f>
        <v>27</v>
      </c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</row>
    <row r="115" spans="1:56" ht="22" customHeight="1" x14ac:dyDescent="0.35">
      <c r="A115" s="8" t="s">
        <v>247</v>
      </c>
      <c r="B115" s="8" t="s">
        <v>248</v>
      </c>
      <c r="C115" s="8" t="s">
        <v>354</v>
      </c>
      <c r="D115" s="26" t="s">
        <v>3</v>
      </c>
      <c r="E115" s="26" t="s">
        <v>3</v>
      </c>
      <c r="F115" s="26" t="s">
        <v>3</v>
      </c>
      <c r="G115" s="26" t="s">
        <v>3</v>
      </c>
      <c r="H115" s="27" t="s">
        <v>7</v>
      </c>
      <c r="I115" s="28" t="s">
        <v>11</v>
      </c>
      <c r="J115" s="26" t="s">
        <v>3</v>
      </c>
      <c r="K115" s="26" t="s">
        <v>3</v>
      </c>
      <c r="L115" s="26" t="s">
        <v>3</v>
      </c>
      <c r="M115" s="26" t="s">
        <v>3</v>
      </c>
      <c r="N115" s="26" t="s">
        <v>3</v>
      </c>
      <c r="O115" s="27" t="s">
        <v>7</v>
      </c>
      <c r="P115" s="28" t="s">
        <v>11</v>
      </c>
      <c r="Q115" s="26" t="s">
        <v>3</v>
      </c>
      <c r="R115" s="26" t="s">
        <v>3</v>
      </c>
      <c r="S115" s="26" t="s">
        <v>3</v>
      </c>
      <c r="T115" s="26" t="s">
        <v>3</v>
      </c>
      <c r="U115" s="26" t="s">
        <v>3</v>
      </c>
      <c r="V115" s="27" t="s">
        <v>7</v>
      </c>
      <c r="W115" s="28" t="s">
        <v>11</v>
      </c>
      <c r="X115" s="26" t="s">
        <v>3</v>
      </c>
      <c r="Y115" s="26" t="s">
        <v>3</v>
      </c>
      <c r="Z115" s="26" t="s">
        <v>3</v>
      </c>
      <c r="AA115" s="26" t="s">
        <v>3</v>
      </c>
      <c r="AB115" s="26" t="s">
        <v>3</v>
      </c>
      <c r="AC115" s="27" t="s">
        <v>7</v>
      </c>
      <c r="AD115" s="24" t="s">
        <v>9</v>
      </c>
      <c r="AE115" s="22" t="s">
        <v>5</v>
      </c>
      <c r="AF115" s="22" t="s">
        <v>5</v>
      </c>
      <c r="AG115" s="26" t="s">
        <v>3</v>
      </c>
      <c r="AH115" s="26" t="s">
        <v>3</v>
      </c>
      <c r="AI115" s="8">
        <f>COUNTIF(D115:AH115,"ON")</f>
        <v>21</v>
      </c>
      <c r="AJ115" s="8">
        <f>COUNTIF(D115:AH115,"OFF")</f>
        <v>2</v>
      </c>
      <c r="AK115" s="29">
        <f>COUNTIF(D115:AH115,"OT")</f>
        <v>3</v>
      </c>
      <c r="AL115" s="62">
        <v>4</v>
      </c>
      <c r="AM115" s="33">
        <f>AI115+AK115+AL115*0.5</f>
        <v>26</v>
      </c>
      <c r="AN115" s="63">
        <f>NETWORKDAYS(DATE(2025,7,1),EOMONTH(DATE(2025,7,1),0))*8</f>
        <v>184</v>
      </c>
      <c r="AO115" s="63">
        <f>MAX(0,COUNTIF(G115,"ON")+COUNTIF(N115,"ON")+COUNTIF(U115,"ON")+COUNTIF(AB115,"ON")-AL115)</f>
        <v>0</v>
      </c>
      <c r="AP115" s="63">
        <f>AO115*$AP$2</f>
        <v>0</v>
      </c>
      <c r="AQ115" s="53">
        <f>AM115-AP115/8</f>
        <v>26</v>
      </c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</row>
    <row r="116" spans="1:56" ht="22" customHeight="1" x14ac:dyDescent="0.35">
      <c r="A116" s="8" t="s">
        <v>249</v>
      </c>
      <c r="B116" s="8" t="s">
        <v>250</v>
      </c>
      <c r="C116" s="8" t="s">
        <v>354</v>
      </c>
      <c r="D116" s="22" t="s">
        <v>5</v>
      </c>
      <c r="E116" s="22" t="s">
        <v>5</v>
      </c>
      <c r="F116" s="22" t="s">
        <v>5</v>
      </c>
      <c r="G116" s="22" t="s">
        <v>5</v>
      </c>
      <c r="H116" s="23" t="s">
        <v>7</v>
      </c>
      <c r="I116" s="24" t="s">
        <v>9</v>
      </c>
      <c r="J116" s="22" t="s">
        <v>5</v>
      </c>
      <c r="K116" s="22" t="s">
        <v>5</v>
      </c>
      <c r="L116" s="22" t="s">
        <v>5</v>
      </c>
      <c r="M116" s="22" t="s">
        <v>5</v>
      </c>
      <c r="N116" s="22" t="s">
        <v>5</v>
      </c>
      <c r="O116" s="23" t="s">
        <v>7</v>
      </c>
      <c r="P116" s="24" t="s">
        <v>9</v>
      </c>
      <c r="Q116" s="22" t="s">
        <v>5</v>
      </c>
      <c r="R116" s="26" t="s">
        <v>3</v>
      </c>
      <c r="S116" s="26" t="s">
        <v>3</v>
      </c>
      <c r="T116" s="26" t="s">
        <v>3</v>
      </c>
      <c r="U116" s="26" t="s">
        <v>3</v>
      </c>
      <c r="V116" s="23" t="s">
        <v>7</v>
      </c>
      <c r="W116" s="28" t="s">
        <v>11</v>
      </c>
      <c r="X116" s="26" t="s">
        <v>3</v>
      </c>
      <c r="Y116" s="26" t="s">
        <v>3</v>
      </c>
      <c r="Z116" s="26" t="s">
        <v>3</v>
      </c>
      <c r="AA116" s="26" t="s">
        <v>3</v>
      </c>
      <c r="AB116" s="26" t="s">
        <v>3</v>
      </c>
      <c r="AC116" s="27" t="s">
        <v>7</v>
      </c>
      <c r="AD116" s="28" t="s">
        <v>11</v>
      </c>
      <c r="AE116" s="26" t="s">
        <v>3</v>
      </c>
      <c r="AF116" s="26" t="s">
        <v>3</v>
      </c>
      <c r="AG116" s="26" t="s">
        <v>3</v>
      </c>
      <c r="AH116" s="26" t="s">
        <v>3</v>
      </c>
      <c r="AI116" s="8">
        <f>COUNTIF(D116:AH116,"ON")</f>
        <v>13</v>
      </c>
      <c r="AJ116" s="8">
        <f>COUNTIF(D116:AH116,"OFF")</f>
        <v>10</v>
      </c>
      <c r="AK116" s="29">
        <f>COUNTIF(D116:AH116,"OT")</f>
        <v>2</v>
      </c>
      <c r="AL116" s="62">
        <v>1</v>
      </c>
      <c r="AM116" s="33">
        <f>AI116+AK116+AL116*0.5</f>
        <v>15.5</v>
      </c>
      <c r="AN116" s="63">
        <f>NETWORKDAYS(DATE(2025,7,1),EOMONTH(DATE(2025,7,1),0))*8</f>
        <v>184</v>
      </c>
      <c r="AO116" s="63">
        <f>MAX(0,COUNTIF(G116,"ON")+COUNTIF(N116,"ON")+COUNTIF(U116,"ON")+COUNTIF(AB116,"ON")-AL116)</f>
        <v>1</v>
      </c>
      <c r="AP116" s="63">
        <f>AO116*$AP$2</f>
        <v>4</v>
      </c>
      <c r="AQ116" s="53">
        <f>AM116-AP116/8</f>
        <v>15</v>
      </c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</row>
    <row r="117" spans="1:56" x14ac:dyDescent="0.35"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</row>
    <row r="118" spans="1:56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</row>
    <row r="119" spans="1:56" ht="22" customHeight="1" x14ac:dyDescent="0.35">
      <c r="A119" s="8" t="s">
        <v>252</v>
      </c>
      <c r="B119" s="8" t="s">
        <v>253</v>
      </c>
      <c r="C119" s="8" t="s">
        <v>254</v>
      </c>
      <c r="D119" s="22" t="s">
        <v>5</v>
      </c>
      <c r="E119" s="22" t="s">
        <v>5</v>
      </c>
      <c r="F119" s="22" t="s">
        <v>5</v>
      </c>
      <c r="G119" s="22" t="s">
        <v>5</v>
      </c>
      <c r="H119" s="23" t="s">
        <v>7</v>
      </c>
      <c r="I119" s="24" t="s">
        <v>9</v>
      </c>
      <c r="J119" s="22" t="s">
        <v>5</v>
      </c>
      <c r="K119" s="22" t="s">
        <v>5</v>
      </c>
      <c r="L119" s="22" t="s">
        <v>5</v>
      </c>
      <c r="M119" s="22" t="s">
        <v>5</v>
      </c>
      <c r="N119" s="22" t="s">
        <v>5</v>
      </c>
      <c r="O119" s="23" t="s">
        <v>7</v>
      </c>
      <c r="P119" s="24" t="s">
        <v>9</v>
      </c>
      <c r="Q119" s="22" t="s">
        <v>5</v>
      </c>
      <c r="R119" s="22" t="s">
        <v>5</v>
      </c>
      <c r="S119" s="22" t="s">
        <v>5</v>
      </c>
      <c r="T119" s="22" t="s">
        <v>5</v>
      </c>
      <c r="U119" s="22" t="s">
        <v>5</v>
      </c>
      <c r="V119" s="23" t="s">
        <v>7</v>
      </c>
      <c r="W119" s="24" t="s">
        <v>9</v>
      </c>
      <c r="X119" s="22" t="s">
        <v>5</v>
      </c>
      <c r="Y119" s="22" t="s">
        <v>5</v>
      </c>
      <c r="Z119" s="22" t="s">
        <v>5</v>
      </c>
      <c r="AA119" s="22" t="s">
        <v>5</v>
      </c>
      <c r="AB119" s="22" t="s">
        <v>5</v>
      </c>
      <c r="AC119" s="23" t="s">
        <v>7</v>
      </c>
      <c r="AD119" s="24" t="s">
        <v>9</v>
      </c>
      <c r="AE119" s="22" t="s">
        <v>5</v>
      </c>
      <c r="AF119" s="22" t="s">
        <v>5</v>
      </c>
      <c r="AG119" s="22" t="s">
        <v>5</v>
      </c>
      <c r="AH119" s="22" t="s">
        <v>5</v>
      </c>
      <c r="AI119" s="8">
        <f t="shared" ref="AI119:AI129" si="40">COUNTIF(D119:AH119,"ON")</f>
        <v>0</v>
      </c>
      <c r="AJ119" s="25">
        <f t="shared" ref="AJ119:AJ129" si="41">COUNTIF(D119:AH119,"OFF")</f>
        <v>23</v>
      </c>
      <c r="AK119" s="8">
        <f t="shared" ref="AK119:AK129" si="42">COUNTIF(D119:AH119,"OT")</f>
        <v>0</v>
      </c>
      <c r="AL119" s="62">
        <v>0</v>
      </c>
      <c r="AM119" s="33">
        <f t="shared" ref="AM119:AM129" si="43">AI119+AK119+AL119*0.5</f>
        <v>0</v>
      </c>
      <c r="AN119" s="63">
        <f t="shared" ref="AN119:AN129" si="44">NETWORKDAYS(DATE(2025,7,1),EOMONTH(DATE(2025,7,1),0))*8</f>
        <v>184</v>
      </c>
      <c r="AO119" s="63">
        <f t="shared" ref="AO119:AO129" si="45">MAX(0,COUNTIF(G119,"ON")+COUNTIF(N119,"ON")+COUNTIF(U119,"ON")+COUNTIF(AB119,"ON")-AL119)</f>
        <v>0</v>
      </c>
      <c r="AP119" s="63">
        <f t="shared" ref="AP119:AP129" si="46">AO119*$AP$2</f>
        <v>0</v>
      </c>
      <c r="AQ119" s="53">
        <f t="shared" ref="AQ119:AQ129" si="47">AM119-AP119/8</f>
        <v>0</v>
      </c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</row>
    <row r="120" spans="1:56" ht="22" customHeight="1" x14ac:dyDescent="0.35">
      <c r="A120" s="8" t="s">
        <v>255</v>
      </c>
      <c r="B120" s="8" t="s">
        <v>256</v>
      </c>
      <c r="C120" s="8" t="s">
        <v>254</v>
      </c>
      <c r="D120" s="22" t="s">
        <v>5</v>
      </c>
      <c r="E120" s="22" t="s">
        <v>5</v>
      </c>
      <c r="F120" s="22" t="s">
        <v>5</v>
      </c>
      <c r="G120" s="22" t="s">
        <v>5</v>
      </c>
      <c r="H120" s="23" t="s">
        <v>7</v>
      </c>
      <c r="I120" s="24" t="s">
        <v>9</v>
      </c>
      <c r="J120" s="22" t="s">
        <v>5</v>
      </c>
      <c r="K120" s="22" t="s">
        <v>5</v>
      </c>
      <c r="L120" s="22" t="s">
        <v>5</v>
      </c>
      <c r="M120" s="22" t="s">
        <v>5</v>
      </c>
      <c r="N120" s="22" t="s">
        <v>5</v>
      </c>
      <c r="O120" s="23" t="s">
        <v>7</v>
      </c>
      <c r="P120" s="24" t="s">
        <v>9</v>
      </c>
      <c r="Q120" s="22" t="s">
        <v>5</v>
      </c>
      <c r="R120" s="22" t="s">
        <v>5</v>
      </c>
      <c r="S120" s="22" t="s">
        <v>5</v>
      </c>
      <c r="T120" s="22" t="s">
        <v>5</v>
      </c>
      <c r="U120" s="22" t="s">
        <v>5</v>
      </c>
      <c r="V120" s="23" t="s">
        <v>7</v>
      </c>
      <c r="W120" s="24" t="s">
        <v>9</v>
      </c>
      <c r="X120" s="22" t="s">
        <v>5</v>
      </c>
      <c r="Y120" s="22" t="s">
        <v>5</v>
      </c>
      <c r="Z120" s="22" t="s">
        <v>5</v>
      </c>
      <c r="AA120" s="22" t="s">
        <v>5</v>
      </c>
      <c r="AB120" s="22" t="s">
        <v>5</v>
      </c>
      <c r="AC120" s="23" t="s">
        <v>7</v>
      </c>
      <c r="AD120" s="24" t="s">
        <v>9</v>
      </c>
      <c r="AE120" s="22" t="s">
        <v>5</v>
      </c>
      <c r="AF120" s="22" t="s">
        <v>5</v>
      </c>
      <c r="AG120" s="22" t="s">
        <v>5</v>
      </c>
      <c r="AH120" s="22" t="s">
        <v>5</v>
      </c>
      <c r="AI120" s="8">
        <f t="shared" si="40"/>
        <v>0</v>
      </c>
      <c r="AJ120" s="25">
        <f t="shared" si="41"/>
        <v>23</v>
      </c>
      <c r="AK120" s="8">
        <f t="shared" si="42"/>
        <v>0</v>
      </c>
      <c r="AL120" s="62">
        <v>0</v>
      </c>
      <c r="AM120" s="33">
        <f t="shared" si="43"/>
        <v>0</v>
      </c>
      <c r="AN120" s="63">
        <f t="shared" si="44"/>
        <v>184</v>
      </c>
      <c r="AO120" s="63">
        <f t="shared" si="45"/>
        <v>0</v>
      </c>
      <c r="AP120" s="63">
        <f t="shared" si="46"/>
        <v>0</v>
      </c>
      <c r="AQ120" s="53">
        <f t="shared" si="47"/>
        <v>0</v>
      </c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</row>
    <row r="121" spans="1:56" ht="22" customHeight="1" x14ac:dyDescent="0.35">
      <c r="A121" s="8" t="s">
        <v>257</v>
      </c>
      <c r="B121" s="8" t="s">
        <v>258</v>
      </c>
      <c r="C121" s="8" t="s">
        <v>254</v>
      </c>
      <c r="D121" s="22" t="s">
        <v>5</v>
      </c>
      <c r="E121" s="22" t="s">
        <v>5</v>
      </c>
      <c r="F121" s="22" t="s">
        <v>5</v>
      </c>
      <c r="G121" s="22" t="s">
        <v>5</v>
      </c>
      <c r="H121" s="23" t="s">
        <v>7</v>
      </c>
      <c r="I121" s="24" t="s">
        <v>9</v>
      </c>
      <c r="J121" s="22" t="s">
        <v>5</v>
      </c>
      <c r="K121" s="22" t="s">
        <v>5</v>
      </c>
      <c r="L121" s="22" t="s">
        <v>5</v>
      </c>
      <c r="M121" s="22" t="s">
        <v>5</v>
      </c>
      <c r="N121" s="22" t="s">
        <v>5</v>
      </c>
      <c r="O121" s="23" t="s">
        <v>7</v>
      </c>
      <c r="P121" s="24" t="s">
        <v>9</v>
      </c>
      <c r="Q121" s="22" t="s">
        <v>5</v>
      </c>
      <c r="R121" s="22" t="s">
        <v>5</v>
      </c>
      <c r="S121" s="22" t="s">
        <v>5</v>
      </c>
      <c r="T121" s="22" t="s">
        <v>5</v>
      </c>
      <c r="U121" s="22" t="s">
        <v>5</v>
      </c>
      <c r="V121" s="23" t="s">
        <v>7</v>
      </c>
      <c r="W121" s="24" t="s">
        <v>9</v>
      </c>
      <c r="X121" s="22" t="s">
        <v>5</v>
      </c>
      <c r="Y121" s="22" t="s">
        <v>5</v>
      </c>
      <c r="Z121" s="22" t="s">
        <v>5</v>
      </c>
      <c r="AA121" s="22" t="s">
        <v>5</v>
      </c>
      <c r="AB121" s="22" t="s">
        <v>5</v>
      </c>
      <c r="AC121" s="23" t="s">
        <v>7</v>
      </c>
      <c r="AD121" s="24" t="s">
        <v>9</v>
      </c>
      <c r="AE121" s="22" t="s">
        <v>5</v>
      </c>
      <c r="AF121" s="22" t="s">
        <v>5</v>
      </c>
      <c r="AG121" s="22" t="s">
        <v>5</v>
      </c>
      <c r="AH121" s="22" t="s">
        <v>5</v>
      </c>
      <c r="AI121" s="8">
        <f t="shared" si="40"/>
        <v>0</v>
      </c>
      <c r="AJ121" s="25">
        <f t="shared" si="41"/>
        <v>23</v>
      </c>
      <c r="AK121" s="8">
        <f t="shared" si="42"/>
        <v>0</v>
      </c>
      <c r="AL121" s="62">
        <v>0</v>
      </c>
      <c r="AM121" s="33">
        <f t="shared" si="43"/>
        <v>0</v>
      </c>
      <c r="AN121" s="63">
        <f t="shared" si="44"/>
        <v>184</v>
      </c>
      <c r="AO121" s="63">
        <f t="shared" si="45"/>
        <v>0</v>
      </c>
      <c r="AP121" s="63">
        <f t="shared" si="46"/>
        <v>0</v>
      </c>
      <c r="AQ121" s="53">
        <f t="shared" si="47"/>
        <v>0</v>
      </c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</row>
    <row r="122" spans="1:56" ht="22" customHeight="1" x14ac:dyDescent="0.35">
      <c r="A122" s="8" t="s">
        <v>259</v>
      </c>
      <c r="B122" s="8" t="s">
        <v>260</v>
      </c>
      <c r="C122" s="8" t="s">
        <v>254</v>
      </c>
      <c r="D122" s="22" t="s">
        <v>5</v>
      </c>
      <c r="E122" s="22" t="s">
        <v>5</v>
      </c>
      <c r="F122" s="22" t="s">
        <v>5</v>
      </c>
      <c r="G122" s="22" t="s">
        <v>5</v>
      </c>
      <c r="H122" s="23" t="s">
        <v>7</v>
      </c>
      <c r="I122" s="24" t="s">
        <v>9</v>
      </c>
      <c r="J122" s="22" t="s">
        <v>5</v>
      </c>
      <c r="K122" s="22" t="s">
        <v>5</v>
      </c>
      <c r="L122" s="22" t="s">
        <v>5</v>
      </c>
      <c r="M122" s="22" t="s">
        <v>5</v>
      </c>
      <c r="N122" s="22" t="s">
        <v>5</v>
      </c>
      <c r="O122" s="23" t="s">
        <v>7</v>
      </c>
      <c r="P122" s="24" t="s">
        <v>9</v>
      </c>
      <c r="Q122" s="22" t="s">
        <v>5</v>
      </c>
      <c r="R122" s="22" t="s">
        <v>5</v>
      </c>
      <c r="S122" s="22" t="s">
        <v>5</v>
      </c>
      <c r="T122" s="22" t="s">
        <v>5</v>
      </c>
      <c r="U122" s="22" t="s">
        <v>5</v>
      </c>
      <c r="V122" s="23" t="s">
        <v>7</v>
      </c>
      <c r="W122" s="24" t="s">
        <v>9</v>
      </c>
      <c r="X122" s="22" t="s">
        <v>5</v>
      </c>
      <c r="Y122" s="22" t="s">
        <v>5</v>
      </c>
      <c r="Z122" s="22" t="s">
        <v>5</v>
      </c>
      <c r="AA122" s="22" t="s">
        <v>5</v>
      </c>
      <c r="AB122" s="22" t="s">
        <v>5</v>
      </c>
      <c r="AC122" s="23" t="s">
        <v>7</v>
      </c>
      <c r="AD122" s="24" t="s">
        <v>9</v>
      </c>
      <c r="AE122" s="22" t="s">
        <v>5</v>
      </c>
      <c r="AF122" s="22" t="s">
        <v>5</v>
      </c>
      <c r="AG122" s="22" t="s">
        <v>5</v>
      </c>
      <c r="AH122" s="22" t="s">
        <v>5</v>
      </c>
      <c r="AI122" s="8">
        <f t="shared" si="40"/>
        <v>0</v>
      </c>
      <c r="AJ122" s="25">
        <f t="shared" si="41"/>
        <v>23</v>
      </c>
      <c r="AK122" s="8">
        <f t="shared" si="42"/>
        <v>0</v>
      </c>
      <c r="AL122" s="62">
        <v>0</v>
      </c>
      <c r="AM122" s="33">
        <f t="shared" si="43"/>
        <v>0</v>
      </c>
      <c r="AN122" s="63">
        <f t="shared" si="44"/>
        <v>184</v>
      </c>
      <c r="AO122" s="63">
        <f t="shared" si="45"/>
        <v>0</v>
      </c>
      <c r="AP122" s="63">
        <f t="shared" si="46"/>
        <v>0</v>
      </c>
      <c r="AQ122" s="53">
        <f t="shared" si="47"/>
        <v>0</v>
      </c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</row>
    <row r="123" spans="1:56" ht="22" customHeight="1" x14ac:dyDescent="0.35">
      <c r="A123" s="8" t="s">
        <v>261</v>
      </c>
      <c r="B123" s="8" t="s">
        <v>262</v>
      </c>
      <c r="C123" s="8" t="s">
        <v>254</v>
      </c>
      <c r="D123" s="22" t="s">
        <v>5</v>
      </c>
      <c r="E123" s="22" t="s">
        <v>5</v>
      </c>
      <c r="F123" s="22" t="s">
        <v>5</v>
      </c>
      <c r="G123" s="22" t="s">
        <v>5</v>
      </c>
      <c r="H123" s="23" t="s">
        <v>7</v>
      </c>
      <c r="I123" s="24" t="s">
        <v>9</v>
      </c>
      <c r="J123" s="22" t="s">
        <v>5</v>
      </c>
      <c r="K123" s="22" t="s">
        <v>5</v>
      </c>
      <c r="L123" s="22" t="s">
        <v>5</v>
      </c>
      <c r="M123" s="22" t="s">
        <v>5</v>
      </c>
      <c r="N123" s="22" t="s">
        <v>5</v>
      </c>
      <c r="O123" s="23" t="s">
        <v>7</v>
      </c>
      <c r="P123" s="24" t="s">
        <v>9</v>
      </c>
      <c r="Q123" s="22" t="s">
        <v>5</v>
      </c>
      <c r="R123" s="22" t="s">
        <v>5</v>
      </c>
      <c r="S123" s="22" t="s">
        <v>5</v>
      </c>
      <c r="T123" s="22" t="s">
        <v>5</v>
      </c>
      <c r="U123" s="22" t="s">
        <v>5</v>
      </c>
      <c r="V123" s="23" t="s">
        <v>7</v>
      </c>
      <c r="W123" s="24" t="s">
        <v>9</v>
      </c>
      <c r="X123" s="22" t="s">
        <v>5</v>
      </c>
      <c r="Y123" s="22" t="s">
        <v>5</v>
      </c>
      <c r="Z123" s="22" t="s">
        <v>5</v>
      </c>
      <c r="AA123" s="22" t="s">
        <v>5</v>
      </c>
      <c r="AB123" s="22" t="s">
        <v>5</v>
      </c>
      <c r="AC123" s="23" t="s">
        <v>7</v>
      </c>
      <c r="AD123" s="24" t="s">
        <v>9</v>
      </c>
      <c r="AE123" s="22" t="s">
        <v>5</v>
      </c>
      <c r="AF123" s="22" t="s">
        <v>5</v>
      </c>
      <c r="AG123" s="22" t="s">
        <v>5</v>
      </c>
      <c r="AH123" s="22" t="s">
        <v>5</v>
      </c>
      <c r="AI123" s="8">
        <f t="shared" si="40"/>
        <v>0</v>
      </c>
      <c r="AJ123" s="25">
        <f t="shared" si="41"/>
        <v>23</v>
      </c>
      <c r="AK123" s="8">
        <f t="shared" si="42"/>
        <v>0</v>
      </c>
      <c r="AL123" s="62">
        <v>0</v>
      </c>
      <c r="AM123" s="33">
        <f t="shared" si="43"/>
        <v>0</v>
      </c>
      <c r="AN123" s="63">
        <f t="shared" si="44"/>
        <v>184</v>
      </c>
      <c r="AO123" s="63">
        <f t="shared" si="45"/>
        <v>0</v>
      </c>
      <c r="AP123" s="63">
        <f t="shared" si="46"/>
        <v>0</v>
      </c>
      <c r="AQ123" s="53">
        <f t="shared" si="47"/>
        <v>0</v>
      </c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</row>
    <row r="124" spans="1:56" ht="22" customHeight="1" x14ac:dyDescent="0.35">
      <c r="A124" s="8" t="s">
        <v>263</v>
      </c>
      <c r="B124" s="8" t="s">
        <v>264</v>
      </c>
      <c r="C124" s="8" t="s">
        <v>254</v>
      </c>
      <c r="D124" s="22" t="s">
        <v>5</v>
      </c>
      <c r="E124" s="22" t="s">
        <v>5</v>
      </c>
      <c r="F124" s="22" t="s">
        <v>5</v>
      </c>
      <c r="G124" s="22" t="s">
        <v>5</v>
      </c>
      <c r="H124" s="23" t="s">
        <v>7</v>
      </c>
      <c r="I124" s="24" t="s">
        <v>9</v>
      </c>
      <c r="J124" s="22" t="s">
        <v>5</v>
      </c>
      <c r="K124" s="22" t="s">
        <v>5</v>
      </c>
      <c r="L124" s="22" t="s">
        <v>5</v>
      </c>
      <c r="M124" s="22" t="s">
        <v>5</v>
      </c>
      <c r="N124" s="22" t="s">
        <v>5</v>
      </c>
      <c r="O124" s="23" t="s">
        <v>7</v>
      </c>
      <c r="P124" s="24" t="s">
        <v>9</v>
      </c>
      <c r="Q124" s="22" t="s">
        <v>5</v>
      </c>
      <c r="R124" s="22" t="s">
        <v>5</v>
      </c>
      <c r="S124" s="22" t="s">
        <v>5</v>
      </c>
      <c r="T124" s="22" t="s">
        <v>5</v>
      </c>
      <c r="U124" s="22" t="s">
        <v>5</v>
      </c>
      <c r="V124" s="23" t="s">
        <v>7</v>
      </c>
      <c r="W124" s="24" t="s">
        <v>9</v>
      </c>
      <c r="X124" s="22" t="s">
        <v>5</v>
      </c>
      <c r="Y124" s="22" t="s">
        <v>5</v>
      </c>
      <c r="Z124" s="22" t="s">
        <v>5</v>
      </c>
      <c r="AA124" s="22" t="s">
        <v>5</v>
      </c>
      <c r="AB124" s="22" t="s">
        <v>5</v>
      </c>
      <c r="AC124" s="23" t="s">
        <v>7</v>
      </c>
      <c r="AD124" s="24" t="s">
        <v>9</v>
      </c>
      <c r="AE124" s="22" t="s">
        <v>5</v>
      </c>
      <c r="AF124" s="22" t="s">
        <v>5</v>
      </c>
      <c r="AG124" s="22" t="s">
        <v>5</v>
      </c>
      <c r="AH124" s="22" t="s">
        <v>5</v>
      </c>
      <c r="AI124" s="8">
        <f t="shared" si="40"/>
        <v>0</v>
      </c>
      <c r="AJ124" s="25">
        <f t="shared" si="41"/>
        <v>23</v>
      </c>
      <c r="AK124" s="8">
        <f t="shared" si="42"/>
        <v>0</v>
      </c>
      <c r="AL124" s="62">
        <v>0</v>
      </c>
      <c r="AM124" s="33">
        <f t="shared" si="43"/>
        <v>0</v>
      </c>
      <c r="AN124" s="63">
        <f t="shared" si="44"/>
        <v>184</v>
      </c>
      <c r="AO124" s="63">
        <f t="shared" si="45"/>
        <v>0</v>
      </c>
      <c r="AP124" s="63">
        <f t="shared" si="46"/>
        <v>0</v>
      </c>
      <c r="AQ124" s="53">
        <f t="shared" si="47"/>
        <v>0</v>
      </c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</row>
    <row r="125" spans="1:56" ht="22" customHeight="1" x14ac:dyDescent="0.35">
      <c r="A125" s="8" t="s">
        <v>265</v>
      </c>
      <c r="B125" s="8" t="s">
        <v>266</v>
      </c>
      <c r="C125" s="8" t="s">
        <v>254</v>
      </c>
      <c r="D125" s="22" t="s">
        <v>5</v>
      </c>
      <c r="E125" s="22" t="s">
        <v>5</v>
      </c>
      <c r="F125" s="22" t="s">
        <v>5</v>
      </c>
      <c r="G125" s="22" t="s">
        <v>5</v>
      </c>
      <c r="H125" s="23" t="s">
        <v>7</v>
      </c>
      <c r="I125" s="24" t="s">
        <v>9</v>
      </c>
      <c r="J125" s="22" t="s">
        <v>5</v>
      </c>
      <c r="K125" s="22" t="s">
        <v>5</v>
      </c>
      <c r="L125" s="22" t="s">
        <v>5</v>
      </c>
      <c r="M125" s="22" t="s">
        <v>5</v>
      </c>
      <c r="N125" s="22" t="s">
        <v>5</v>
      </c>
      <c r="O125" s="23" t="s">
        <v>7</v>
      </c>
      <c r="P125" s="24" t="s">
        <v>9</v>
      </c>
      <c r="Q125" s="22" t="s">
        <v>5</v>
      </c>
      <c r="R125" s="22" t="s">
        <v>5</v>
      </c>
      <c r="S125" s="22" t="s">
        <v>5</v>
      </c>
      <c r="T125" s="22" t="s">
        <v>5</v>
      </c>
      <c r="U125" s="22" t="s">
        <v>5</v>
      </c>
      <c r="V125" s="23" t="s">
        <v>7</v>
      </c>
      <c r="W125" s="24" t="s">
        <v>9</v>
      </c>
      <c r="X125" s="22" t="s">
        <v>5</v>
      </c>
      <c r="Y125" s="22" t="s">
        <v>5</v>
      </c>
      <c r="Z125" s="22" t="s">
        <v>5</v>
      </c>
      <c r="AA125" s="22" t="s">
        <v>5</v>
      </c>
      <c r="AB125" s="22" t="s">
        <v>5</v>
      </c>
      <c r="AC125" s="23" t="s">
        <v>7</v>
      </c>
      <c r="AD125" s="24" t="s">
        <v>9</v>
      </c>
      <c r="AE125" s="22" t="s">
        <v>5</v>
      </c>
      <c r="AF125" s="22" t="s">
        <v>5</v>
      </c>
      <c r="AG125" s="22" t="s">
        <v>5</v>
      </c>
      <c r="AH125" s="22" t="s">
        <v>5</v>
      </c>
      <c r="AI125" s="8">
        <f t="shared" si="40"/>
        <v>0</v>
      </c>
      <c r="AJ125" s="25">
        <f t="shared" si="41"/>
        <v>23</v>
      </c>
      <c r="AK125" s="8">
        <f t="shared" si="42"/>
        <v>0</v>
      </c>
      <c r="AL125" s="62">
        <v>0</v>
      </c>
      <c r="AM125" s="33">
        <f t="shared" si="43"/>
        <v>0</v>
      </c>
      <c r="AN125" s="63">
        <f t="shared" si="44"/>
        <v>184</v>
      </c>
      <c r="AO125" s="63">
        <f t="shared" si="45"/>
        <v>0</v>
      </c>
      <c r="AP125" s="63">
        <f t="shared" si="46"/>
        <v>0</v>
      </c>
      <c r="AQ125" s="53">
        <f t="shared" si="47"/>
        <v>0</v>
      </c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</row>
    <row r="126" spans="1:56" ht="22" customHeight="1" x14ac:dyDescent="0.35">
      <c r="A126" s="8" t="s">
        <v>267</v>
      </c>
      <c r="B126" s="8" t="s">
        <v>268</v>
      </c>
      <c r="C126" s="8" t="s">
        <v>254</v>
      </c>
      <c r="D126" s="22" t="s">
        <v>5</v>
      </c>
      <c r="E126" s="22" t="s">
        <v>5</v>
      </c>
      <c r="F126" s="22" t="s">
        <v>5</v>
      </c>
      <c r="G126" s="22" t="s">
        <v>5</v>
      </c>
      <c r="H126" s="23" t="s">
        <v>7</v>
      </c>
      <c r="I126" s="24" t="s">
        <v>9</v>
      </c>
      <c r="J126" s="22" t="s">
        <v>5</v>
      </c>
      <c r="K126" s="22" t="s">
        <v>5</v>
      </c>
      <c r="L126" s="22" t="s">
        <v>5</v>
      </c>
      <c r="M126" s="22" t="s">
        <v>5</v>
      </c>
      <c r="N126" s="22" t="s">
        <v>5</v>
      </c>
      <c r="O126" s="23" t="s">
        <v>7</v>
      </c>
      <c r="P126" s="24" t="s">
        <v>9</v>
      </c>
      <c r="Q126" s="22" t="s">
        <v>5</v>
      </c>
      <c r="R126" s="22" t="s">
        <v>5</v>
      </c>
      <c r="S126" s="22" t="s">
        <v>5</v>
      </c>
      <c r="T126" s="22" t="s">
        <v>5</v>
      </c>
      <c r="U126" s="22" t="s">
        <v>5</v>
      </c>
      <c r="V126" s="23" t="s">
        <v>7</v>
      </c>
      <c r="W126" s="24" t="s">
        <v>9</v>
      </c>
      <c r="X126" s="22" t="s">
        <v>5</v>
      </c>
      <c r="Y126" s="22" t="s">
        <v>5</v>
      </c>
      <c r="Z126" s="22" t="s">
        <v>5</v>
      </c>
      <c r="AA126" s="22" t="s">
        <v>5</v>
      </c>
      <c r="AB126" s="22" t="s">
        <v>5</v>
      </c>
      <c r="AC126" s="23" t="s">
        <v>7</v>
      </c>
      <c r="AD126" s="24" t="s">
        <v>9</v>
      </c>
      <c r="AE126" s="22" t="s">
        <v>5</v>
      </c>
      <c r="AF126" s="22" t="s">
        <v>5</v>
      </c>
      <c r="AG126" s="22" t="s">
        <v>5</v>
      </c>
      <c r="AH126" s="22" t="s">
        <v>5</v>
      </c>
      <c r="AI126" s="8">
        <f t="shared" si="40"/>
        <v>0</v>
      </c>
      <c r="AJ126" s="25">
        <f t="shared" si="41"/>
        <v>23</v>
      </c>
      <c r="AK126" s="8">
        <f t="shared" si="42"/>
        <v>0</v>
      </c>
      <c r="AL126" s="62">
        <v>0</v>
      </c>
      <c r="AM126" s="33">
        <f t="shared" si="43"/>
        <v>0</v>
      </c>
      <c r="AN126" s="63">
        <f t="shared" si="44"/>
        <v>184</v>
      </c>
      <c r="AO126" s="63">
        <f t="shared" si="45"/>
        <v>0</v>
      </c>
      <c r="AP126" s="63">
        <f t="shared" si="46"/>
        <v>0</v>
      </c>
      <c r="AQ126" s="53">
        <f t="shared" si="47"/>
        <v>0</v>
      </c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</row>
    <row r="127" spans="1:56" ht="22" customHeight="1" x14ac:dyDescent="0.35">
      <c r="A127" s="8" t="s">
        <v>269</v>
      </c>
      <c r="B127" s="8" t="s">
        <v>270</v>
      </c>
      <c r="C127" s="8" t="s">
        <v>254</v>
      </c>
      <c r="D127" s="22" t="s">
        <v>5</v>
      </c>
      <c r="E127" s="22" t="s">
        <v>5</v>
      </c>
      <c r="F127" s="22" t="s">
        <v>5</v>
      </c>
      <c r="G127" s="22" t="s">
        <v>5</v>
      </c>
      <c r="H127" s="23" t="s">
        <v>7</v>
      </c>
      <c r="I127" s="24" t="s">
        <v>9</v>
      </c>
      <c r="J127" s="22" t="s">
        <v>5</v>
      </c>
      <c r="K127" s="22" t="s">
        <v>5</v>
      </c>
      <c r="L127" s="22" t="s">
        <v>5</v>
      </c>
      <c r="M127" s="22" t="s">
        <v>5</v>
      </c>
      <c r="N127" s="22" t="s">
        <v>5</v>
      </c>
      <c r="O127" s="23" t="s">
        <v>7</v>
      </c>
      <c r="P127" s="24" t="s">
        <v>9</v>
      </c>
      <c r="Q127" s="22" t="s">
        <v>5</v>
      </c>
      <c r="R127" s="22" t="s">
        <v>5</v>
      </c>
      <c r="S127" s="22" t="s">
        <v>5</v>
      </c>
      <c r="T127" s="22" t="s">
        <v>5</v>
      </c>
      <c r="U127" s="22" t="s">
        <v>5</v>
      </c>
      <c r="V127" s="23" t="s">
        <v>7</v>
      </c>
      <c r="W127" s="24" t="s">
        <v>9</v>
      </c>
      <c r="X127" s="22" t="s">
        <v>5</v>
      </c>
      <c r="Y127" s="22" t="s">
        <v>5</v>
      </c>
      <c r="Z127" s="22" t="s">
        <v>5</v>
      </c>
      <c r="AA127" s="22" t="s">
        <v>5</v>
      </c>
      <c r="AB127" s="22" t="s">
        <v>5</v>
      </c>
      <c r="AC127" s="23" t="s">
        <v>7</v>
      </c>
      <c r="AD127" s="24" t="s">
        <v>9</v>
      </c>
      <c r="AE127" s="22" t="s">
        <v>5</v>
      </c>
      <c r="AF127" s="22" t="s">
        <v>5</v>
      </c>
      <c r="AG127" s="22" t="s">
        <v>5</v>
      </c>
      <c r="AH127" s="22" t="s">
        <v>5</v>
      </c>
      <c r="AI127" s="8">
        <f t="shared" si="40"/>
        <v>0</v>
      </c>
      <c r="AJ127" s="25">
        <f t="shared" si="41"/>
        <v>23</v>
      </c>
      <c r="AK127" s="8">
        <f t="shared" si="42"/>
        <v>0</v>
      </c>
      <c r="AL127" s="62">
        <v>0</v>
      </c>
      <c r="AM127" s="33">
        <f t="shared" si="43"/>
        <v>0</v>
      </c>
      <c r="AN127" s="63">
        <f t="shared" si="44"/>
        <v>184</v>
      </c>
      <c r="AO127" s="63">
        <f t="shared" si="45"/>
        <v>0</v>
      </c>
      <c r="AP127" s="63">
        <f t="shared" si="46"/>
        <v>0</v>
      </c>
      <c r="AQ127" s="53">
        <f t="shared" si="47"/>
        <v>0</v>
      </c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</row>
    <row r="128" spans="1:56" ht="22" customHeight="1" x14ac:dyDescent="0.35">
      <c r="A128" s="8" t="s">
        <v>271</v>
      </c>
      <c r="B128" s="8" t="s">
        <v>272</v>
      </c>
      <c r="C128" s="8" t="s">
        <v>254</v>
      </c>
      <c r="D128" s="22" t="s">
        <v>5</v>
      </c>
      <c r="E128" s="22" t="s">
        <v>5</v>
      </c>
      <c r="F128" s="22" t="s">
        <v>5</v>
      </c>
      <c r="G128" s="22" t="s">
        <v>5</v>
      </c>
      <c r="H128" s="23" t="s">
        <v>7</v>
      </c>
      <c r="I128" s="24" t="s">
        <v>9</v>
      </c>
      <c r="J128" s="22" t="s">
        <v>5</v>
      </c>
      <c r="K128" s="22" t="s">
        <v>5</v>
      </c>
      <c r="L128" s="22" t="s">
        <v>5</v>
      </c>
      <c r="M128" s="22" t="s">
        <v>5</v>
      </c>
      <c r="N128" s="22" t="s">
        <v>5</v>
      </c>
      <c r="O128" s="23" t="s">
        <v>7</v>
      </c>
      <c r="P128" s="24" t="s">
        <v>9</v>
      </c>
      <c r="Q128" s="22" t="s">
        <v>5</v>
      </c>
      <c r="R128" s="22" t="s">
        <v>5</v>
      </c>
      <c r="S128" s="22" t="s">
        <v>5</v>
      </c>
      <c r="T128" s="22" t="s">
        <v>5</v>
      </c>
      <c r="U128" s="22" t="s">
        <v>5</v>
      </c>
      <c r="V128" s="23" t="s">
        <v>7</v>
      </c>
      <c r="W128" s="24" t="s">
        <v>9</v>
      </c>
      <c r="X128" s="22" t="s">
        <v>5</v>
      </c>
      <c r="Y128" s="22" t="s">
        <v>5</v>
      </c>
      <c r="Z128" s="22" t="s">
        <v>5</v>
      </c>
      <c r="AA128" s="22" t="s">
        <v>5</v>
      </c>
      <c r="AB128" s="22" t="s">
        <v>5</v>
      </c>
      <c r="AC128" s="23" t="s">
        <v>7</v>
      </c>
      <c r="AD128" s="24" t="s">
        <v>9</v>
      </c>
      <c r="AE128" s="22" t="s">
        <v>5</v>
      </c>
      <c r="AF128" s="22" t="s">
        <v>5</v>
      </c>
      <c r="AG128" s="22" t="s">
        <v>5</v>
      </c>
      <c r="AH128" s="22" t="s">
        <v>5</v>
      </c>
      <c r="AI128" s="8">
        <f t="shared" si="40"/>
        <v>0</v>
      </c>
      <c r="AJ128" s="25">
        <f t="shared" si="41"/>
        <v>23</v>
      </c>
      <c r="AK128" s="8">
        <f t="shared" si="42"/>
        <v>0</v>
      </c>
      <c r="AL128" s="62">
        <v>0</v>
      </c>
      <c r="AM128" s="33">
        <f t="shared" si="43"/>
        <v>0</v>
      </c>
      <c r="AN128" s="63">
        <f t="shared" si="44"/>
        <v>184</v>
      </c>
      <c r="AO128" s="63">
        <f t="shared" si="45"/>
        <v>0</v>
      </c>
      <c r="AP128" s="63">
        <f t="shared" si="46"/>
        <v>0</v>
      </c>
      <c r="AQ128" s="53">
        <f t="shared" si="47"/>
        <v>0</v>
      </c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</row>
    <row r="129" spans="1:56" ht="22" customHeight="1" x14ac:dyDescent="0.35">
      <c r="A129" s="8" t="s">
        <v>273</v>
      </c>
      <c r="B129" s="8" t="s">
        <v>274</v>
      </c>
      <c r="C129" s="8" t="s">
        <v>254</v>
      </c>
      <c r="D129" s="22" t="s">
        <v>5</v>
      </c>
      <c r="E129" s="22" t="s">
        <v>5</v>
      </c>
      <c r="F129" s="22" t="s">
        <v>5</v>
      </c>
      <c r="G129" s="22" t="s">
        <v>5</v>
      </c>
      <c r="H129" s="23" t="s">
        <v>7</v>
      </c>
      <c r="I129" s="24" t="s">
        <v>9</v>
      </c>
      <c r="J129" s="22" t="s">
        <v>5</v>
      </c>
      <c r="K129" s="22" t="s">
        <v>5</v>
      </c>
      <c r="L129" s="22" t="s">
        <v>5</v>
      </c>
      <c r="M129" s="22" t="s">
        <v>5</v>
      </c>
      <c r="N129" s="22" t="s">
        <v>5</v>
      </c>
      <c r="O129" s="23" t="s">
        <v>7</v>
      </c>
      <c r="P129" s="24" t="s">
        <v>9</v>
      </c>
      <c r="Q129" s="22" t="s">
        <v>5</v>
      </c>
      <c r="R129" s="22" t="s">
        <v>5</v>
      </c>
      <c r="S129" s="22" t="s">
        <v>5</v>
      </c>
      <c r="T129" s="22" t="s">
        <v>5</v>
      </c>
      <c r="U129" s="22" t="s">
        <v>5</v>
      </c>
      <c r="V129" s="23" t="s">
        <v>7</v>
      </c>
      <c r="W129" s="24" t="s">
        <v>9</v>
      </c>
      <c r="X129" s="22" t="s">
        <v>5</v>
      </c>
      <c r="Y129" s="22" t="s">
        <v>5</v>
      </c>
      <c r="Z129" s="22" t="s">
        <v>5</v>
      </c>
      <c r="AA129" s="22" t="s">
        <v>5</v>
      </c>
      <c r="AB129" s="22" t="s">
        <v>5</v>
      </c>
      <c r="AC129" s="23" t="s">
        <v>7</v>
      </c>
      <c r="AD129" s="24" t="s">
        <v>9</v>
      </c>
      <c r="AE129" s="22" t="s">
        <v>5</v>
      </c>
      <c r="AF129" s="22" t="s">
        <v>5</v>
      </c>
      <c r="AG129" s="22" t="s">
        <v>5</v>
      </c>
      <c r="AH129" s="22" t="s">
        <v>5</v>
      </c>
      <c r="AI129" s="8">
        <f t="shared" si="40"/>
        <v>0</v>
      </c>
      <c r="AJ129" s="25">
        <f t="shared" si="41"/>
        <v>23</v>
      </c>
      <c r="AK129" s="8">
        <f t="shared" si="42"/>
        <v>0</v>
      </c>
      <c r="AL129" s="62">
        <v>0</v>
      </c>
      <c r="AM129" s="33">
        <f t="shared" si="43"/>
        <v>0</v>
      </c>
      <c r="AN129" s="63">
        <f t="shared" si="44"/>
        <v>184</v>
      </c>
      <c r="AO129" s="63">
        <f t="shared" si="45"/>
        <v>0</v>
      </c>
      <c r="AP129" s="63">
        <f t="shared" si="46"/>
        <v>0</v>
      </c>
      <c r="AQ129" s="53">
        <f t="shared" si="47"/>
        <v>0</v>
      </c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</row>
  </sheetData>
  <mergeCells count="11">
    <mergeCell ref="A118:AK118"/>
    <mergeCell ref="A37:AK37"/>
    <mergeCell ref="A1:AK1"/>
    <mergeCell ref="A91:AK91"/>
    <mergeCell ref="A4:AK4"/>
    <mergeCell ref="A97:AK97"/>
    <mergeCell ref="A21:AK21"/>
    <mergeCell ref="A113:AK113"/>
    <mergeCell ref="A2:AK2"/>
    <mergeCell ref="A76:AK76"/>
    <mergeCell ref="A84:AK8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129"/>
  <sheetViews>
    <sheetView workbookViewId="0">
      <pane xSplit="3" ySplit="3" topLeftCell="P22" activePane="bottomRight" state="frozen"/>
      <selection pane="topRight"/>
      <selection pane="bottomLeft"/>
      <selection pane="bottomRight" activeCell="A28" sqref="A28:XFD28"/>
    </sheetView>
  </sheetViews>
  <sheetFormatPr defaultRowHeight="14.5" x14ac:dyDescent="0.35"/>
  <cols>
    <col min="1" max="1" width="7" customWidth="1"/>
    <col min="2" max="2" width="24" customWidth="1"/>
    <col min="3" max="3" width="12" customWidth="1"/>
    <col min="4" max="37" width="5" customWidth="1"/>
    <col min="38" max="38" width="7" customWidth="1"/>
    <col min="39" max="39" width="8" customWidth="1"/>
    <col min="40" max="40" width="9" customWidth="1"/>
    <col min="41" max="41" width="8" customWidth="1"/>
    <col min="42" max="43" width="9" customWidth="1"/>
  </cols>
  <sheetData>
    <row r="1" spans="1:56" ht="30" customHeight="1" x14ac:dyDescent="0.35">
      <c r="A1" s="78" t="s">
        <v>458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</row>
    <row r="2" spans="1:56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N2" s="38"/>
      <c r="AO2" s="59" t="s">
        <v>311</v>
      </c>
      <c r="AP2" s="60">
        <v>4</v>
      </c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</row>
    <row r="3" spans="1:56" ht="35.15" customHeight="1" x14ac:dyDescent="0.35">
      <c r="A3" s="18" t="s">
        <v>14</v>
      </c>
      <c r="B3" s="18" t="s">
        <v>15</v>
      </c>
      <c r="C3" s="18" t="s">
        <v>312</v>
      </c>
      <c r="D3" s="19" t="s">
        <v>459</v>
      </c>
      <c r="E3" s="20" t="s">
        <v>357</v>
      </c>
      <c r="F3" s="21" t="s">
        <v>417</v>
      </c>
      <c r="G3" s="19" t="s">
        <v>460</v>
      </c>
      <c r="H3" s="19" t="s">
        <v>437</v>
      </c>
      <c r="I3" s="19" t="s">
        <v>461</v>
      </c>
      <c r="J3" s="19" t="s">
        <v>319</v>
      </c>
      <c r="K3" s="19" t="s">
        <v>462</v>
      </c>
      <c r="L3" s="20" t="s">
        <v>364</v>
      </c>
      <c r="M3" s="21" t="s">
        <v>421</v>
      </c>
      <c r="N3" s="19" t="s">
        <v>463</v>
      </c>
      <c r="O3" s="19" t="s">
        <v>442</v>
      </c>
      <c r="P3" s="19" t="s">
        <v>464</v>
      </c>
      <c r="Q3" s="19" t="s">
        <v>326</v>
      </c>
      <c r="R3" s="19" t="s">
        <v>465</v>
      </c>
      <c r="S3" s="20" t="s">
        <v>371</v>
      </c>
      <c r="T3" s="21" t="s">
        <v>425</v>
      </c>
      <c r="U3" s="19" t="s">
        <v>466</v>
      </c>
      <c r="V3" s="19" t="s">
        <v>447</v>
      </c>
      <c r="W3" s="19" t="s">
        <v>467</v>
      </c>
      <c r="X3" s="19" t="s">
        <v>333</v>
      </c>
      <c r="Y3" s="19" t="s">
        <v>468</v>
      </c>
      <c r="Z3" s="20" t="s">
        <v>378</v>
      </c>
      <c r="AA3" s="21" t="s">
        <v>429</v>
      </c>
      <c r="AB3" s="19" t="s">
        <v>469</v>
      </c>
      <c r="AC3" s="19" t="s">
        <v>452</v>
      </c>
      <c r="AD3" s="19" t="s">
        <v>470</v>
      </c>
      <c r="AE3" s="19" t="s">
        <v>340</v>
      </c>
      <c r="AF3" s="19" t="s">
        <v>471</v>
      </c>
      <c r="AG3" s="20" t="s">
        <v>386</v>
      </c>
      <c r="AH3" s="21" t="s">
        <v>433</v>
      </c>
      <c r="AI3" s="7" t="s">
        <v>344</v>
      </c>
      <c r="AJ3" s="7" t="s">
        <v>345</v>
      </c>
      <c r="AK3" s="7" t="s">
        <v>29</v>
      </c>
      <c r="AL3" s="34" t="s">
        <v>346</v>
      </c>
      <c r="AM3" s="34" t="s">
        <v>347</v>
      </c>
      <c r="AN3" s="61" t="s">
        <v>348</v>
      </c>
      <c r="AO3" s="42" t="s">
        <v>349</v>
      </c>
      <c r="AP3" s="43" t="s">
        <v>350</v>
      </c>
      <c r="AQ3" s="40" t="s">
        <v>351</v>
      </c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</row>
    <row r="4" spans="1:56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</row>
    <row r="5" spans="1:56" ht="22" customHeight="1" x14ac:dyDescent="0.35">
      <c r="A5" s="8" t="s">
        <v>43</v>
      </c>
      <c r="B5" s="8" t="s">
        <v>44</v>
      </c>
      <c r="C5" s="8" t="s">
        <v>45</v>
      </c>
      <c r="D5" s="26" t="s">
        <v>3</v>
      </c>
      <c r="E5" s="27" t="s">
        <v>7</v>
      </c>
      <c r="F5" s="28" t="s">
        <v>11</v>
      </c>
      <c r="G5" s="26" t="s">
        <v>3</v>
      </c>
      <c r="H5" s="26" t="s">
        <v>3</v>
      </c>
      <c r="I5" s="26" t="s">
        <v>3</v>
      </c>
      <c r="J5" s="26" t="s">
        <v>3</v>
      </c>
      <c r="K5" s="22" t="s">
        <v>5</v>
      </c>
      <c r="L5" s="23" t="s">
        <v>7</v>
      </c>
      <c r="M5" s="24" t="s">
        <v>9</v>
      </c>
      <c r="N5" s="22" t="s">
        <v>5</v>
      </c>
      <c r="O5" s="22" t="s">
        <v>5</v>
      </c>
      <c r="P5" s="26" t="s">
        <v>3</v>
      </c>
      <c r="Q5" s="26" t="s">
        <v>3</v>
      </c>
      <c r="R5" s="22" t="s">
        <v>5</v>
      </c>
      <c r="S5" s="23" t="s">
        <v>7</v>
      </c>
      <c r="T5" s="24" t="s">
        <v>9</v>
      </c>
      <c r="U5" s="26" t="s">
        <v>3</v>
      </c>
      <c r="V5" s="26" t="s">
        <v>3</v>
      </c>
      <c r="W5" s="26" t="s">
        <v>3</v>
      </c>
      <c r="X5" s="26" t="s">
        <v>3</v>
      </c>
      <c r="Y5" s="22" t="s">
        <v>5</v>
      </c>
      <c r="Z5" s="23" t="s">
        <v>7</v>
      </c>
      <c r="AA5" s="24" t="s">
        <v>9</v>
      </c>
      <c r="AB5" s="22" t="s">
        <v>5</v>
      </c>
      <c r="AC5" s="22" t="s">
        <v>5</v>
      </c>
      <c r="AD5" s="22" t="s">
        <v>5</v>
      </c>
      <c r="AE5" s="22" t="s">
        <v>5</v>
      </c>
      <c r="AF5" s="22" t="s">
        <v>5</v>
      </c>
      <c r="AG5" s="23" t="s">
        <v>7</v>
      </c>
      <c r="AH5" s="24" t="s">
        <v>9</v>
      </c>
      <c r="AI5" s="8">
        <f t="shared" ref="AI5:AI19" si="0">COUNTIF(D5:AH5,"ON")</f>
        <v>11</v>
      </c>
      <c r="AJ5" s="8">
        <f t="shared" ref="AJ5:AJ19" si="1">COUNTIF(D5:AH5,"OFF")</f>
        <v>10</v>
      </c>
      <c r="AK5" s="29">
        <f t="shared" ref="AK5:AK19" si="2">COUNTIF(D5:AH5,"OT")</f>
        <v>1</v>
      </c>
      <c r="AL5" s="62">
        <v>1</v>
      </c>
      <c r="AM5" s="33">
        <f t="shared" ref="AM5:AM19" si="3">AI5+AK5+AL5*0.5</f>
        <v>12.5</v>
      </c>
      <c r="AN5" s="63">
        <f t="shared" ref="AN5:AN19" si="4">NETWORKDAYS(DATE(2025,8,1),EOMONTH(DATE(2025,8,1),0))*8</f>
        <v>168</v>
      </c>
      <c r="AO5" s="63">
        <f t="shared" ref="AO5:AO19" si="5">MAX(0,COUNTIF(D5,"ON")+COUNTIF(K5,"ON")+COUNTIF(R5,"ON")+COUNTIF(Y5,"ON")+COUNTIF(AF5,"ON")-AL5)</f>
        <v>0</v>
      </c>
      <c r="AP5" s="63">
        <f t="shared" ref="AP5:AP19" si="6">AO5*$AP$2</f>
        <v>0</v>
      </c>
      <c r="AQ5" s="53">
        <f t="shared" ref="AQ5:AQ19" si="7">AM5-AP5/8</f>
        <v>12.5</v>
      </c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</row>
    <row r="6" spans="1:56" ht="22" customHeight="1" x14ac:dyDescent="0.35">
      <c r="A6" s="8" t="s">
        <v>46</v>
      </c>
      <c r="B6" s="8" t="s">
        <v>47</v>
      </c>
      <c r="C6" s="8" t="s">
        <v>45</v>
      </c>
      <c r="D6" s="22" t="s">
        <v>5</v>
      </c>
      <c r="E6" s="23" t="s">
        <v>7</v>
      </c>
      <c r="F6" s="24" t="s">
        <v>9</v>
      </c>
      <c r="G6" s="26" t="s">
        <v>3</v>
      </c>
      <c r="H6" s="26" t="s">
        <v>3</v>
      </c>
      <c r="I6" s="26" t="s">
        <v>3</v>
      </c>
      <c r="J6" s="26" t="s">
        <v>3</v>
      </c>
      <c r="K6" s="26" t="s">
        <v>3</v>
      </c>
      <c r="L6" s="27" t="s">
        <v>7</v>
      </c>
      <c r="M6" s="28" t="s">
        <v>11</v>
      </c>
      <c r="N6" s="26" t="s">
        <v>3</v>
      </c>
      <c r="O6" s="26" t="s">
        <v>3</v>
      </c>
      <c r="P6" s="26" t="s">
        <v>3</v>
      </c>
      <c r="Q6" s="26" t="s">
        <v>3</v>
      </c>
      <c r="R6" s="22" t="s">
        <v>5</v>
      </c>
      <c r="S6" s="23" t="s">
        <v>7</v>
      </c>
      <c r="T6" s="24" t="s">
        <v>9</v>
      </c>
      <c r="U6" s="26" t="s">
        <v>3</v>
      </c>
      <c r="V6" s="26" t="s">
        <v>3</v>
      </c>
      <c r="W6" s="26" t="s">
        <v>3</v>
      </c>
      <c r="X6" s="26" t="s">
        <v>3</v>
      </c>
      <c r="Y6" s="26" t="s">
        <v>3</v>
      </c>
      <c r="Z6" s="27" t="s">
        <v>7</v>
      </c>
      <c r="AA6" s="28" t="s">
        <v>11</v>
      </c>
      <c r="AB6" s="26" t="s">
        <v>3</v>
      </c>
      <c r="AC6" s="26" t="s">
        <v>3</v>
      </c>
      <c r="AD6" s="26" t="s">
        <v>3</v>
      </c>
      <c r="AE6" s="26" t="s">
        <v>3</v>
      </c>
      <c r="AF6" s="26" t="s">
        <v>3</v>
      </c>
      <c r="AG6" s="23" t="s">
        <v>7</v>
      </c>
      <c r="AH6" s="24" t="s">
        <v>9</v>
      </c>
      <c r="AI6" s="8">
        <f t="shared" si="0"/>
        <v>19</v>
      </c>
      <c r="AJ6" s="8">
        <f t="shared" si="1"/>
        <v>2</v>
      </c>
      <c r="AK6" s="29">
        <f t="shared" si="2"/>
        <v>2</v>
      </c>
      <c r="AL6" s="62">
        <v>2</v>
      </c>
      <c r="AM6" s="33">
        <f t="shared" si="3"/>
        <v>22</v>
      </c>
      <c r="AN6" s="63">
        <f t="shared" si="4"/>
        <v>168</v>
      </c>
      <c r="AO6" s="63">
        <f t="shared" si="5"/>
        <v>1</v>
      </c>
      <c r="AP6" s="63">
        <f t="shared" si="6"/>
        <v>4</v>
      </c>
      <c r="AQ6" s="53">
        <f t="shared" si="7"/>
        <v>21.5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</row>
    <row r="7" spans="1:56" ht="22" customHeight="1" x14ac:dyDescent="0.35">
      <c r="A7" s="8" t="s">
        <v>48</v>
      </c>
      <c r="B7" s="8" t="s">
        <v>49</v>
      </c>
      <c r="C7" s="8" t="s">
        <v>45</v>
      </c>
      <c r="D7" s="22" t="s">
        <v>5</v>
      </c>
      <c r="E7" s="23" t="s">
        <v>7</v>
      </c>
      <c r="F7" s="24" t="s">
        <v>9</v>
      </c>
      <c r="G7" s="26" t="s">
        <v>3</v>
      </c>
      <c r="H7" s="26" t="s">
        <v>3</v>
      </c>
      <c r="I7" s="26" t="s">
        <v>3</v>
      </c>
      <c r="J7" s="26" t="s">
        <v>3</v>
      </c>
      <c r="K7" s="26" t="s">
        <v>3</v>
      </c>
      <c r="L7" s="27" t="s">
        <v>7</v>
      </c>
      <c r="M7" s="28" t="s">
        <v>11</v>
      </c>
      <c r="N7" s="26" t="s">
        <v>3</v>
      </c>
      <c r="O7" s="26" t="s">
        <v>3</v>
      </c>
      <c r="P7" s="26" t="s">
        <v>3</v>
      </c>
      <c r="Q7" s="26" t="s">
        <v>3</v>
      </c>
      <c r="R7" s="22" t="s">
        <v>5</v>
      </c>
      <c r="S7" s="23" t="s">
        <v>7</v>
      </c>
      <c r="T7" s="24" t="s">
        <v>9</v>
      </c>
      <c r="U7" s="26" t="s">
        <v>3</v>
      </c>
      <c r="V7" s="26" t="s">
        <v>3</v>
      </c>
      <c r="W7" s="26" t="s">
        <v>3</v>
      </c>
      <c r="X7" s="26" t="s">
        <v>3</v>
      </c>
      <c r="Y7" s="22" t="s">
        <v>5</v>
      </c>
      <c r="Z7" s="27" t="s">
        <v>7</v>
      </c>
      <c r="AA7" s="28" t="s">
        <v>11</v>
      </c>
      <c r="AB7" s="26" t="s">
        <v>3</v>
      </c>
      <c r="AC7" s="26" t="s">
        <v>3</v>
      </c>
      <c r="AD7" s="26" t="s">
        <v>3</v>
      </c>
      <c r="AE7" s="26" t="s">
        <v>3</v>
      </c>
      <c r="AF7" s="26" t="s">
        <v>3</v>
      </c>
      <c r="AG7" s="23" t="s">
        <v>7</v>
      </c>
      <c r="AH7" s="24" t="s">
        <v>9</v>
      </c>
      <c r="AI7" s="8">
        <f t="shared" si="0"/>
        <v>18</v>
      </c>
      <c r="AJ7" s="8">
        <f t="shared" si="1"/>
        <v>3</v>
      </c>
      <c r="AK7" s="29">
        <f t="shared" si="2"/>
        <v>2</v>
      </c>
      <c r="AL7" s="62">
        <v>2</v>
      </c>
      <c r="AM7" s="33">
        <f t="shared" si="3"/>
        <v>21</v>
      </c>
      <c r="AN7" s="63">
        <f t="shared" si="4"/>
        <v>168</v>
      </c>
      <c r="AO7" s="63">
        <f t="shared" si="5"/>
        <v>0</v>
      </c>
      <c r="AP7" s="63">
        <f t="shared" si="6"/>
        <v>0</v>
      </c>
      <c r="AQ7" s="53">
        <f t="shared" si="7"/>
        <v>21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</row>
    <row r="8" spans="1:56" ht="22" customHeight="1" x14ac:dyDescent="0.35">
      <c r="A8" s="8" t="s">
        <v>50</v>
      </c>
      <c r="B8" s="8" t="s">
        <v>51</v>
      </c>
      <c r="C8" s="8" t="s">
        <v>45</v>
      </c>
      <c r="D8" s="22" t="s">
        <v>5</v>
      </c>
      <c r="E8" s="23" t="s">
        <v>7</v>
      </c>
      <c r="F8" s="24" t="s">
        <v>9</v>
      </c>
      <c r="G8" s="26" t="s">
        <v>3</v>
      </c>
      <c r="H8" s="26" t="s">
        <v>3</v>
      </c>
      <c r="I8" s="26" t="s">
        <v>3</v>
      </c>
      <c r="J8" s="22" t="s">
        <v>5</v>
      </c>
      <c r="K8" s="22" t="s">
        <v>5</v>
      </c>
      <c r="L8" s="23" t="s">
        <v>7</v>
      </c>
      <c r="M8" s="24" t="s">
        <v>9</v>
      </c>
      <c r="N8" s="26" t="s">
        <v>3</v>
      </c>
      <c r="O8" s="26" t="s">
        <v>3</v>
      </c>
      <c r="P8" s="26" t="s">
        <v>3</v>
      </c>
      <c r="Q8" s="26" t="s">
        <v>3</v>
      </c>
      <c r="R8" s="26" t="s">
        <v>3</v>
      </c>
      <c r="S8" s="27" t="s">
        <v>7</v>
      </c>
      <c r="T8" s="28" t="s">
        <v>11</v>
      </c>
      <c r="U8" s="22" t="s">
        <v>5</v>
      </c>
      <c r="V8" s="22" t="s">
        <v>5</v>
      </c>
      <c r="W8" s="26" t="s">
        <v>3</v>
      </c>
      <c r="X8" s="26" t="s">
        <v>3</v>
      </c>
      <c r="Y8" s="26" t="s">
        <v>3</v>
      </c>
      <c r="Z8" s="27" t="s">
        <v>7</v>
      </c>
      <c r="AA8" s="24" t="s">
        <v>9</v>
      </c>
      <c r="AB8" s="26" t="s">
        <v>3</v>
      </c>
      <c r="AC8" s="26" t="s">
        <v>3</v>
      </c>
      <c r="AD8" s="26" t="s">
        <v>3</v>
      </c>
      <c r="AE8" s="26" t="s">
        <v>3</v>
      </c>
      <c r="AF8" s="26" t="s">
        <v>3</v>
      </c>
      <c r="AG8" s="23" t="s">
        <v>7</v>
      </c>
      <c r="AH8" s="24" t="s">
        <v>9</v>
      </c>
      <c r="AI8" s="8">
        <f t="shared" si="0"/>
        <v>16</v>
      </c>
      <c r="AJ8" s="8">
        <f t="shared" si="1"/>
        <v>5</v>
      </c>
      <c r="AK8" s="29">
        <f t="shared" si="2"/>
        <v>1</v>
      </c>
      <c r="AL8" s="62">
        <v>2</v>
      </c>
      <c r="AM8" s="33">
        <f t="shared" si="3"/>
        <v>18</v>
      </c>
      <c r="AN8" s="63">
        <f t="shared" si="4"/>
        <v>168</v>
      </c>
      <c r="AO8" s="63">
        <f t="shared" si="5"/>
        <v>1</v>
      </c>
      <c r="AP8" s="63">
        <f t="shared" si="6"/>
        <v>4</v>
      </c>
      <c r="AQ8" s="53">
        <f t="shared" si="7"/>
        <v>17.5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</row>
    <row r="9" spans="1:56" ht="22" customHeight="1" x14ac:dyDescent="0.35">
      <c r="A9" s="8" t="s">
        <v>52</v>
      </c>
      <c r="B9" s="8" t="s">
        <v>53</v>
      </c>
      <c r="C9" s="8" t="s">
        <v>45</v>
      </c>
      <c r="D9" s="26" t="s">
        <v>3</v>
      </c>
      <c r="E9" s="27" t="s">
        <v>7</v>
      </c>
      <c r="F9" s="28" t="s">
        <v>11</v>
      </c>
      <c r="G9" s="26" t="s">
        <v>3</v>
      </c>
      <c r="H9" s="26" t="s">
        <v>3</v>
      </c>
      <c r="I9" s="26" t="s">
        <v>3</v>
      </c>
      <c r="J9" s="22" t="s">
        <v>5</v>
      </c>
      <c r="K9" s="22" t="s">
        <v>5</v>
      </c>
      <c r="L9" s="23" t="s">
        <v>7</v>
      </c>
      <c r="M9" s="24" t="s">
        <v>9</v>
      </c>
      <c r="N9" s="26" t="s">
        <v>3</v>
      </c>
      <c r="O9" s="26" t="s">
        <v>3</v>
      </c>
      <c r="P9" s="26" t="s">
        <v>3</v>
      </c>
      <c r="Q9" s="26" t="s">
        <v>3</v>
      </c>
      <c r="R9" s="26" t="s">
        <v>3</v>
      </c>
      <c r="S9" s="27" t="s">
        <v>7</v>
      </c>
      <c r="T9" s="28" t="s">
        <v>11</v>
      </c>
      <c r="U9" s="26" t="s">
        <v>3</v>
      </c>
      <c r="V9" s="26" t="s">
        <v>3</v>
      </c>
      <c r="W9" s="26" t="s">
        <v>3</v>
      </c>
      <c r="X9" s="26" t="s">
        <v>3</v>
      </c>
      <c r="Y9" s="26" t="s">
        <v>3</v>
      </c>
      <c r="Z9" s="27" t="s">
        <v>7</v>
      </c>
      <c r="AA9" s="28" t="s">
        <v>11</v>
      </c>
      <c r="AB9" s="26" t="s">
        <v>3</v>
      </c>
      <c r="AC9" s="26" t="s">
        <v>3</v>
      </c>
      <c r="AD9" s="26" t="s">
        <v>3</v>
      </c>
      <c r="AE9" s="26" t="s">
        <v>3</v>
      </c>
      <c r="AF9" s="26" t="s">
        <v>3</v>
      </c>
      <c r="AG9" s="27" t="s">
        <v>7</v>
      </c>
      <c r="AH9" s="28" t="s">
        <v>11</v>
      </c>
      <c r="AI9" s="8">
        <f t="shared" si="0"/>
        <v>19</v>
      </c>
      <c r="AJ9" s="8">
        <f t="shared" si="1"/>
        <v>2</v>
      </c>
      <c r="AK9" s="29">
        <f t="shared" si="2"/>
        <v>4</v>
      </c>
      <c r="AL9" s="62">
        <v>4</v>
      </c>
      <c r="AM9" s="33">
        <f t="shared" si="3"/>
        <v>25</v>
      </c>
      <c r="AN9" s="63">
        <f t="shared" si="4"/>
        <v>168</v>
      </c>
      <c r="AO9" s="63">
        <f t="shared" si="5"/>
        <v>0</v>
      </c>
      <c r="AP9" s="63">
        <f t="shared" si="6"/>
        <v>0</v>
      </c>
      <c r="AQ9" s="53">
        <f t="shared" si="7"/>
        <v>25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</row>
    <row r="10" spans="1:56" ht="22" customHeight="1" x14ac:dyDescent="0.35">
      <c r="A10" s="8" t="s">
        <v>54</v>
      </c>
      <c r="B10" s="8" t="s">
        <v>55</v>
      </c>
      <c r="C10" s="8" t="s">
        <v>45</v>
      </c>
      <c r="D10" s="22" t="s">
        <v>5</v>
      </c>
      <c r="E10" s="23" t="s">
        <v>7</v>
      </c>
      <c r="F10" s="24" t="s">
        <v>9</v>
      </c>
      <c r="G10" s="26" t="s">
        <v>3</v>
      </c>
      <c r="H10" s="26" t="s">
        <v>3</v>
      </c>
      <c r="I10" s="26" t="s">
        <v>3</v>
      </c>
      <c r="J10" s="26" t="s">
        <v>3</v>
      </c>
      <c r="K10" s="26" t="s">
        <v>3</v>
      </c>
      <c r="L10" s="27" t="s">
        <v>7</v>
      </c>
      <c r="M10" s="24" t="s">
        <v>9</v>
      </c>
      <c r="N10" s="26" t="s">
        <v>3</v>
      </c>
      <c r="O10" s="26" t="s">
        <v>3</v>
      </c>
      <c r="P10" s="26" t="s">
        <v>3</v>
      </c>
      <c r="Q10" s="26" t="s">
        <v>3</v>
      </c>
      <c r="R10" s="22" t="s">
        <v>5</v>
      </c>
      <c r="S10" s="23" t="s">
        <v>7</v>
      </c>
      <c r="T10" s="24" t="s">
        <v>9</v>
      </c>
      <c r="U10" s="26" t="s">
        <v>3</v>
      </c>
      <c r="V10" s="26" t="s">
        <v>3</v>
      </c>
      <c r="W10" s="26" t="s">
        <v>3</v>
      </c>
      <c r="X10" s="26" t="s">
        <v>3</v>
      </c>
      <c r="Y10" s="26" t="s">
        <v>3</v>
      </c>
      <c r="Z10" s="27" t="s">
        <v>7</v>
      </c>
      <c r="AA10" s="24" t="s">
        <v>9</v>
      </c>
      <c r="AB10" s="26" t="s">
        <v>3</v>
      </c>
      <c r="AC10" s="26" t="s">
        <v>3</v>
      </c>
      <c r="AD10" s="26" t="s">
        <v>3</v>
      </c>
      <c r="AE10" s="26" t="s">
        <v>3</v>
      </c>
      <c r="AF10" s="26" t="s">
        <v>3</v>
      </c>
      <c r="AG10" s="27" t="s">
        <v>7</v>
      </c>
      <c r="AH10" s="24" t="s">
        <v>9</v>
      </c>
      <c r="AI10" s="8">
        <f t="shared" si="0"/>
        <v>19</v>
      </c>
      <c r="AJ10" s="8">
        <f t="shared" si="1"/>
        <v>2</v>
      </c>
      <c r="AK10" s="8">
        <f t="shared" si="2"/>
        <v>0</v>
      </c>
      <c r="AL10" s="62">
        <v>3</v>
      </c>
      <c r="AM10" s="33">
        <f t="shared" si="3"/>
        <v>20.5</v>
      </c>
      <c r="AN10" s="63">
        <f t="shared" si="4"/>
        <v>168</v>
      </c>
      <c r="AO10" s="63">
        <f t="shared" si="5"/>
        <v>0</v>
      </c>
      <c r="AP10" s="63">
        <f t="shared" si="6"/>
        <v>0</v>
      </c>
      <c r="AQ10" s="53">
        <f t="shared" si="7"/>
        <v>20.5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</row>
    <row r="11" spans="1:56" ht="22" customHeight="1" x14ac:dyDescent="0.35">
      <c r="A11" s="8" t="s">
        <v>56</v>
      </c>
      <c r="B11" s="8" t="s">
        <v>57</v>
      </c>
      <c r="C11" s="8" t="s">
        <v>45</v>
      </c>
      <c r="D11" s="26" t="s">
        <v>3</v>
      </c>
      <c r="E11" s="27" t="s">
        <v>7</v>
      </c>
      <c r="F11" s="28" t="s">
        <v>11</v>
      </c>
      <c r="G11" s="26" t="s">
        <v>3</v>
      </c>
      <c r="H11" s="26" t="s">
        <v>3</v>
      </c>
      <c r="I11" s="26" t="s">
        <v>3</v>
      </c>
      <c r="J11" s="26" t="s">
        <v>3</v>
      </c>
      <c r="K11" s="22" t="s">
        <v>5</v>
      </c>
      <c r="L11" s="23" t="s">
        <v>7</v>
      </c>
      <c r="M11" s="24" t="s">
        <v>9</v>
      </c>
      <c r="N11" s="22" t="s">
        <v>5</v>
      </c>
      <c r="O11" s="22" t="s">
        <v>5</v>
      </c>
      <c r="P11" s="22" t="s">
        <v>5</v>
      </c>
      <c r="Q11" s="22" t="s">
        <v>5</v>
      </c>
      <c r="R11" s="22" t="s">
        <v>5</v>
      </c>
      <c r="S11" s="23" t="s">
        <v>7</v>
      </c>
      <c r="T11" s="24" t="s">
        <v>9</v>
      </c>
      <c r="U11" s="26" t="s">
        <v>3</v>
      </c>
      <c r="V11" s="26" t="s">
        <v>3</v>
      </c>
      <c r="W11" s="26" t="s">
        <v>3</v>
      </c>
      <c r="X11" s="26" t="s">
        <v>3</v>
      </c>
      <c r="Y11" s="26" t="s">
        <v>3</v>
      </c>
      <c r="Z11" s="27" t="s">
        <v>7</v>
      </c>
      <c r="AA11" s="28" t="s">
        <v>11</v>
      </c>
      <c r="AB11" s="26" t="s">
        <v>3</v>
      </c>
      <c r="AC11" s="26" t="s">
        <v>3</v>
      </c>
      <c r="AD11" s="26" t="s">
        <v>3</v>
      </c>
      <c r="AE11" s="26" t="s">
        <v>3</v>
      </c>
      <c r="AF11" s="26" t="s">
        <v>3</v>
      </c>
      <c r="AG11" s="23" t="s">
        <v>7</v>
      </c>
      <c r="AH11" s="24" t="s">
        <v>9</v>
      </c>
      <c r="AI11" s="8">
        <f t="shared" si="0"/>
        <v>15</v>
      </c>
      <c r="AJ11" s="8">
        <f t="shared" si="1"/>
        <v>6</v>
      </c>
      <c r="AK11" s="29">
        <f t="shared" si="2"/>
        <v>2</v>
      </c>
      <c r="AL11" s="62">
        <v>2</v>
      </c>
      <c r="AM11" s="33">
        <f t="shared" si="3"/>
        <v>18</v>
      </c>
      <c r="AN11" s="63">
        <f t="shared" si="4"/>
        <v>168</v>
      </c>
      <c r="AO11" s="63">
        <f t="shared" si="5"/>
        <v>1</v>
      </c>
      <c r="AP11" s="63">
        <f t="shared" si="6"/>
        <v>4</v>
      </c>
      <c r="AQ11" s="53">
        <f t="shared" si="7"/>
        <v>17.5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</row>
    <row r="12" spans="1:56" ht="22" customHeight="1" x14ac:dyDescent="0.35">
      <c r="A12" s="8" t="s">
        <v>58</v>
      </c>
      <c r="B12" s="8" t="s">
        <v>59</v>
      </c>
      <c r="C12" s="8" t="s">
        <v>45</v>
      </c>
      <c r="D12" s="26" t="s">
        <v>3</v>
      </c>
      <c r="E12" s="27" t="s">
        <v>7</v>
      </c>
      <c r="F12" s="28" t="s">
        <v>11</v>
      </c>
      <c r="G12" s="26" t="s">
        <v>3</v>
      </c>
      <c r="H12" s="26" t="s">
        <v>3</v>
      </c>
      <c r="I12" s="26" t="s">
        <v>3</v>
      </c>
      <c r="J12" s="26" t="s">
        <v>3</v>
      </c>
      <c r="K12" s="22" t="s">
        <v>5</v>
      </c>
      <c r="L12" s="23" t="s">
        <v>7</v>
      </c>
      <c r="M12" s="24" t="s">
        <v>9</v>
      </c>
      <c r="N12" s="26" t="s">
        <v>3</v>
      </c>
      <c r="O12" s="26" t="s">
        <v>3</v>
      </c>
      <c r="P12" s="26" t="s">
        <v>3</v>
      </c>
      <c r="Q12" s="26" t="s">
        <v>3</v>
      </c>
      <c r="R12" s="26" t="s">
        <v>3</v>
      </c>
      <c r="S12" s="27" t="s">
        <v>7</v>
      </c>
      <c r="T12" s="28" t="s">
        <v>11</v>
      </c>
      <c r="U12" s="26" t="s">
        <v>3</v>
      </c>
      <c r="V12" s="26" t="s">
        <v>3</v>
      </c>
      <c r="W12" s="26" t="s">
        <v>3</v>
      </c>
      <c r="X12" s="26" t="s">
        <v>3</v>
      </c>
      <c r="Y12" s="22" t="s">
        <v>5</v>
      </c>
      <c r="Z12" s="23" t="s">
        <v>7</v>
      </c>
      <c r="AA12" s="24" t="s">
        <v>9</v>
      </c>
      <c r="AB12" s="26" t="s">
        <v>3</v>
      </c>
      <c r="AC12" s="26" t="s">
        <v>3</v>
      </c>
      <c r="AD12" s="26" t="s">
        <v>3</v>
      </c>
      <c r="AE12" s="26" t="s">
        <v>3</v>
      </c>
      <c r="AF12" s="26" t="s">
        <v>3</v>
      </c>
      <c r="AG12" s="27" t="s">
        <v>7</v>
      </c>
      <c r="AH12" s="28" t="s">
        <v>11</v>
      </c>
      <c r="AI12" s="8">
        <f t="shared" si="0"/>
        <v>19</v>
      </c>
      <c r="AJ12" s="8">
        <f t="shared" si="1"/>
        <v>2</v>
      </c>
      <c r="AK12" s="29">
        <f t="shared" si="2"/>
        <v>3</v>
      </c>
      <c r="AL12" s="62">
        <v>3</v>
      </c>
      <c r="AM12" s="33">
        <f t="shared" si="3"/>
        <v>23.5</v>
      </c>
      <c r="AN12" s="63">
        <f t="shared" si="4"/>
        <v>168</v>
      </c>
      <c r="AO12" s="63">
        <f t="shared" si="5"/>
        <v>0</v>
      </c>
      <c r="AP12" s="63">
        <f t="shared" si="6"/>
        <v>0</v>
      </c>
      <c r="AQ12" s="53">
        <f t="shared" si="7"/>
        <v>23.5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</row>
    <row r="13" spans="1:56" ht="22" customHeight="1" x14ac:dyDescent="0.35">
      <c r="A13" s="8" t="s">
        <v>60</v>
      </c>
      <c r="B13" s="8" t="s">
        <v>61</v>
      </c>
      <c r="C13" s="8" t="s">
        <v>45</v>
      </c>
      <c r="D13" s="22" t="s">
        <v>5</v>
      </c>
      <c r="E13" s="23" t="s">
        <v>7</v>
      </c>
      <c r="F13" s="24" t="s">
        <v>9</v>
      </c>
      <c r="G13" s="22" t="s">
        <v>5</v>
      </c>
      <c r="H13" s="22" t="s">
        <v>5</v>
      </c>
      <c r="I13" s="22" t="s">
        <v>5</v>
      </c>
      <c r="J13" s="22" t="s">
        <v>5</v>
      </c>
      <c r="K13" s="22" t="s">
        <v>5</v>
      </c>
      <c r="L13" s="23" t="s">
        <v>7</v>
      </c>
      <c r="M13" s="24" t="s">
        <v>9</v>
      </c>
      <c r="N13" s="22" t="s">
        <v>5</v>
      </c>
      <c r="O13" s="22" t="s">
        <v>5</v>
      </c>
      <c r="P13" s="22" t="s">
        <v>5</v>
      </c>
      <c r="Q13" s="22" t="s">
        <v>5</v>
      </c>
      <c r="R13" s="22" t="s">
        <v>5</v>
      </c>
      <c r="S13" s="23" t="s">
        <v>7</v>
      </c>
      <c r="T13" s="24" t="s">
        <v>9</v>
      </c>
      <c r="U13" s="22" t="s">
        <v>5</v>
      </c>
      <c r="V13" s="22" t="s">
        <v>5</v>
      </c>
      <c r="W13" s="22" t="s">
        <v>5</v>
      </c>
      <c r="X13" s="22" t="s">
        <v>5</v>
      </c>
      <c r="Y13" s="22" t="s">
        <v>5</v>
      </c>
      <c r="Z13" s="23" t="s">
        <v>7</v>
      </c>
      <c r="AA13" s="24" t="s">
        <v>9</v>
      </c>
      <c r="AB13" s="22" t="s">
        <v>5</v>
      </c>
      <c r="AC13" s="22" t="s">
        <v>5</v>
      </c>
      <c r="AD13" s="22" t="s">
        <v>5</v>
      </c>
      <c r="AE13" s="22" t="s">
        <v>5</v>
      </c>
      <c r="AF13" s="22" t="s">
        <v>5</v>
      </c>
      <c r="AG13" s="23" t="s">
        <v>7</v>
      </c>
      <c r="AH13" s="24" t="s">
        <v>9</v>
      </c>
      <c r="AI13" s="8">
        <f t="shared" si="0"/>
        <v>0</v>
      </c>
      <c r="AJ13" s="25">
        <f t="shared" si="1"/>
        <v>21</v>
      </c>
      <c r="AK13" s="8">
        <f t="shared" si="2"/>
        <v>0</v>
      </c>
      <c r="AL13" s="62">
        <v>0</v>
      </c>
      <c r="AM13" s="33">
        <f t="shared" si="3"/>
        <v>0</v>
      </c>
      <c r="AN13" s="63">
        <f t="shared" si="4"/>
        <v>168</v>
      </c>
      <c r="AO13" s="63">
        <f t="shared" si="5"/>
        <v>0</v>
      </c>
      <c r="AP13" s="63">
        <f t="shared" si="6"/>
        <v>0</v>
      </c>
      <c r="AQ13" s="53">
        <f t="shared" si="7"/>
        <v>0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</row>
    <row r="14" spans="1:56" ht="22" customHeight="1" x14ac:dyDescent="0.35">
      <c r="A14" s="8" t="s">
        <v>352</v>
      </c>
      <c r="B14" s="8" t="s">
        <v>353</v>
      </c>
      <c r="C14" s="8" t="s">
        <v>45</v>
      </c>
      <c r="D14" s="26" t="s">
        <v>3</v>
      </c>
      <c r="E14" s="27" t="s">
        <v>7</v>
      </c>
      <c r="F14" s="28" t="s">
        <v>11</v>
      </c>
      <c r="G14" s="26" t="s">
        <v>3</v>
      </c>
      <c r="H14" s="26" t="s">
        <v>3</v>
      </c>
      <c r="I14" s="26" t="s">
        <v>3</v>
      </c>
      <c r="J14" s="26" t="s">
        <v>3</v>
      </c>
      <c r="K14" s="26" t="s">
        <v>3</v>
      </c>
      <c r="L14" s="27" t="s">
        <v>7</v>
      </c>
      <c r="M14" s="28" t="s">
        <v>11</v>
      </c>
      <c r="N14" s="26" t="s">
        <v>3</v>
      </c>
      <c r="O14" s="26" t="s">
        <v>3</v>
      </c>
      <c r="P14" s="26" t="s">
        <v>3</v>
      </c>
      <c r="Q14" s="22" t="s">
        <v>5</v>
      </c>
      <c r="R14" s="22" t="s">
        <v>5</v>
      </c>
      <c r="S14" s="23" t="s">
        <v>7</v>
      </c>
      <c r="T14" s="24" t="s">
        <v>9</v>
      </c>
      <c r="U14" s="26" t="s">
        <v>3</v>
      </c>
      <c r="V14" s="26" t="s">
        <v>3</v>
      </c>
      <c r="W14" s="26" t="s">
        <v>3</v>
      </c>
      <c r="X14" s="26" t="s">
        <v>3</v>
      </c>
      <c r="Y14" s="22" t="s">
        <v>5</v>
      </c>
      <c r="Z14" s="23" t="s">
        <v>7</v>
      </c>
      <c r="AA14" s="24" t="s">
        <v>9</v>
      </c>
      <c r="AB14" s="22" t="s">
        <v>5</v>
      </c>
      <c r="AC14" s="22" t="s">
        <v>5</v>
      </c>
      <c r="AD14" s="26" t="s">
        <v>3</v>
      </c>
      <c r="AE14" s="26" t="s">
        <v>3</v>
      </c>
      <c r="AF14" s="26" t="s">
        <v>3</v>
      </c>
      <c r="AG14" s="27" t="s">
        <v>7</v>
      </c>
      <c r="AH14" s="28" t="s">
        <v>11</v>
      </c>
      <c r="AI14" s="8">
        <f t="shared" si="0"/>
        <v>16</v>
      </c>
      <c r="AJ14" s="8">
        <f t="shared" si="1"/>
        <v>5</v>
      </c>
      <c r="AK14" s="29">
        <f t="shared" si="2"/>
        <v>3</v>
      </c>
      <c r="AL14" s="62">
        <v>3</v>
      </c>
      <c r="AM14" s="33">
        <f t="shared" si="3"/>
        <v>20.5</v>
      </c>
      <c r="AN14" s="63">
        <f t="shared" si="4"/>
        <v>168</v>
      </c>
      <c r="AO14" s="63">
        <f t="shared" si="5"/>
        <v>0</v>
      </c>
      <c r="AP14" s="63">
        <f t="shared" si="6"/>
        <v>0</v>
      </c>
      <c r="AQ14" s="53">
        <f t="shared" si="7"/>
        <v>20.5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</row>
    <row r="15" spans="1:56" ht="22" customHeight="1" x14ac:dyDescent="0.35">
      <c r="A15" s="8" t="s">
        <v>62</v>
      </c>
      <c r="B15" s="8" t="s">
        <v>63</v>
      </c>
      <c r="C15" s="8" t="s">
        <v>45</v>
      </c>
      <c r="D15" s="22" t="s">
        <v>5</v>
      </c>
      <c r="E15" s="23" t="s">
        <v>7</v>
      </c>
      <c r="F15" s="24" t="s">
        <v>9</v>
      </c>
      <c r="G15" s="22" t="s">
        <v>5</v>
      </c>
      <c r="H15" s="26" t="s">
        <v>3</v>
      </c>
      <c r="I15" s="22" t="s">
        <v>5</v>
      </c>
      <c r="J15" s="22" t="s">
        <v>5</v>
      </c>
      <c r="K15" s="22" t="s">
        <v>5</v>
      </c>
      <c r="L15" s="23" t="s">
        <v>7</v>
      </c>
      <c r="M15" s="28" t="s">
        <v>11</v>
      </c>
      <c r="N15" s="22" t="s">
        <v>5</v>
      </c>
      <c r="O15" s="26" t="s">
        <v>3</v>
      </c>
      <c r="P15" s="22" t="s">
        <v>5</v>
      </c>
      <c r="Q15" s="22" t="s">
        <v>5</v>
      </c>
      <c r="R15" s="22" t="s">
        <v>5</v>
      </c>
      <c r="S15" s="23" t="s">
        <v>7</v>
      </c>
      <c r="T15" s="24" t="s">
        <v>9</v>
      </c>
      <c r="U15" s="22" t="s">
        <v>5</v>
      </c>
      <c r="V15" s="22" t="s">
        <v>5</v>
      </c>
      <c r="W15" s="22" t="s">
        <v>5</v>
      </c>
      <c r="X15" s="22" t="s">
        <v>5</v>
      </c>
      <c r="Y15" s="22" t="s">
        <v>5</v>
      </c>
      <c r="Z15" s="23" t="s">
        <v>7</v>
      </c>
      <c r="AA15" s="28" t="s">
        <v>11</v>
      </c>
      <c r="AB15" s="26" t="s">
        <v>3</v>
      </c>
      <c r="AC15" s="26" t="s">
        <v>3</v>
      </c>
      <c r="AD15" s="26" t="s">
        <v>3</v>
      </c>
      <c r="AE15" s="26" t="s">
        <v>3</v>
      </c>
      <c r="AF15" s="26" t="s">
        <v>3</v>
      </c>
      <c r="AG15" s="23" t="s">
        <v>7</v>
      </c>
      <c r="AH15" s="24" t="s">
        <v>9</v>
      </c>
      <c r="AI15" s="8">
        <f t="shared" si="0"/>
        <v>7</v>
      </c>
      <c r="AJ15" s="25">
        <f t="shared" si="1"/>
        <v>14</v>
      </c>
      <c r="AK15" s="29">
        <f t="shared" si="2"/>
        <v>2</v>
      </c>
      <c r="AL15" s="62">
        <v>0</v>
      </c>
      <c r="AM15" s="33">
        <f t="shared" si="3"/>
        <v>9</v>
      </c>
      <c r="AN15" s="63">
        <f t="shared" si="4"/>
        <v>168</v>
      </c>
      <c r="AO15" s="63">
        <f t="shared" si="5"/>
        <v>1</v>
      </c>
      <c r="AP15" s="63">
        <f t="shared" si="6"/>
        <v>4</v>
      </c>
      <c r="AQ15" s="53">
        <f t="shared" si="7"/>
        <v>8.5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</row>
    <row r="16" spans="1:56" ht="22" customHeight="1" x14ac:dyDescent="0.35">
      <c r="A16" s="8" t="s">
        <v>64</v>
      </c>
      <c r="B16" s="8" t="s">
        <v>63</v>
      </c>
      <c r="C16" s="8" t="s">
        <v>45</v>
      </c>
      <c r="D16" s="22" t="s">
        <v>5</v>
      </c>
      <c r="E16" s="23" t="s">
        <v>7</v>
      </c>
      <c r="F16" s="24" t="s">
        <v>9</v>
      </c>
      <c r="G16" s="26" t="s">
        <v>3</v>
      </c>
      <c r="H16" s="26" t="s">
        <v>3</v>
      </c>
      <c r="I16" s="26" t="s">
        <v>3</v>
      </c>
      <c r="J16" s="26" t="s">
        <v>3</v>
      </c>
      <c r="K16" s="26" t="s">
        <v>3</v>
      </c>
      <c r="L16" s="27" t="s">
        <v>7</v>
      </c>
      <c r="M16" s="28" t="s">
        <v>11</v>
      </c>
      <c r="N16" s="26" t="s">
        <v>3</v>
      </c>
      <c r="O16" s="26" t="s">
        <v>3</v>
      </c>
      <c r="P16" s="26" t="s">
        <v>3</v>
      </c>
      <c r="Q16" s="26" t="s">
        <v>3</v>
      </c>
      <c r="R16" s="22" t="s">
        <v>5</v>
      </c>
      <c r="S16" s="23" t="s">
        <v>7</v>
      </c>
      <c r="T16" s="24" t="s">
        <v>9</v>
      </c>
      <c r="U16" s="26" t="s">
        <v>3</v>
      </c>
      <c r="V16" s="26" t="s">
        <v>3</v>
      </c>
      <c r="W16" s="26" t="s">
        <v>3</v>
      </c>
      <c r="X16" s="26" t="s">
        <v>3</v>
      </c>
      <c r="Y16" s="26" t="s">
        <v>3</v>
      </c>
      <c r="Z16" s="27" t="s">
        <v>7</v>
      </c>
      <c r="AA16" s="28" t="s">
        <v>11</v>
      </c>
      <c r="AB16" s="22" t="s">
        <v>5</v>
      </c>
      <c r="AC16" s="26" t="s">
        <v>3</v>
      </c>
      <c r="AD16" s="26" t="s">
        <v>3</v>
      </c>
      <c r="AE16" s="22" t="s">
        <v>5</v>
      </c>
      <c r="AF16" s="22" t="s">
        <v>5</v>
      </c>
      <c r="AG16" s="23" t="s">
        <v>7</v>
      </c>
      <c r="AH16" s="24" t="s">
        <v>9</v>
      </c>
      <c r="AI16" s="8">
        <f t="shared" si="0"/>
        <v>16</v>
      </c>
      <c r="AJ16" s="8">
        <f t="shared" si="1"/>
        <v>5</v>
      </c>
      <c r="AK16" s="29">
        <f t="shared" si="2"/>
        <v>2</v>
      </c>
      <c r="AL16" s="62">
        <v>2</v>
      </c>
      <c r="AM16" s="33">
        <f t="shared" si="3"/>
        <v>19</v>
      </c>
      <c r="AN16" s="63">
        <f t="shared" si="4"/>
        <v>168</v>
      </c>
      <c r="AO16" s="63">
        <f t="shared" si="5"/>
        <v>0</v>
      </c>
      <c r="AP16" s="63">
        <f t="shared" si="6"/>
        <v>0</v>
      </c>
      <c r="AQ16" s="53">
        <f t="shared" si="7"/>
        <v>19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</row>
    <row r="17" spans="1:56" ht="22" customHeight="1" x14ac:dyDescent="0.35">
      <c r="A17" s="8" t="s">
        <v>65</v>
      </c>
      <c r="B17" s="8" t="s">
        <v>66</v>
      </c>
      <c r="C17" s="8" t="s">
        <v>45</v>
      </c>
      <c r="D17" s="22" t="s">
        <v>5</v>
      </c>
      <c r="E17" s="23" t="s">
        <v>7</v>
      </c>
      <c r="F17" s="24" t="s">
        <v>9</v>
      </c>
      <c r="G17" s="26" t="s">
        <v>3</v>
      </c>
      <c r="H17" s="22" t="s">
        <v>5</v>
      </c>
      <c r="I17" s="22" t="s">
        <v>5</v>
      </c>
      <c r="J17" s="26" t="s">
        <v>3</v>
      </c>
      <c r="K17" s="22" t="s">
        <v>5</v>
      </c>
      <c r="L17" s="23" t="s">
        <v>7</v>
      </c>
      <c r="M17" s="28" t="s">
        <v>11</v>
      </c>
      <c r="N17" s="26" t="s">
        <v>3</v>
      </c>
      <c r="O17" s="26" t="s">
        <v>3</v>
      </c>
      <c r="P17" s="26" t="s">
        <v>3</v>
      </c>
      <c r="Q17" s="26" t="s">
        <v>3</v>
      </c>
      <c r="R17" s="26" t="s">
        <v>3</v>
      </c>
      <c r="S17" s="27" t="s">
        <v>7</v>
      </c>
      <c r="T17" s="28" t="s">
        <v>11</v>
      </c>
      <c r="U17" s="26" t="s">
        <v>3</v>
      </c>
      <c r="V17" s="26" t="s">
        <v>3</v>
      </c>
      <c r="W17" s="26" t="s">
        <v>3</v>
      </c>
      <c r="X17" s="26" t="s">
        <v>3</v>
      </c>
      <c r="Y17" s="26" t="s">
        <v>3</v>
      </c>
      <c r="Z17" s="27" t="s">
        <v>7</v>
      </c>
      <c r="AA17" s="28" t="s">
        <v>11</v>
      </c>
      <c r="AB17" s="26" t="s">
        <v>3</v>
      </c>
      <c r="AC17" s="26" t="s">
        <v>3</v>
      </c>
      <c r="AD17" s="26" t="s">
        <v>3</v>
      </c>
      <c r="AE17" s="26" t="s">
        <v>3</v>
      </c>
      <c r="AF17" s="26" t="s">
        <v>3</v>
      </c>
      <c r="AG17" s="23" t="s">
        <v>7</v>
      </c>
      <c r="AH17" s="24" t="s">
        <v>9</v>
      </c>
      <c r="AI17" s="8">
        <f t="shared" si="0"/>
        <v>17</v>
      </c>
      <c r="AJ17" s="8">
        <f t="shared" si="1"/>
        <v>4</v>
      </c>
      <c r="AK17" s="29">
        <f t="shared" si="2"/>
        <v>3</v>
      </c>
      <c r="AL17" s="62">
        <v>2</v>
      </c>
      <c r="AM17" s="33">
        <f t="shared" si="3"/>
        <v>21</v>
      </c>
      <c r="AN17" s="63">
        <f t="shared" si="4"/>
        <v>168</v>
      </c>
      <c r="AO17" s="63">
        <f t="shared" si="5"/>
        <v>1</v>
      </c>
      <c r="AP17" s="63">
        <f t="shared" si="6"/>
        <v>4</v>
      </c>
      <c r="AQ17" s="53">
        <f t="shared" si="7"/>
        <v>20.5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</row>
    <row r="18" spans="1:56" ht="22" customHeight="1" x14ac:dyDescent="0.35">
      <c r="A18" s="8" t="s">
        <v>67</v>
      </c>
      <c r="B18" s="8" t="s">
        <v>68</v>
      </c>
      <c r="C18" s="8" t="s">
        <v>45</v>
      </c>
      <c r="D18" s="22" t="s">
        <v>5</v>
      </c>
      <c r="E18" s="23" t="s">
        <v>7</v>
      </c>
      <c r="F18" s="24" t="s">
        <v>9</v>
      </c>
      <c r="G18" s="26" t="s">
        <v>3</v>
      </c>
      <c r="H18" s="26" t="s">
        <v>3</v>
      </c>
      <c r="I18" s="26" t="s">
        <v>3</v>
      </c>
      <c r="J18" s="26" t="s">
        <v>3</v>
      </c>
      <c r="K18" s="26" t="s">
        <v>3</v>
      </c>
      <c r="L18" s="27" t="s">
        <v>7</v>
      </c>
      <c r="M18" s="24" t="s">
        <v>9</v>
      </c>
      <c r="N18" s="26" t="s">
        <v>3</v>
      </c>
      <c r="O18" s="26" t="s">
        <v>3</v>
      </c>
      <c r="P18" s="26" t="s">
        <v>3</v>
      </c>
      <c r="Q18" s="26" t="s">
        <v>3</v>
      </c>
      <c r="R18" s="22" t="s">
        <v>5</v>
      </c>
      <c r="S18" s="23" t="s">
        <v>7</v>
      </c>
      <c r="T18" s="24" t="s">
        <v>9</v>
      </c>
      <c r="U18" s="26" t="s">
        <v>3</v>
      </c>
      <c r="V18" s="26" t="s">
        <v>3</v>
      </c>
      <c r="W18" s="26" t="s">
        <v>3</v>
      </c>
      <c r="X18" s="26" t="s">
        <v>3</v>
      </c>
      <c r="Y18" s="26" t="s">
        <v>3</v>
      </c>
      <c r="Z18" s="27" t="s">
        <v>7</v>
      </c>
      <c r="AA18" s="24" t="s">
        <v>9</v>
      </c>
      <c r="AB18" s="26" t="s">
        <v>3</v>
      </c>
      <c r="AC18" s="26" t="s">
        <v>3</v>
      </c>
      <c r="AD18" s="22" t="s">
        <v>5</v>
      </c>
      <c r="AE18" s="22" t="s">
        <v>5</v>
      </c>
      <c r="AF18" s="22" t="s">
        <v>5</v>
      </c>
      <c r="AG18" s="23" t="s">
        <v>7</v>
      </c>
      <c r="AH18" s="24" t="s">
        <v>9</v>
      </c>
      <c r="AI18" s="8">
        <f t="shared" si="0"/>
        <v>16</v>
      </c>
      <c r="AJ18" s="8">
        <f t="shared" si="1"/>
        <v>5</v>
      </c>
      <c r="AK18" s="8">
        <f t="shared" si="2"/>
        <v>0</v>
      </c>
      <c r="AL18" s="62">
        <v>2</v>
      </c>
      <c r="AM18" s="33">
        <f t="shared" si="3"/>
        <v>17</v>
      </c>
      <c r="AN18" s="63">
        <f t="shared" si="4"/>
        <v>168</v>
      </c>
      <c r="AO18" s="63">
        <f t="shared" si="5"/>
        <v>0</v>
      </c>
      <c r="AP18" s="63">
        <f t="shared" si="6"/>
        <v>0</v>
      </c>
      <c r="AQ18" s="53">
        <f t="shared" si="7"/>
        <v>17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</row>
    <row r="19" spans="1:56" ht="22" customHeight="1" x14ac:dyDescent="0.35">
      <c r="A19" s="8" t="s">
        <v>69</v>
      </c>
      <c r="B19" s="8" t="s">
        <v>70</v>
      </c>
      <c r="C19" s="8" t="s">
        <v>45</v>
      </c>
      <c r="D19" s="26" t="s">
        <v>3</v>
      </c>
      <c r="E19" s="27" t="s">
        <v>7</v>
      </c>
      <c r="F19" s="24" t="s">
        <v>9</v>
      </c>
      <c r="G19" s="26" t="s">
        <v>3</v>
      </c>
      <c r="H19" s="26" t="s">
        <v>3</v>
      </c>
      <c r="I19" s="26" t="s">
        <v>3</v>
      </c>
      <c r="J19" s="26" t="s">
        <v>3</v>
      </c>
      <c r="K19" s="26" t="s">
        <v>3</v>
      </c>
      <c r="L19" s="27" t="s">
        <v>7</v>
      </c>
      <c r="M19" s="24" t="s">
        <v>9</v>
      </c>
      <c r="N19" s="26" t="s">
        <v>3</v>
      </c>
      <c r="O19" s="26" t="s">
        <v>3</v>
      </c>
      <c r="P19" s="26" t="s">
        <v>3</v>
      </c>
      <c r="Q19" s="26" t="s">
        <v>3</v>
      </c>
      <c r="R19" s="22" t="s">
        <v>5</v>
      </c>
      <c r="S19" s="23" t="s">
        <v>7</v>
      </c>
      <c r="T19" s="24" t="s">
        <v>9</v>
      </c>
      <c r="U19" s="26" t="s">
        <v>3</v>
      </c>
      <c r="V19" s="26" t="s">
        <v>3</v>
      </c>
      <c r="W19" s="26" t="s">
        <v>3</v>
      </c>
      <c r="X19" s="26" t="s">
        <v>3</v>
      </c>
      <c r="Y19" s="22" t="s">
        <v>5</v>
      </c>
      <c r="Z19" s="23" t="s">
        <v>7</v>
      </c>
      <c r="AA19" s="24" t="s">
        <v>9</v>
      </c>
      <c r="AB19" s="26" t="s">
        <v>3</v>
      </c>
      <c r="AC19" s="26" t="s">
        <v>3</v>
      </c>
      <c r="AD19" s="26" t="s">
        <v>3</v>
      </c>
      <c r="AE19" s="26" t="s">
        <v>3</v>
      </c>
      <c r="AF19" s="26" t="s">
        <v>3</v>
      </c>
      <c r="AG19" s="27" t="s">
        <v>7</v>
      </c>
      <c r="AH19" s="28" t="s">
        <v>11</v>
      </c>
      <c r="AI19" s="8">
        <f t="shared" si="0"/>
        <v>19</v>
      </c>
      <c r="AJ19" s="8">
        <f t="shared" si="1"/>
        <v>2</v>
      </c>
      <c r="AK19" s="29">
        <f t="shared" si="2"/>
        <v>1</v>
      </c>
      <c r="AL19" s="62">
        <v>3</v>
      </c>
      <c r="AM19" s="33">
        <f t="shared" si="3"/>
        <v>21.5</v>
      </c>
      <c r="AN19" s="63">
        <f t="shared" si="4"/>
        <v>168</v>
      </c>
      <c r="AO19" s="63">
        <f t="shared" si="5"/>
        <v>0</v>
      </c>
      <c r="AP19" s="63">
        <f t="shared" si="6"/>
        <v>0</v>
      </c>
      <c r="AQ19" s="53">
        <f t="shared" si="7"/>
        <v>21.5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</row>
    <row r="20" spans="1:56" x14ac:dyDescent="0.35"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</row>
    <row r="21" spans="1:56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</row>
    <row r="22" spans="1:56" ht="22" customHeight="1" x14ac:dyDescent="0.35">
      <c r="A22" s="8" t="s">
        <v>72</v>
      </c>
      <c r="B22" s="8" t="s">
        <v>73</v>
      </c>
      <c r="C22" s="8" t="s">
        <v>74</v>
      </c>
      <c r="D22" s="26" t="s">
        <v>3</v>
      </c>
      <c r="E22" s="27" t="s">
        <v>7</v>
      </c>
      <c r="F22" s="28" t="s">
        <v>11</v>
      </c>
      <c r="G22" s="26" t="s">
        <v>3</v>
      </c>
      <c r="H22" s="26" t="s">
        <v>3</v>
      </c>
      <c r="I22" s="26" t="s">
        <v>3</v>
      </c>
      <c r="J22" s="26" t="s">
        <v>3</v>
      </c>
      <c r="K22" s="22" t="s">
        <v>5</v>
      </c>
      <c r="L22" s="23" t="s">
        <v>7</v>
      </c>
      <c r="M22" s="24" t="s">
        <v>9</v>
      </c>
      <c r="N22" s="22" t="s">
        <v>5</v>
      </c>
      <c r="O22" s="22" t="s">
        <v>5</v>
      </c>
      <c r="P22" s="22" t="s">
        <v>5</v>
      </c>
      <c r="Q22" s="22" t="s">
        <v>5</v>
      </c>
      <c r="R22" s="22" t="s">
        <v>5</v>
      </c>
      <c r="S22" s="27" t="s">
        <v>7</v>
      </c>
      <c r="T22" s="28" t="s">
        <v>11</v>
      </c>
      <c r="U22" s="26" t="s">
        <v>3</v>
      </c>
      <c r="V22" s="26" t="s">
        <v>3</v>
      </c>
      <c r="W22" s="26" t="s">
        <v>3</v>
      </c>
      <c r="X22" s="26" t="s">
        <v>3</v>
      </c>
      <c r="Y22" s="22" t="s">
        <v>5</v>
      </c>
      <c r="Z22" s="23" t="s">
        <v>7</v>
      </c>
      <c r="AA22" s="24" t="s">
        <v>9</v>
      </c>
      <c r="AB22" s="26" t="s">
        <v>3</v>
      </c>
      <c r="AC22" s="26" t="s">
        <v>3</v>
      </c>
      <c r="AD22" s="26" t="s">
        <v>3</v>
      </c>
      <c r="AE22" s="26" t="s">
        <v>3</v>
      </c>
      <c r="AF22" s="26" t="s">
        <v>3</v>
      </c>
      <c r="AG22" s="27" t="s">
        <v>7</v>
      </c>
      <c r="AH22" s="28" t="s">
        <v>11</v>
      </c>
      <c r="AI22" s="8">
        <f t="shared" ref="AI22:AI35" si="8">COUNTIF(D22:AH22,"ON")</f>
        <v>14</v>
      </c>
      <c r="AJ22" s="8">
        <f t="shared" ref="AJ22:AJ35" si="9">COUNTIF(D22:AH22,"OFF")</f>
        <v>7</v>
      </c>
      <c r="AK22" s="29">
        <f t="shared" ref="AK22:AK35" si="10">COUNTIF(D22:AH22,"OT")</f>
        <v>3</v>
      </c>
      <c r="AL22" s="62">
        <v>3</v>
      </c>
      <c r="AM22" s="33">
        <f t="shared" ref="AM22:AM35" si="11">AI22+AK22+AL22*0.5</f>
        <v>18.5</v>
      </c>
      <c r="AN22" s="63">
        <f t="shared" ref="AN22:AN35" si="12">NETWORKDAYS(DATE(2025,8,1),EOMONTH(DATE(2025,8,1),0))*8</f>
        <v>168</v>
      </c>
      <c r="AO22" s="63">
        <f t="shared" ref="AO22:AO35" si="13">MAX(0,COUNTIF(D22,"ON")+COUNTIF(K22,"ON")+COUNTIF(R22,"ON")+COUNTIF(Y22,"ON")+COUNTIF(AF22,"ON")-AL22)</f>
        <v>0</v>
      </c>
      <c r="AP22" s="63">
        <f t="shared" ref="AP22:AP35" si="14">AO22*$AP$2</f>
        <v>0</v>
      </c>
      <c r="AQ22" s="53">
        <f t="shared" ref="AQ22:AQ35" si="15">AM22-AP22/8</f>
        <v>18.5</v>
      </c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</row>
    <row r="23" spans="1:56" ht="22" customHeight="1" x14ac:dyDescent="0.35">
      <c r="A23" s="8" t="s">
        <v>75</v>
      </c>
      <c r="B23" s="8" t="s">
        <v>76</v>
      </c>
      <c r="C23" s="8" t="s">
        <v>74</v>
      </c>
      <c r="D23" s="22" t="s">
        <v>5</v>
      </c>
      <c r="E23" s="23" t="s">
        <v>7</v>
      </c>
      <c r="F23" s="24" t="s">
        <v>9</v>
      </c>
      <c r="G23" s="26" t="s">
        <v>3</v>
      </c>
      <c r="H23" s="26" t="s">
        <v>3</v>
      </c>
      <c r="I23" s="26" t="s">
        <v>3</v>
      </c>
      <c r="J23" s="26" t="s">
        <v>3</v>
      </c>
      <c r="K23" s="26" t="s">
        <v>3</v>
      </c>
      <c r="L23" s="27" t="s">
        <v>7</v>
      </c>
      <c r="M23" s="28" t="s">
        <v>11</v>
      </c>
      <c r="N23" s="26" t="s">
        <v>3</v>
      </c>
      <c r="O23" s="26" t="s">
        <v>3</v>
      </c>
      <c r="P23" s="26" t="s">
        <v>3</v>
      </c>
      <c r="Q23" s="26" t="s">
        <v>3</v>
      </c>
      <c r="R23" s="22" t="s">
        <v>5</v>
      </c>
      <c r="S23" s="23" t="s">
        <v>7</v>
      </c>
      <c r="T23" s="24" t="s">
        <v>9</v>
      </c>
      <c r="U23" s="26" t="s">
        <v>3</v>
      </c>
      <c r="V23" s="26" t="s">
        <v>3</v>
      </c>
      <c r="W23" s="26" t="s">
        <v>3</v>
      </c>
      <c r="X23" s="26" t="s">
        <v>3</v>
      </c>
      <c r="Y23" s="26" t="s">
        <v>3</v>
      </c>
      <c r="Z23" s="27" t="s">
        <v>7</v>
      </c>
      <c r="AA23" s="28" t="s">
        <v>11</v>
      </c>
      <c r="AB23" s="26" t="s">
        <v>3</v>
      </c>
      <c r="AC23" s="26" t="s">
        <v>3</v>
      </c>
      <c r="AD23" s="26" t="s">
        <v>3</v>
      </c>
      <c r="AE23" s="26" t="s">
        <v>3</v>
      </c>
      <c r="AF23" s="26" t="s">
        <v>3</v>
      </c>
      <c r="AG23" s="23" t="s">
        <v>7</v>
      </c>
      <c r="AH23" s="24" t="s">
        <v>9</v>
      </c>
      <c r="AI23" s="8">
        <f t="shared" si="8"/>
        <v>19</v>
      </c>
      <c r="AJ23" s="8">
        <f t="shared" si="9"/>
        <v>2</v>
      </c>
      <c r="AK23" s="29">
        <f t="shared" si="10"/>
        <v>2</v>
      </c>
      <c r="AL23" s="62">
        <v>2</v>
      </c>
      <c r="AM23" s="33">
        <f t="shared" si="11"/>
        <v>22</v>
      </c>
      <c r="AN23" s="63">
        <f t="shared" si="12"/>
        <v>168</v>
      </c>
      <c r="AO23" s="63">
        <f t="shared" si="13"/>
        <v>1</v>
      </c>
      <c r="AP23" s="63">
        <f t="shared" si="14"/>
        <v>4</v>
      </c>
      <c r="AQ23" s="53">
        <f t="shared" si="15"/>
        <v>21.5</v>
      </c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</row>
    <row r="24" spans="1:56" ht="22" customHeight="1" x14ac:dyDescent="0.35">
      <c r="A24" s="8" t="s">
        <v>77</v>
      </c>
      <c r="B24" s="8" t="s">
        <v>78</v>
      </c>
      <c r="C24" s="8" t="s">
        <v>74</v>
      </c>
      <c r="D24" s="22" t="s">
        <v>5</v>
      </c>
      <c r="E24" s="23" t="s">
        <v>7</v>
      </c>
      <c r="F24" s="24" t="s">
        <v>9</v>
      </c>
      <c r="G24" s="26" t="s">
        <v>3</v>
      </c>
      <c r="H24" s="26" t="s">
        <v>3</v>
      </c>
      <c r="I24" s="26" t="s">
        <v>3</v>
      </c>
      <c r="J24" s="26" t="s">
        <v>3</v>
      </c>
      <c r="K24" s="26" t="s">
        <v>3</v>
      </c>
      <c r="L24" s="27" t="s">
        <v>7</v>
      </c>
      <c r="M24" s="28" t="s">
        <v>11</v>
      </c>
      <c r="N24" s="26" t="s">
        <v>3</v>
      </c>
      <c r="O24" s="26" t="s">
        <v>3</v>
      </c>
      <c r="P24" s="26" t="s">
        <v>3</v>
      </c>
      <c r="Q24" s="26" t="s">
        <v>3</v>
      </c>
      <c r="R24" s="22" t="s">
        <v>5</v>
      </c>
      <c r="S24" s="23" t="s">
        <v>7</v>
      </c>
      <c r="T24" s="24" t="s">
        <v>9</v>
      </c>
      <c r="U24" s="26" t="s">
        <v>3</v>
      </c>
      <c r="V24" s="26" t="s">
        <v>3</v>
      </c>
      <c r="W24" s="26" t="s">
        <v>3</v>
      </c>
      <c r="X24" s="26" t="s">
        <v>3</v>
      </c>
      <c r="Y24" s="26" t="s">
        <v>3</v>
      </c>
      <c r="Z24" s="27" t="s">
        <v>7</v>
      </c>
      <c r="AA24" s="28" t="s">
        <v>11</v>
      </c>
      <c r="AB24" s="26" t="s">
        <v>3</v>
      </c>
      <c r="AC24" s="26" t="s">
        <v>3</v>
      </c>
      <c r="AD24" s="26" t="s">
        <v>3</v>
      </c>
      <c r="AE24" s="26" t="s">
        <v>3</v>
      </c>
      <c r="AF24" s="26" t="s">
        <v>3</v>
      </c>
      <c r="AG24" s="27" t="s">
        <v>7</v>
      </c>
      <c r="AH24" s="28" t="s">
        <v>11</v>
      </c>
      <c r="AI24" s="8">
        <f t="shared" si="8"/>
        <v>19</v>
      </c>
      <c r="AJ24" s="8">
        <f t="shared" si="9"/>
        <v>2</v>
      </c>
      <c r="AK24" s="29">
        <f t="shared" si="10"/>
        <v>3</v>
      </c>
      <c r="AL24" s="62">
        <v>3</v>
      </c>
      <c r="AM24" s="33">
        <f t="shared" si="11"/>
        <v>23.5</v>
      </c>
      <c r="AN24" s="63">
        <f t="shared" si="12"/>
        <v>168</v>
      </c>
      <c r="AO24" s="63">
        <f t="shared" si="13"/>
        <v>0</v>
      </c>
      <c r="AP24" s="63">
        <f t="shared" si="14"/>
        <v>0</v>
      </c>
      <c r="AQ24" s="53">
        <f t="shared" si="15"/>
        <v>23.5</v>
      </c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</row>
    <row r="25" spans="1:56" ht="22" customHeight="1" x14ac:dyDescent="0.35">
      <c r="A25" s="8" t="s">
        <v>79</v>
      </c>
      <c r="B25" s="8" t="s">
        <v>80</v>
      </c>
      <c r="C25" s="8" t="s">
        <v>74</v>
      </c>
      <c r="D25" s="26" t="s">
        <v>3</v>
      </c>
      <c r="E25" s="27" t="s">
        <v>7</v>
      </c>
      <c r="F25" s="28" t="s">
        <v>11</v>
      </c>
      <c r="G25" s="26" t="s">
        <v>3</v>
      </c>
      <c r="H25" s="26" t="s">
        <v>3</v>
      </c>
      <c r="I25" s="26" t="s">
        <v>3</v>
      </c>
      <c r="J25" s="26" t="s">
        <v>3</v>
      </c>
      <c r="K25" s="22" t="s">
        <v>5</v>
      </c>
      <c r="L25" s="23" t="s">
        <v>7</v>
      </c>
      <c r="M25" s="24" t="s">
        <v>9</v>
      </c>
      <c r="N25" s="26" t="s">
        <v>3</v>
      </c>
      <c r="O25" s="26" t="s">
        <v>3</v>
      </c>
      <c r="P25" s="26" t="s">
        <v>3</v>
      </c>
      <c r="Q25" s="26" t="s">
        <v>3</v>
      </c>
      <c r="R25" s="26" t="s">
        <v>3</v>
      </c>
      <c r="S25" s="27" t="s">
        <v>7</v>
      </c>
      <c r="T25" s="28" t="s">
        <v>11</v>
      </c>
      <c r="U25" s="26" t="s">
        <v>3</v>
      </c>
      <c r="V25" s="26" t="s">
        <v>3</v>
      </c>
      <c r="W25" s="26" t="s">
        <v>3</v>
      </c>
      <c r="X25" s="26" t="s">
        <v>3</v>
      </c>
      <c r="Y25" s="26" t="s">
        <v>3</v>
      </c>
      <c r="Z25" s="27" t="s">
        <v>7</v>
      </c>
      <c r="AA25" s="24" t="s">
        <v>9</v>
      </c>
      <c r="AB25" s="26" t="s">
        <v>3</v>
      </c>
      <c r="AC25" s="26" t="s">
        <v>3</v>
      </c>
      <c r="AD25" s="26" t="s">
        <v>3</v>
      </c>
      <c r="AE25" s="26" t="s">
        <v>3</v>
      </c>
      <c r="AF25" s="26" t="s">
        <v>3</v>
      </c>
      <c r="AG25" s="27" t="s">
        <v>7</v>
      </c>
      <c r="AH25" s="24" t="s">
        <v>9</v>
      </c>
      <c r="AI25" s="8">
        <f t="shared" si="8"/>
        <v>20</v>
      </c>
      <c r="AJ25" s="8">
        <f t="shared" si="9"/>
        <v>1</v>
      </c>
      <c r="AK25" s="29">
        <f t="shared" si="10"/>
        <v>2</v>
      </c>
      <c r="AL25" s="62">
        <v>4</v>
      </c>
      <c r="AM25" s="33">
        <f t="shared" si="11"/>
        <v>24</v>
      </c>
      <c r="AN25" s="63">
        <f t="shared" si="12"/>
        <v>168</v>
      </c>
      <c r="AO25" s="63">
        <f t="shared" si="13"/>
        <v>0</v>
      </c>
      <c r="AP25" s="63">
        <f t="shared" si="14"/>
        <v>0</v>
      </c>
      <c r="AQ25" s="53">
        <f t="shared" si="15"/>
        <v>24</v>
      </c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</row>
    <row r="26" spans="1:56" ht="22" customHeight="1" x14ac:dyDescent="0.35">
      <c r="A26" s="8" t="s">
        <v>81</v>
      </c>
      <c r="B26" s="8" t="s">
        <v>82</v>
      </c>
      <c r="C26" s="8" t="s">
        <v>74</v>
      </c>
      <c r="D26" s="22" t="s">
        <v>5</v>
      </c>
      <c r="E26" s="23" t="s">
        <v>7</v>
      </c>
      <c r="F26" s="24" t="s">
        <v>9</v>
      </c>
      <c r="G26" s="26" t="s">
        <v>3</v>
      </c>
      <c r="H26" s="26" t="s">
        <v>3</v>
      </c>
      <c r="I26" s="26" t="s">
        <v>3</v>
      </c>
      <c r="J26" s="26" t="s">
        <v>3</v>
      </c>
      <c r="K26" s="26" t="s">
        <v>3</v>
      </c>
      <c r="L26" s="27" t="s">
        <v>7</v>
      </c>
      <c r="M26" s="28" t="s">
        <v>11</v>
      </c>
      <c r="N26" s="26" t="s">
        <v>3</v>
      </c>
      <c r="O26" s="26" t="s">
        <v>3</v>
      </c>
      <c r="P26" s="26" t="s">
        <v>3</v>
      </c>
      <c r="Q26" s="26" t="s">
        <v>3</v>
      </c>
      <c r="R26" s="22" t="s">
        <v>5</v>
      </c>
      <c r="S26" s="23" t="s">
        <v>7</v>
      </c>
      <c r="T26" s="24" t="s">
        <v>9</v>
      </c>
      <c r="U26" s="26" t="s">
        <v>3</v>
      </c>
      <c r="V26" s="26" t="s">
        <v>3</v>
      </c>
      <c r="W26" s="26" t="s">
        <v>3</v>
      </c>
      <c r="X26" s="26" t="s">
        <v>3</v>
      </c>
      <c r="Y26" s="26" t="s">
        <v>3</v>
      </c>
      <c r="Z26" s="27" t="s">
        <v>7</v>
      </c>
      <c r="AA26" s="28" t="s">
        <v>11</v>
      </c>
      <c r="AB26" s="26" t="s">
        <v>3</v>
      </c>
      <c r="AC26" s="26" t="s">
        <v>3</v>
      </c>
      <c r="AD26" s="26" t="s">
        <v>3</v>
      </c>
      <c r="AE26" s="26" t="s">
        <v>3</v>
      </c>
      <c r="AF26" s="26" t="s">
        <v>3</v>
      </c>
      <c r="AG26" s="23" t="s">
        <v>7</v>
      </c>
      <c r="AH26" s="24" t="s">
        <v>9</v>
      </c>
      <c r="AI26" s="8">
        <f t="shared" si="8"/>
        <v>19</v>
      </c>
      <c r="AJ26" s="8">
        <f t="shared" si="9"/>
        <v>2</v>
      </c>
      <c r="AK26" s="29">
        <f t="shared" si="10"/>
        <v>2</v>
      </c>
      <c r="AL26" s="62">
        <v>2</v>
      </c>
      <c r="AM26" s="33">
        <f t="shared" si="11"/>
        <v>22</v>
      </c>
      <c r="AN26" s="63">
        <f t="shared" si="12"/>
        <v>168</v>
      </c>
      <c r="AO26" s="63">
        <f t="shared" si="13"/>
        <v>1</v>
      </c>
      <c r="AP26" s="63">
        <f t="shared" si="14"/>
        <v>4</v>
      </c>
      <c r="AQ26" s="53">
        <f t="shared" si="15"/>
        <v>21.5</v>
      </c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</row>
    <row r="27" spans="1:56" ht="22" customHeight="1" x14ac:dyDescent="0.35">
      <c r="A27" s="8" t="s">
        <v>83</v>
      </c>
      <c r="B27" s="8" t="s">
        <v>84</v>
      </c>
      <c r="C27" s="8" t="s">
        <v>74</v>
      </c>
      <c r="D27" s="26" t="s">
        <v>3</v>
      </c>
      <c r="E27" s="27" t="s">
        <v>7</v>
      </c>
      <c r="F27" s="28" t="s">
        <v>11</v>
      </c>
      <c r="G27" s="26" t="s">
        <v>3</v>
      </c>
      <c r="H27" s="26" t="s">
        <v>3</v>
      </c>
      <c r="I27" s="26" t="s">
        <v>3</v>
      </c>
      <c r="J27" s="26" t="s">
        <v>3</v>
      </c>
      <c r="K27" s="22" t="s">
        <v>5</v>
      </c>
      <c r="L27" s="23" t="s">
        <v>7</v>
      </c>
      <c r="M27" s="24" t="s">
        <v>9</v>
      </c>
      <c r="N27" s="26" t="s">
        <v>3</v>
      </c>
      <c r="O27" s="26" t="s">
        <v>3</v>
      </c>
      <c r="P27" s="26" t="s">
        <v>3</v>
      </c>
      <c r="Q27" s="26" t="s">
        <v>3</v>
      </c>
      <c r="R27" s="26" t="s">
        <v>3</v>
      </c>
      <c r="S27" s="27" t="s">
        <v>7</v>
      </c>
      <c r="T27" s="28" t="s">
        <v>11</v>
      </c>
      <c r="U27" s="26" t="s">
        <v>3</v>
      </c>
      <c r="V27" s="26" t="s">
        <v>3</v>
      </c>
      <c r="W27" s="26" t="s">
        <v>3</v>
      </c>
      <c r="X27" s="26" t="s">
        <v>3</v>
      </c>
      <c r="Y27" s="22" t="s">
        <v>5</v>
      </c>
      <c r="Z27" s="23" t="s">
        <v>7</v>
      </c>
      <c r="AA27" s="24" t="s">
        <v>9</v>
      </c>
      <c r="AB27" s="26" t="s">
        <v>3</v>
      </c>
      <c r="AC27" s="26" t="s">
        <v>3</v>
      </c>
      <c r="AD27" s="26" t="s">
        <v>3</v>
      </c>
      <c r="AE27" s="26" t="s">
        <v>3</v>
      </c>
      <c r="AF27" s="26" t="s">
        <v>3</v>
      </c>
      <c r="AG27" s="23" t="s">
        <v>7</v>
      </c>
      <c r="AH27" s="24" t="s">
        <v>9</v>
      </c>
      <c r="AI27" s="8">
        <f t="shared" si="8"/>
        <v>19</v>
      </c>
      <c r="AJ27" s="8">
        <f t="shared" si="9"/>
        <v>2</v>
      </c>
      <c r="AK27" s="29">
        <f t="shared" si="10"/>
        <v>2</v>
      </c>
      <c r="AL27" s="62">
        <v>2</v>
      </c>
      <c r="AM27" s="33">
        <f t="shared" si="11"/>
        <v>22</v>
      </c>
      <c r="AN27" s="63">
        <f t="shared" si="12"/>
        <v>168</v>
      </c>
      <c r="AO27" s="63">
        <f t="shared" si="13"/>
        <v>1</v>
      </c>
      <c r="AP27" s="63">
        <f t="shared" si="14"/>
        <v>4</v>
      </c>
      <c r="AQ27" s="53">
        <f t="shared" si="15"/>
        <v>21.5</v>
      </c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</row>
    <row r="28" spans="1:56" ht="22" customHeight="1" x14ac:dyDescent="0.35">
      <c r="A28" s="8" t="s">
        <v>85</v>
      </c>
      <c r="B28" s="8" t="s">
        <v>86</v>
      </c>
      <c r="C28" s="8" t="s">
        <v>74</v>
      </c>
      <c r="D28" s="26" t="s">
        <v>3</v>
      </c>
      <c r="E28" s="27" t="s">
        <v>7</v>
      </c>
      <c r="F28" s="28" t="s">
        <v>11</v>
      </c>
      <c r="G28" s="26" t="s">
        <v>3</v>
      </c>
      <c r="H28" s="26" t="s">
        <v>3</v>
      </c>
      <c r="I28" s="26" t="s">
        <v>3</v>
      </c>
      <c r="J28" s="26" t="s">
        <v>3</v>
      </c>
      <c r="K28" s="22" t="s">
        <v>5</v>
      </c>
      <c r="L28" s="27" t="s">
        <v>7</v>
      </c>
      <c r="M28" s="28" t="s">
        <v>11</v>
      </c>
      <c r="N28" s="26" t="s">
        <v>3</v>
      </c>
      <c r="O28" s="26" t="s">
        <v>3</v>
      </c>
      <c r="P28" s="26" t="s">
        <v>3</v>
      </c>
      <c r="Q28" s="26" t="s">
        <v>3</v>
      </c>
      <c r="R28" s="26" t="s">
        <v>3</v>
      </c>
      <c r="S28" s="27" t="s">
        <v>7</v>
      </c>
      <c r="T28" s="28" t="s">
        <v>11</v>
      </c>
      <c r="U28" s="26" t="s">
        <v>3</v>
      </c>
      <c r="V28" s="26" t="s">
        <v>3</v>
      </c>
      <c r="W28" s="26" t="s">
        <v>3</v>
      </c>
      <c r="X28" s="26" t="s">
        <v>3</v>
      </c>
      <c r="Y28" s="26" t="s">
        <v>3</v>
      </c>
      <c r="Z28" s="23" t="s">
        <v>7</v>
      </c>
      <c r="AA28" s="24" t="s">
        <v>9</v>
      </c>
      <c r="AB28" s="26" t="s">
        <v>3</v>
      </c>
      <c r="AC28" s="26" t="s">
        <v>3</v>
      </c>
      <c r="AD28" s="26" t="s">
        <v>3</v>
      </c>
      <c r="AE28" s="26" t="s">
        <v>3</v>
      </c>
      <c r="AF28" s="26" t="s">
        <v>3</v>
      </c>
      <c r="AG28" s="27" t="s">
        <v>7</v>
      </c>
      <c r="AH28" s="28" t="s">
        <v>11</v>
      </c>
      <c r="AI28" s="8">
        <f t="shared" si="8"/>
        <v>20</v>
      </c>
      <c r="AJ28" s="8">
        <f t="shared" si="9"/>
        <v>1</v>
      </c>
      <c r="AK28" s="29">
        <f t="shared" si="10"/>
        <v>4</v>
      </c>
      <c r="AL28" s="62">
        <v>4</v>
      </c>
      <c r="AM28" s="33">
        <f t="shared" si="11"/>
        <v>26</v>
      </c>
      <c r="AN28" s="63">
        <f t="shared" si="12"/>
        <v>168</v>
      </c>
      <c r="AO28" s="63">
        <f t="shared" si="13"/>
        <v>0</v>
      </c>
      <c r="AP28" s="63">
        <f t="shared" si="14"/>
        <v>0</v>
      </c>
      <c r="AQ28" s="53">
        <f t="shared" si="15"/>
        <v>26</v>
      </c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</row>
    <row r="29" spans="1:56" ht="22" customHeight="1" x14ac:dyDescent="0.35">
      <c r="A29" s="8" t="s">
        <v>87</v>
      </c>
      <c r="B29" s="8" t="s">
        <v>88</v>
      </c>
      <c r="C29" s="8" t="s">
        <v>74</v>
      </c>
      <c r="D29" s="26" t="s">
        <v>3</v>
      </c>
      <c r="E29" s="27" t="s">
        <v>7</v>
      </c>
      <c r="F29" s="24" t="s">
        <v>9</v>
      </c>
      <c r="G29" s="26" t="s">
        <v>3</v>
      </c>
      <c r="H29" s="26" t="s">
        <v>3</v>
      </c>
      <c r="I29" s="26" t="s">
        <v>3</v>
      </c>
      <c r="J29" s="26" t="s">
        <v>3</v>
      </c>
      <c r="K29" s="26" t="s">
        <v>3</v>
      </c>
      <c r="L29" s="27" t="s">
        <v>7</v>
      </c>
      <c r="M29" s="28" t="s">
        <v>11</v>
      </c>
      <c r="N29" s="26" t="s">
        <v>3</v>
      </c>
      <c r="O29" s="26" t="s">
        <v>3</v>
      </c>
      <c r="P29" s="26" t="s">
        <v>3</v>
      </c>
      <c r="Q29" s="26" t="s">
        <v>3</v>
      </c>
      <c r="R29" s="26" t="s">
        <v>3</v>
      </c>
      <c r="S29" s="27" t="s">
        <v>7</v>
      </c>
      <c r="T29" s="24" t="s">
        <v>9</v>
      </c>
      <c r="U29" s="26" t="s">
        <v>3</v>
      </c>
      <c r="V29" s="26" t="s">
        <v>3</v>
      </c>
      <c r="W29" s="26" t="s">
        <v>3</v>
      </c>
      <c r="X29" s="26" t="s">
        <v>3</v>
      </c>
      <c r="Y29" s="26" t="s">
        <v>3</v>
      </c>
      <c r="Z29" s="27" t="s">
        <v>7</v>
      </c>
      <c r="AA29" s="28" t="s">
        <v>11</v>
      </c>
      <c r="AB29" s="26" t="s">
        <v>3</v>
      </c>
      <c r="AC29" s="26" t="s">
        <v>3</v>
      </c>
      <c r="AD29" s="26" t="s">
        <v>3</v>
      </c>
      <c r="AE29" s="26" t="s">
        <v>3</v>
      </c>
      <c r="AF29" s="26" t="s">
        <v>3</v>
      </c>
      <c r="AG29" s="23" t="s">
        <v>7</v>
      </c>
      <c r="AH29" s="24" t="s">
        <v>9</v>
      </c>
      <c r="AI29" s="8">
        <f t="shared" si="8"/>
        <v>21</v>
      </c>
      <c r="AJ29" s="8">
        <f t="shared" si="9"/>
        <v>0</v>
      </c>
      <c r="AK29" s="29">
        <f t="shared" si="10"/>
        <v>2</v>
      </c>
      <c r="AL29" s="62">
        <v>4</v>
      </c>
      <c r="AM29" s="33">
        <f t="shared" si="11"/>
        <v>25</v>
      </c>
      <c r="AN29" s="63">
        <f t="shared" si="12"/>
        <v>168</v>
      </c>
      <c r="AO29" s="63">
        <f t="shared" si="13"/>
        <v>1</v>
      </c>
      <c r="AP29" s="63">
        <f t="shared" si="14"/>
        <v>4</v>
      </c>
      <c r="AQ29" s="53">
        <f t="shared" si="15"/>
        <v>24.5</v>
      </c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</row>
    <row r="30" spans="1:56" ht="22" customHeight="1" x14ac:dyDescent="0.35">
      <c r="A30" s="8" t="s">
        <v>89</v>
      </c>
      <c r="B30" s="8" t="s">
        <v>90</v>
      </c>
      <c r="C30" s="8" t="s">
        <v>74</v>
      </c>
      <c r="D30" s="26" t="s">
        <v>3</v>
      </c>
      <c r="E30" s="27" t="s">
        <v>7</v>
      </c>
      <c r="F30" s="28" t="s">
        <v>11</v>
      </c>
      <c r="G30" s="26" t="s">
        <v>3</v>
      </c>
      <c r="H30" s="26" t="s">
        <v>3</v>
      </c>
      <c r="I30" s="26" t="s">
        <v>3</v>
      </c>
      <c r="J30" s="26" t="s">
        <v>3</v>
      </c>
      <c r="K30" s="22" t="s">
        <v>5</v>
      </c>
      <c r="L30" s="23" t="s">
        <v>7</v>
      </c>
      <c r="M30" s="24" t="s">
        <v>9</v>
      </c>
      <c r="N30" s="26" t="s">
        <v>3</v>
      </c>
      <c r="O30" s="26" t="s">
        <v>3</v>
      </c>
      <c r="P30" s="26" t="s">
        <v>3</v>
      </c>
      <c r="Q30" s="26" t="s">
        <v>3</v>
      </c>
      <c r="R30" s="22" t="s">
        <v>5</v>
      </c>
      <c r="S30" s="23" t="s">
        <v>7</v>
      </c>
      <c r="T30" s="24" t="s">
        <v>9</v>
      </c>
      <c r="U30" s="26" t="s">
        <v>3</v>
      </c>
      <c r="V30" s="26" t="s">
        <v>3</v>
      </c>
      <c r="W30" s="26" t="s">
        <v>3</v>
      </c>
      <c r="X30" s="26" t="s">
        <v>3</v>
      </c>
      <c r="Y30" s="22" t="s">
        <v>5</v>
      </c>
      <c r="Z30" s="23" t="s">
        <v>7</v>
      </c>
      <c r="AA30" s="24" t="s">
        <v>9</v>
      </c>
      <c r="AB30" s="26" t="s">
        <v>3</v>
      </c>
      <c r="AC30" s="26" t="s">
        <v>3</v>
      </c>
      <c r="AD30" s="26" t="s">
        <v>3</v>
      </c>
      <c r="AE30" s="26" t="s">
        <v>3</v>
      </c>
      <c r="AF30" s="26" t="s">
        <v>3</v>
      </c>
      <c r="AG30" s="27" t="s">
        <v>7</v>
      </c>
      <c r="AH30" s="28" t="s">
        <v>11</v>
      </c>
      <c r="AI30" s="8">
        <f t="shared" si="8"/>
        <v>18</v>
      </c>
      <c r="AJ30" s="8">
        <f t="shared" si="9"/>
        <v>3</v>
      </c>
      <c r="AK30" s="29">
        <f t="shared" si="10"/>
        <v>2</v>
      </c>
      <c r="AL30" s="62">
        <v>2</v>
      </c>
      <c r="AM30" s="33">
        <f t="shared" si="11"/>
        <v>21</v>
      </c>
      <c r="AN30" s="63">
        <f t="shared" si="12"/>
        <v>168</v>
      </c>
      <c r="AO30" s="63">
        <f t="shared" si="13"/>
        <v>0</v>
      </c>
      <c r="AP30" s="63">
        <f t="shared" si="14"/>
        <v>0</v>
      </c>
      <c r="AQ30" s="53">
        <f t="shared" si="15"/>
        <v>21</v>
      </c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</row>
    <row r="31" spans="1:56" ht="22" customHeight="1" x14ac:dyDescent="0.35">
      <c r="A31" s="8" t="s">
        <v>91</v>
      </c>
      <c r="B31" s="8" t="s">
        <v>92</v>
      </c>
      <c r="C31" s="8" t="s">
        <v>74</v>
      </c>
      <c r="D31" s="22" t="s">
        <v>5</v>
      </c>
      <c r="E31" s="23" t="s">
        <v>7</v>
      </c>
      <c r="F31" s="24" t="s">
        <v>9</v>
      </c>
      <c r="G31" s="26" t="s">
        <v>3</v>
      </c>
      <c r="H31" s="26" t="s">
        <v>3</v>
      </c>
      <c r="I31" s="26" t="s">
        <v>3</v>
      </c>
      <c r="J31" s="26" t="s">
        <v>3</v>
      </c>
      <c r="K31" s="26" t="s">
        <v>3</v>
      </c>
      <c r="L31" s="27" t="s">
        <v>7</v>
      </c>
      <c r="M31" s="28" t="s">
        <v>11</v>
      </c>
      <c r="N31" s="26" t="s">
        <v>3</v>
      </c>
      <c r="O31" s="26" t="s">
        <v>3</v>
      </c>
      <c r="P31" s="26" t="s">
        <v>3</v>
      </c>
      <c r="Q31" s="26" t="s">
        <v>3</v>
      </c>
      <c r="R31" s="22" t="s">
        <v>5</v>
      </c>
      <c r="S31" s="23" t="s">
        <v>7</v>
      </c>
      <c r="T31" s="24" t="s">
        <v>9</v>
      </c>
      <c r="U31" s="26" t="s">
        <v>3</v>
      </c>
      <c r="V31" s="26" t="s">
        <v>3</v>
      </c>
      <c r="W31" s="26" t="s">
        <v>3</v>
      </c>
      <c r="X31" s="26" t="s">
        <v>3</v>
      </c>
      <c r="Y31" s="26" t="s">
        <v>3</v>
      </c>
      <c r="Z31" s="27" t="s">
        <v>7</v>
      </c>
      <c r="AA31" s="28" t="s">
        <v>11</v>
      </c>
      <c r="AB31" s="26" t="s">
        <v>3</v>
      </c>
      <c r="AC31" s="26" t="s">
        <v>3</v>
      </c>
      <c r="AD31" s="26" t="s">
        <v>3</v>
      </c>
      <c r="AE31" s="26" t="s">
        <v>3</v>
      </c>
      <c r="AF31" s="26" t="s">
        <v>3</v>
      </c>
      <c r="AG31" s="27" t="s">
        <v>7</v>
      </c>
      <c r="AH31" s="28" t="s">
        <v>11</v>
      </c>
      <c r="AI31" s="8">
        <f t="shared" si="8"/>
        <v>19</v>
      </c>
      <c r="AJ31" s="8">
        <f t="shared" si="9"/>
        <v>2</v>
      </c>
      <c r="AK31" s="29">
        <f t="shared" si="10"/>
        <v>3</v>
      </c>
      <c r="AL31" s="62">
        <v>3</v>
      </c>
      <c r="AM31" s="33">
        <f t="shared" si="11"/>
        <v>23.5</v>
      </c>
      <c r="AN31" s="63">
        <f t="shared" si="12"/>
        <v>168</v>
      </c>
      <c r="AO31" s="63">
        <f t="shared" si="13"/>
        <v>0</v>
      </c>
      <c r="AP31" s="63">
        <f t="shared" si="14"/>
        <v>0</v>
      </c>
      <c r="AQ31" s="53">
        <f t="shared" si="15"/>
        <v>23.5</v>
      </c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 spans="1:56" ht="22" customHeight="1" x14ac:dyDescent="0.35">
      <c r="A32" s="8" t="s">
        <v>93</v>
      </c>
      <c r="B32" s="8" t="s">
        <v>94</v>
      </c>
      <c r="C32" s="8" t="s">
        <v>74</v>
      </c>
      <c r="D32" s="26" t="s">
        <v>3</v>
      </c>
      <c r="E32" s="27" t="s">
        <v>7</v>
      </c>
      <c r="F32" s="28" t="s">
        <v>11</v>
      </c>
      <c r="G32" s="26" t="s">
        <v>3</v>
      </c>
      <c r="H32" s="26" t="s">
        <v>3</v>
      </c>
      <c r="I32" s="26" t="s">
        <v>3</v>
      </c>
      <c r="J32" s="26" t="s">
        <v>3</v>
      </c>
      <c r="K32" s="22" t="s">
        <v>5</v>
      </c>
      <c r="L32" s="23" t="s">
        <v>7</v>
      </c>
      <c r="M32" s="24" t="s">
        <v>9</v>
      </c>
      <c r="N32" s="26" t="s">
        <v>3</v>
      </c>
      <c r="O32" s="26" t="s">
        <v>3</v>
      </c>
      <c r="P32" s="26" t="s">
        <v>3</v>
      </c>
      <c r="Q32" s="26" t="s">
        <v>3</v>
      </c>
      <c r="R32" s="26" t="s">
        <v>3</v>
      </c>
      <c r="S32" s="27" t="s">
        <v>7</v>
      </c>
      <c r="T32" s="28" t="s">
        <v>11</v>
      </c>
      <c r="U32" s="26" t="s">
        <v>3</v>
      </c>
      <c r="V32" s="26" t="s">
        <v>3</v>
      </c>
      <c r="W32" s="26" t="s">
        <v>3</v>
      </c>
      <c r="X32" s="26" t="s">
        <v>3</v>
      </c>
      <c r="Y32" s="22" t="s">
        <v>5</v>
      </c>
      <c r="Z32" s="23" t="s">
        <v>7</v>
      </c>
      <c r="AA32" s="24" t="s">
        <v>9</v>
      </c>
      <c r="AB32" s="26" t="s">
        <v>3</v>
      </c>
      <c r="AC32" s="26" t="s">
        <v>3</v>
      </c>
      <c r="AD32" s="26" t="s">
        <v>3</v>
      </c>
      <c r="AE32" s="26" t="s">
        <v>3</v>
      </c>
      <c r="AF32" s="26" t="s">
        <v>3</v>
      </c>
      <c r="AG32" s="27" t="s">
        <v>7</v>
      </c>
      <c r="AH32" s="28" t="s">
        <v>11</v>
      </c>
      <c r="AI32" s="8">
        <f t="shared" si="8"/>
        <v>19</v>
      </c>
      <c r="AJ32" s="8">
        <f t="shared" si="9"/>
        <v>2</v>
      </c>
      <c r="AK32" s="29">
        <f t="shared" si="10"/>
        <v>3</v>
      </c>
      <c r="AL32" s="62">
        <v>3</v>
      </c>
      <c r="AM32" s="33">
        <f t="shared" si="11"/>
        <v>23.5</v>
      </c>
      <c r="AN32" s="63">
        <f t="shared" si="12"/>
        <v>168</v>
      </c>
      <c r="AO32" s="63">
        <f t="shared" si="13"/>
        <v>0</v>
      </c>
      <c r="AP32" s="63">
        <f t="shared" si="14"/>
        <v>0</v>
      </c>
      <c r="AQ32" s="53">
        <f t="shared" si="15"/>
        <v>23.5</v>
      </c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</row>
    <row r="33" spans="1:56" ht="22" customHeight="1" x14ac:dyDescent="0.35">
      <c r="A33" s="8" t="s">
        <v>95</v>
      </c>
      <c r="B33" s="8" t="s">
        <v>96</v>
      </c>
      <c r="C33" s="8" t="s">
        <v>74</v>
      </c>
      <c r="D33" s="26" t="s">
        <v>3</v>
      </c>
      <c r="E33" s="27" t="s">
        <v>7</v>
      </c>
      <c r="F33" s="24" t="s">
        <v>9</v>
      </c>
      <c r="G33" s="26" t="s">
        <v>3</v>
      </c>
      <c r="H33" s="26" t="s">
        <v>3</v>
      </c>
      <c r="I33" s="26" t="s">
        <v>3</v>
      </c>
      <c r="J33" s="26" t="s">
        <v>3</v>
      </c>
      <c r="K33" s="22" t="s">
        <v>5</v>
      </c>
      <c r="L33" s="23" t="s">
        <v>7</v>
      </c>
      <c r="M33" s="24" t="s">
        <v>9</v>
      </c>
      <c r="N33" s="26" t="s">
        <v>3</v>
      </c>
      <c r="O33" s="26" t="s">
        <v>3</v>
      </c>
      <c r="P33" s="26" t="s">
        <v>3</v>
      </c>
      <c r="Q33" s="26" t="s">
        <v>3</v>
      </c>
      <c r="R33" s="26" t="s">
        <v>3</v>
      </c>
      <c r="S33" s="27" t="s">
        <v>7</v>
      </c>
      <c r="T33" s="24" t="s">
        <v>9</v>
      </c>
      <c r="U33" s="26" t="s">
        <v>3</v>
      </c>
      <c r="V33" s="26" t="s">
        <v>3</v>
      </c>
      <c r="W33" s="26" t="s">
        <v>3</v>
      </c>
      <c r="X33" s="26" t="s">
        <v>3</v>
      </c>
      <c r="Y33" s="22" t="s">
        <v>5</v>
      </c>
      <c r="Z33" s="23" t="s">
        <v>7</v>
      </c>
      <c r="AA33" s="24" t="s">
        <v>9</v>
      </c>
      <c r="AB33" s="26" t="s">
        <v>3</v>
      </c>
      <c r="AC33" s="26" t="s">
        <v>3</v>
      </c>
      <c r="AD33" s="26" t="s">
        <v>3</v>
      </c>
      <c r="AE33" s="26" t="s">
        <v>3</v>
      </c>
      <c r="AF33" s="26" t="s">
        <v>3</v>
      </c>
      <c r="AG33" s="27" t="s">
        <v>7</v>
      </c>
      <c r="AH33" s="24" t="s">
        <v>9</v>
      </c>
      <c r="AI33" s="8">
        <f t="shared" si="8"/>
        <v>19</v>
      </c>
      <c r="AJ33" s="8">
        <f t="shared" si="9"/>
        <v>2</v>
      </c>
      <c r="AK33" s="8">
        <f t="shared" si="10"/>
        <v>0</v>
      </c>
      <c r="AL33" s="62">
        <v>3</v>
      </c>
      <c r="AM33" s="33">
        <f t="shared" si="11"/>
        <v>20.5</v>
      </c>
      <c r="AN33" s="63">
        <f t="shared" si="12"/>
        <v>168</v>
      </c>
      <c r="AO33" s="63">
        <f t="shared" si="13"/>
        <v>0</v>
      </c>
      <c r="AP33" s="63">
        <f t="shared" si="14"/>
        <v>0</v>
      </c>
      <c r="AQ33" s="53">
        <f t="shared" si="15"/>
        <v>20.5</v>
      </c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</row>
    <row r="34" spans="1:56" ht="22" customHeight="1" x14ac:dyDescent="0.35">
      <c r="A34" s="8" t="s">
        <v>97</v>
      </c>
      <c r="B34" s="8" t="s">
        <v>98</v>
      </c>
      <c r="C34" s="8" t="s">
        <v>74</v>
      </c>
      <c r="D34" s="22" t="s">
        <v>5</v>
      </c>
      <c r="E34" s="23" t="s">
        <v>7</v>
      </c>
      <c r="F34" s="24" t="s">
        <v>9</v>
      </c>
      <c r="G34" s="22" t="s">
        <v>5</v>
      </c>
      <c r="H34" s="22" t="s">
        <v>5</v>
      </c>
      <c r="I34" s="22" t="s">
        <v>5</v>
      </c>
      <c r="J34" s="22" t="s">
        <v>5</v>
      </c>
      <c r="K34" s="22" t="s">
        <v>5</v>
      </c>
      <c r="L34" s="23" t="s">
        <v>7</v>
      </c>
      <c r="M34" s="24" t="s">
        <v>9</v>
      </c>
      <c r="N34" s="22" t="s">
        <v>5</v>
      </c>
      <c r="O34" s="22" t="s">
        <v>5</v>
      </c>
      <c r="P34" s="22" t="s">
        <v>5</v>
      </c>
      <c r="Q34" s="22" t="s">
        <v>5</v>
      </c>
      <c r="R34" s="22" t="s">
        <v>5</v>
      </c>
      <c r="S34" s="23" t="s">
        <v>7</v>
      </c>
      <c r="T34" s="24" t="s">
        <v>9</v>
      </c>
      <c r="U34" s="22" t="s">
        <v>5</v>
      </c>
      <c r="V34" s="22" t="s">
        <v>5</v>
      </c>
      <c r="W34" s="22" t="s">
        <v>5</v>
      </c>
      <c r="X34" s="22" t="s">
        <v>5</v>
      </c>
      <c r="Y34" s="22" t="s">
        <v>5</v>
      </c>
      <c r="Z34" s="23" t="s">
        <v>7</v>
      </c>
      <c r="AA34" s="24" t="s">
        <v>9</v>
      </c>
      <c r="AB34" s="22" t="s">
        <v>5</v>
      </c>
      <c r="AC34" s="22" t="s">
        <v>5</v>
      </c>
      <c r="AD34" s="22" t="s">
        <v>5</v>
      </c>
      <c r="AE34" s="22" t="s">
        <v>5</v>
      </c>
      <c r="AF34" s="22" t="s">
        <v>5</v>
      </c>
      <c r="AG34" s="23" t="s">
        <v>7</v>
      </c>
      <c r="AH34" s="24" t="s">
        <v>9</v>
      </c>
      <c r="AI34" s="8">
        <f t="shared" si="8"/>
        <v>0</v>
      </c>
      <c r="AJ34" s="25">
        <f t="shared" si="9"/>
        <v>21</v>
      </c>
      <c r="AK34" s="8">
        <f t="shared" si="10"/>
        <v>0</v>
      </c>
      <c r="AL34" s="62">
        <v>0</v>
      </c>
      <c r="AM34" s="33">
        <f t="shared" si="11"/>
        <v>0</v>
      </c>
      <c r="AN34" s="63">
        <f t="shared" si="12"/>
        <v>168</v>
      </c>
      <c r="AO34" s="63">
        <f t="shared" si="13"/>
        <v>0</v>
      </c>
      <c r="AP34" s="63">
        <f t="shared" si="14"/>
        <v>0</v>
      </c>
      <c r="AQ34" s="53">
        <f t="shared" si="15"/>
        <v>0</v>
      </c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</row>
    <row r="35" spans="1:56" ht="22" customHeight="1" x14ac:dyDescent="0.35">
      <c r="A35" s="8" t="s">
        <v>99</v>
      </c>
      <c r="B35" s="8" t="s">
        <v>100</v>
      </c>
      <c r="C35" s="8" t="s">
        <v>74</v>
      </c>
      <c r="D35" s="26" t="s">
        <v>3</v>
      </c>
      <c r="E35" s="23" t="s">
        <v>7</v>
      </c>
      <c r="F35" s="24" t="s">
        <v>9</v>
      </c>
      <c r="G35" s="26" t="s">
        <v>3</v>
      </c>
      <c r="H35" s="26" t="s">
        <v>3</v>
      </c>
      <c r="I35" s="26" t="s">
        <v>3</v>
      </c>
      <c r="J35" s="26" t="s">
        <v>3</v>
      </c>
      <c r="K35" s="26" t="s">
        <v>3</v>
      </c>
      <c r="L35" s="27" t="s">
        <v>7</v>
      </c>
      <c r="M35" s="24" t="s">
        <v>9</v>
      </c>
      <c r="N35" s="26" t="s">
        <v>3</v>
      </c>
      <c r="O35" s="26" t="s">
        <v>3</v>
      </c>
      <c r="P35" s="26" t="s">
        <v>3</v>
      </c>
      <c r="Q35" s="26" t="s">
        <v>3</v>
      </c>
      <c r="R35" s="26" t="s">
        <v>3</v>
      </c>
      <c r="S35" s="23" t="s">
        <v>7</v>
      </c>
      <c r="T35" s="24" t="s">
        <v>9</v>
      </c>
      <c r="U35" s="26" t="s">
        <v>3</v>
      </c>
      <c r="V35" s="26" t="s">
        <v>3</v>
      </c>
      <c r="W35" s="26" t="s">
        <v>3</v>
      </c>
      <c r="X35" s="26" t="s">
        <v>3</v>
      </c>
      <c r="Y35" s="22" t="s">
        <v>5</v>
      </c>
      <c r="Z35" s="23" t="s">
        <v>7</v>
      </c>
      <c r="AA35" s="24" t="s">
        <v>9</v>
      </c>
      <c r="AB35" s="22" t="s">
        <v>5</v>
      </c>
      <c r="AC35" s="22" t="s">
        <v>5</v>
      </c>
      <c r="AD35" s="22" t="s">
        <v>5</v>
      </c>
      <c r="AE35" s="22" t="s">
        <v>5</v>
      </c>
      <c r="AF35" s="22" t="s">
        <v>5</v>
      </c>
      <c r="AG35" s="23" t="s">
        <v>7</v>
      </c>
      <c r="AH35" s="24" t="s">
        <v>9</v>
      </c>
      <c r="AI35" s="8">
        <f t="shared" si="8"/>
        <v>15</v>
      </c>
      <c r="AJ35" s="8">
        <f t="shared" si="9"/>
        <v>6</v>
      </c>
      <c r="AK35" s="8">
        <f t="shared" si="10"/>
        <v>0</v>
      </c>
      <c r="AL35" s="62">
        <v>1</v>
      </c>
      <c r="AM35" s="33">
        <f t="shared" si="11"/>
        <v>15.5</v>
      </c>
      <c r="AN35" s="63">
        <f t="shared" si="12"/>
        <v>168</v>
      </c>
      <c r="AO35" s="63">
        <f t="shared" si="13"/>
        <v>2</v>
      </c>
      <c r="AP35" s="63">
        <f t="shared" si="14"/>
        <v>8</v>
      </c>
      <c r="AQ35" s="53">
        <f t="shared" si="15"/>
        <v>14.5</v>
      </c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</row>
    <row r="36" spans="1:56" x14ac:dyDescent="0.35"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</row>
    <row r="37" spans="1:56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</row>
    <row r="38" spans="1:56" ht="22" customHeight="1" x14ac:dyDescent="0.35">
      <c r="A38" s="8" t="s">
        <v>102</v>
      </c>
      <c r="B38" s="8" t="s">
        <v>103</v>
      </c>
      <c r="C38" s="8" t="s">
        <v>104</v>
      </c>
      <c r="D38" s="26" t="s">
        <v>3</v>
      </c>
      <c r="E38" s="27" t="s">
        <v>7</v>
      </c>
      <c r="F38" s="28" t="s">
        <v>11</v>
      </c>
      <c r="G38" s="26" t="s">
        <v>3</v>
      </c>
      <c r="H38" s="26" t="s">
        <v>3</v>
      </c>
      <c r="I38" s="26" t="s">
        <v>3</v>
      </c>
      <c r="J38" s="26" t="s">
        <v>3</v>
      </c>
      <c r="K38" s="26" t="s">
        <v>3</v>
      </c>
      <c r="L38" s="27" t="s">
        <v>7</v>
      </c>
      <c r="M38" s="28" t="s">
        <v>11</v>
      </c>
      <c r="N38" s="26" t="s">
        <v>3</v>
      </c>
      <c r="O38" s="26" t="s">
        <v>3</v>
      </c>
      <c r="P38" s="26" t="s">
        <v>3</v>
      </c>
      <c r="Q38" s="26" t="s">
        <v>3</v>
      </c>
      <c r="R38" s="26" t="s">
        <v>3</v>
      </c>
      <c r="S38" s="27" t="s">
        <v>7</v>
      </c>
      <c r="T38" s="24" t="s">
        <v>9</v>
      </c>
      <c r="U38" s="22" t="s">
        <v>5</v>
      </c>
      <c r="V38" s="22" t="s">
        <v>5</v>
      </c>
      <c r="W38" s="22" t="s">
        <v>5</v>
      </c>
      <c r="X38" s="22" t="s">
        <v>5</v>
      </c>
      <c r="Y38" s="22" t="s">
        <v>5</v>
      </c>
      <c r="Z38" s="23" t="s">
        <v>7</v>
      </c>
      <c r="AA38" s="28" t="s">
        <v>11</v>
      </c>
      <c r="AB38" s="26" t="s">
        <v>3</v>
      </c>
      <c r="AC38" s="26" t="s">
        <v>3</v>
      </c>
      <c r="AD38" s="26" t="s">
        <v>3</v>
      </c>
      <c r="AE38" s="26" t="s">
        <v>3</v>
      </c>
      <c r="AF38" s="26" t="s">
        <v>3</v>
      </c>
      <c r="AG38" s="27" t="s">
        <v>7</v>
      </c>
      <c r="AH38" s="28" t="s">
        <v>11</v>
      </c>
      <c r="AI38" s="8">
        <f t="shared" ref="AI38:AI74" si="16">COUNTIF(D38:AH38,"ON")</f>
        <v>16</v>
      </c>
      <c r="AJ38" s="8">
        <f t="shared" ref="AJ38:AJ74" si="17">COUNTIF(D38:AH38,"OFF")</f>
        <v>5</v>
      </c>
      <c r="AK38" s="29">
        <f t="shared" ref="AK38:AK74" si="18">COUNTIF(D38:AH38,"OT")</f>
        <v>4</v>
      </c>
      <c r="AL38" s="62">
        <v>4</v>
      </c>
      <c r="AM38" s="33">
        <f t="shared" ref="AM38:AM74" si="19">AI38+AK38+AL38*0.5</f>
        <v>22</v>
      </c>
      <c r="AN38" s="63">
        <f t="shared" ref="AN38:AN74" si="20">NETWORKDAYS(DATE(2025,8,1),EOMONTH(DATE(2025,8,1),0))*8</f>
        <v>168</v>
      </c>
      <c r="AO38" s="63">
        <f t="shared" ref="AO38:AO74" si="21">MAX(0,COUNTIF(D38,"ON")+COUNTIF(K38,"ON")+COUNTIF(R38,"ON")+COUNTIF(Y38,"ON")+COUNTIF(AF38,"ON")-AL38)</f>
        <v>0</v>
      </c>
      <c r="AP38" s="63">
        <f t="shared" ref="AP38:AP74" si="22">AO38*$AP$2</f>
        <v>0</v>
      </c>
      <c r="AQ38" s="53">
        <f t="shared" ref="AQ38:AQ74" si="23">AM38-AP38/8</f>
        <v>22</v>
      </c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</row>
    <row r="39" spans="1:56" ht="22" customHeight="1" x14ac:dyDescent="0.35">
      <c r="A39" s="8" t="s">
        <v>105</v>
      </c>
      <c r="B39" s="8" t="s">
        <v>106</v>
      </c>
      <c r="C39" s="8" t="s">
        <v>104</v>
      </c>
      <c r="D39" s="26" t="s">
        <v>3</v>
      </c>
      <c r="E39" s="27" t="s">
        <v>7</v>
      </c>
      <c r="F39" s="28" t="s">
        <v>11</v>
      </c>
      <c r="G39" s="26" t="s">
        <v>3</v>
      </c>
      <c r="H39" s="26" t="s">
        <v>3</v>
      </c>
      <c r="I39" s="26" t="s">
        <v>3</v>
      </c>
      <c r="J39" s="26" t="s">
        <v>3</v>
      </c>
      <c r="K39" s="26" t="s">
        <v>3</v>
      </c>
      <c r="L39" s="27" t="s">
        <v>7</v>
      </c>
      <c r="M39" s="28" t="s">
        <v>11</v>
      </c>
      <c r="N39" s="26" t="s">
        <v>3</v>
      </c>
      <c r="O39" s="26" t="s">
        <v>3</v>
      </c>
      <c r="P39" s="26" t="s">
        <v>3</v>
      </c>
      <c r="Q39" s="26" t="s">
        <v>3</v>
      </c>
      <c r="R39" s="26" t="s">
        <v>3</v>
      </c>
      <c r="S39" s="27" t="s">
        <v>7</v>
      </c>
      <c r="T39" s="28" t="s">
        <v>11</v>
      </c>
      <c r="U39" s="26" t="s">
        <v>3</v>
      </c>
      <c r="V39" s="26" t="s">
        <v>3</v>
      </c>
      <c r="W39" s="26" t="s">
        <v>3</v>
      </c>
      <c r="X39" s="26" t="s">
        <v>3</v>
      </c>
      <c r="Y39" s="26" t="s">
        <v>3</v>
      </c>
      <c r="Z39" s="27" t="s">
        <v>7</v>
      </c>
      <c r="AA39" s="28" t="s">
        <v>11</v>
      </c>
      <c r="AB39" s="26" t="s">
        <v>3</v>
      </c>
      <c r="AC39" s="26" t="s">
        <v>3</v>
      </c>
      <c r="AD39" s="26" t="s">
        <v>3</v>
      </c>
      <c r="AE39" s="26" t="s">
        <v>3</v>
      </c>
      <c r="AF39" s="26" t="s">
        <v>3</v>
      </c>
      <c r="AG39" s="27" t="s">
        <v>7</v>
      </c>
      <c r="AH39" s="28" t="s">
        <v>11</v>
      </c>
      <c r="AI39" s="8">
        <f t="shared" si="16"/>
        <v>21</v>
      </c>
      <c r="AJ39" s="8">
        <f t="shared" si="17"/>
        <v>0</v>
      </c>
      <c r="AK39" s="29">
        <f t="shared" si="18"/>
        <v>5</v>
      </c>
      <c r="AL39" s="62">
        <v>5</v>
      </c>
      <c r="AM39" s="33">
        <f t="shared" si="19"/>
        <v>28.5</v>
      </c>
      <c r="AN39" s="63">
        <f t="shared" si="20"/>
        <v>168</v>
      </c>
      <c r="AO39" s="63">
        <f t="shared" si="21"/>
        <v>0</v>
      </c>
      <c r="AP39" s="63">
        <f t="shared" si="22"/>
        <v>0</v>
      </c>
      <c r="AQ39" s="53">
        <f t="shared" si="23"/>
        <v>28.5</v>
      </c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</row>
    <row r="40" spans="1:56" ht="22" customHeight="1" x14ac:dyDescent="0.35">
      <c r="A40" s="8" t="s">
        <v>107</v>
      </c>
      <c r="B40" s="8" t="s">
        <v>108</v>
      </c>
      <c r="C40" s="8" t="s">
        <v>104</v>
      </c>
      <c r="D40" s="26" t="s">
        <v>3</v>
      </c>
      <c r="E40" s="27" t="s">
        <v>7</v>
      </c>
      <c r="F40" s="28" t="s">
        <v>11</v>
      </c>
      <c r="G40" s="26" t="s">
        <v>3</v>
      </c>
      <c r="H40" s="26" t="s">
        <v>3</v>
      </c>
      <c r="I40" s="26" t="s">
        <v>3</v>
      </c>
      <c r="J40" s="26" t="s">
        <v>3</v>
      </c>
      <c r="K40" s="26" t="s">
        <v>3</v>
      </c>
      <c r="L40" s="27" t="s">
        <v>7</v>
      </c>
      <c r="M40" s="28" t="s">
        <v>11</v>
      </c>
      <c r="N40" s="26" t="s">
        <v>3</v>
      </c>
      <c r="O40" s="26" t="s">
        <v>3</v>
      </c>
      <c r="P40" s="26" t="s">
        <v>3</v>
      </c>
      <c r="Q40" s="26" t="s">
        <v>3</v>
      </c>
      <c r="R40" s="26" t="s">
        <v>3</v>
      </c>
      <c r="S40" s="27" t="s">
        <v>7</v>
      </c>
      <c r="T40" s="28" t="s">
        <v>11</v>
      </c>
      <c r="U40" s="26" t="s">
        <v>3</v>
      </c>
      <c r="V40" s="26" t="s">
        <v>3</v>
      </c>
      <c r="W40" s="26" t="s">
        <v>3</v>
      </c>
      <c r="X40" s="26" t="s">
        <v>3</v>
      </c>
      <c r="Y40" s="26" t="s">
        <v>3</v>
      </c>
      <c r="Z40" s="27" t="s">
        <v>7</v>
      </c>
      <c r="AA40" s="28" t="s">
        <v>11</v>
      </c>
      <c r="AB40" s="26" t="s">
        <v>3</v>
      </c>
      <c r="AC40" s="26" t="s">
        <v>3</v>
      </c>
      <c r="AD40" s="26" t="s">
        <v>3</v>
      </c>
      <c r="AE40" s="26" t="s">
        <v>3</v>
      </c>
      <c r="AF40" s="26" t="s">
        <v>3</v>
      </c>
      <c r="AG40" s="27" t="s">
        <v>7</v>
      </c>
      <c r="AH40" s="28" t="s">
        <v>11</v>
      </c>
      <c r="AI40" s="8">
        <f t="shared" si="16"/>
        <v>21</v>
      </c>
      <c r="AJ40" s="8">
        <f t="shared" si="17"/>
        <v>0</v>
      </c>
      <c r="AK40" s="29">
        <f t="shared" si="18"/>
        <v>5</v>
      </c>
      <c r="AL40" s="62">
        <v>5</v>
      </c>
      <c r="AM40" s="33">
        <f t="shared" si="19"/>
        <v>28.5</v>
      </c>
      <c r="AN40" s="63">
        <f t="shared" si="20"/>
        <v>168</v>
      </c>
      <c r="AO40" s="63">
        <f t="shared" si="21"/>
        <v>0</v>
      </c>
      <c r="AP40" s="63">
        <f t="shared" si="22"/>
        <v>0</v>
      </c>
      <c r="AQ40" s="53">
        <f t="shared" si="23"/>
        <v>28.5</v>
      </c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</row>
    <row r="41" spans="1:56" ht="22" customHeight="1" x14ac:dyDescent="0.35">
      <c r="A41" s="8" t="s">
        <v>109</v>
      </c>
      <c r="B41" s="8" t="s">
        <v>110</v>
      </c>
      <c r="C41" s="8" t="s">
        <v>104</v>
      </c>
      <c r="D41" s="26" t="s">
        <v>3</v>
      </c>
      <c r="E41" s="27" t="s">
        <v>7</v>
      </c>
      <c r="F41" s="28" t="s">
        <v>11</v>
      </c>
      <c r="G41" s="26" t="s">
        <v>3</v>
      </c>
      <c r="H41" s="26" t="s">
        <v>3</v>
      </c>
      <c r="I41" s="26" t="s">
        <v>3</v>
      </c>
      <c r="J41" s="26" t="s">
        <v>3</v>
      </c>
      <c r="K41" s="26" t="s">
        <v>3</v>
      </c>
      <c r="L41" s="27" t="s">
        <v>7</v>
      </c>
      <c r="M41" s="28" t="s">
        <v>11</v>
      </c>
      <c r="N41" s="26" t="s">
        <v>3</v>
      </c>
      <c r="O41" s="26" t="s">
        <v>3</v>
      </c>
      <c r="P41" s="26" t="s">
        <v>3</v>
      </c>
      <c r="Q41" s="26" t="s">
        <v>3</v>
      </c>
      <c r="R41" s="26" t="s">
        <v>3</v>
      </c>
      <c r="S41" s="27" t="s">
        <v>7</v>
      </c>
      <c r="T41" s="28" t="s">
        <v>11</v>
      </c>
      <c r="U41" s="26" t="s">
        <v>3</v>
      </c>
      <c r="V41" s="26" t="s">
        <v>3</v>
      </c>
      <c r="W41" s="26" t="s">
        <v>3</v>
      </c>
      <c r="X41" s="26" t="s">
        <v>3</v>
      </c>
      <c r="Y41" s="26" t="s">
        <v>3</v>
      </c>
      <c r="Z41" s="27" t="s">
        <v>7</v>
      </c>
      <c r="AA41" s="28" t="s">
        <v>11</v>
      </c>
      <c r="AB41" s="26" t="s">
        <v>3</v>
      </c>
      <c r="AC41" s="26" t="s">
        <v>3</v>
      </c>
      <c r="AD41" s="26" t="s">
        <v>3</v>
      </c>
      <c r="AE41" s="26" t="s">
        <v>3</v>
      </c>
      <c r="AF41" s="26" t="s">
        <v>3</v>
      </c>
      <c r="AG41" s="27" t="s">
        <v>7</v>
      </c>
      <c r="AH41" s="28" t="s">
        <v>11</v>
      </c>
      <c r="AI41" s="8">
        <f t="shared" si="16"/>
        <v>21</v>
      </c>
      <c r="AJ41" s="8">
        <f t="shared" si="17"/>
        <v>0</v>
      </c>
      <c r="AK41" s="29">
        <f t="shared" si="18"/>
        <v>5</v>
      </c>
      <c r="AL41" s="62">
        <v>5</v>
      </c>
      <c r="AM41" s="33">
        <f t="shared" si="19"/>
        <v>28.5</v>
      </c>
      <c r="AN41" s="63">
        <f t="shared" si="20"/>
        <v>168</v>
      </c>
      <c r="AO41" s="63">
        <f t="shared" si="21"/>
        <v>0</v>
      </c>
      <c r="AP41" s="63">
        <f t="shared" si="22"/>
        <v>0</v>
      </c>
      <c r="AQ41" s="53">
        <f t="shared" si="23"/>
        <v>28.5</v>
      </c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</row>
    <row r="42" spans="1:56" ht="22" customHeight="1" x14ac:dyDescent="0.35">
      <c r="A42" s="8" t="s">
        <v>111</v>
      </c>
      <c r="B42" s="8" t="s">
        <v>112</v>
      </c>
      <c r="C42" s="8" t="s">
        <v>104</v>
      </c>
      <c r="D42" s="26" t="s">
        <v>3</v>
      </c>
      <c r="E42" s="27" t="s">
        <v>7</v>
      </c>
      <c r="F42" s="28" t="s">
        <v>11</v>
      </c>
      <c r="G42" s="26" t="s">
        <v>3</v>
      </c>
      <c r="H42" s="26" t="s">
        <v>3</v>
      </c>
      <c r="I42" s="26" t="s">
        <v>3</v>
      </c>
      <c r="J42" s="26" t="s">
        <v>3</v>
      </c>
      <c r="K42" s="26" t="s">
        <v>3</v>
      </c>
      <c r="L42" s="27" t="s">
        <v>7</v>
      </c>
      <c r="M42" s="28" t="s">
        <v>11</v>
      </c>
      <c r="N42" s="26" t="s">
        <v>3</v>
      </c>
      <c r="O42" s="26" t="s">
        <v>3</v>
      </c>
      <c r="P42" s="26" t="s">
        <v>3</v>
      </c>
      <c r="Q42" s="26" t="s">
        <v>3</v>
      </c>
      <c r="R42" s="26" t="s">
        <v>3</v>
      </c>
      <c r="S42" s="27" t="s">
        <v>7</v>
      </c>
      <c r="T42" s="28" t="s">
        <v>11</v>
      </c>
      <c r="U42" s="26" t="s">
        <v>3</v>
      </c>
      <c r="V42" s="26" t="s">
        <v>3</v>
      </c>
      <c r="W42" s="26" t="s">
        <v>3</v>
      </c>
      <c r="X42" s="26" t="s">
        <v>3</v>
      </c>
      <c r="Y42" s="26" t="s">
        <v>3</v>
      </c>
      <c r="Z42" s="23" t="s">
        <v>7</v>
      </c>
      <c r="AA42" s="28" t="s">
        <v>11</v>
      </c>
      <c r="AB42" s="26" t="s">
        <v>3</v>
      </c>
      <c r="AC42" s="26" t="s">
        <v>3</v>
      </c>
      <c r="AD42" s="22" t="s">
        <v>5</v>
      </c>
      <c r="AE42" s="22" t="s">
        <v>5</v>
      </c>
      <c r="AF42" s="26" t="s">
        <v>3</v>
      </c>
      <c r="AG42" s="27" t="s">
        <v>7</v>
      </c>
      <c r="AH42" s="28" t="s">
        <v>11</v>
      </c>
      <c r="AI42" s="8">
        <f t="shared" si="16"/>
        <v>19</v>
      </c>
      <c r="AJ42" s="8">
        <f t="shared" si="17"/>
        <v>2</v>
      </c>
      <c r="AK42" s="29">
        <f t="shared" si="18"/>
        <v>5</v>
      </c>
      <c r="AL42" s="62">
        <v>4</v>
      </c>
      <c r="AM42" s="33">
        <f t="shared" si="19"/>
        <v>26</v>
      </c>
      <c r="AN42" s="63">
        <f t="shared" si="20"/>
        <v>168</v>
      </c>
      <c r="AO42" s="63">
        <f t="shared" si="21"/>
        <v>1</v>
      </c>
      <c r="AP42" s="63">
        <f t="shared" si="22"/>
        <v>4</v>
      </c>
      <c r="AQ42" s="53">
        <f t="shared" si="23"/>
        <v>25.5</v>
      </c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</row>
    <row r="43" spans="1:56" ht="22" customHeight="1" x14ac:dyDescent="0.35">
      <c r="A43" s="8" t="s">
        <v>113</v>
      </c>
      <c r="B43" s="8" t="s">
        <v>114</v>
      </c>
      <c r="C43" s="8" t="s">
        <v>104</v>
      </c>
      <c r="D43" s="26" t="s">
        <v>3</v>
      </c>
      <c r="E43" s="27" t="s">
        <v>7</v>
      </c>
      <c r="F43" s="28" t="s">
        <v>11</v>
      </c>
      <c r="G43" s="26" t="s">
        <v>3</v>
      </c>
      <c r="H43" s="26" t="s">
        <v>3</v>
      </c>
      <c r="I43" s="26" t="s">
        <v>3</v>
      </c>
      <c r="J43" s="26" t="s">
        <v>3</v>
      </c>
      <c r="K43" s="26" t="s">
        <v>3</v>
      </c>
      <c r="L43" s="27" t="s">
        <v>7</v>
      </c>
      <c r="M43" s="28" t="s">
        <v>11</v>
      </c>
      <c r="N43" s="26" t="s">
        <v>3</v>
      </c>
      <c r="O43" s="26" t="s">
        <v>3</v>
      </c>
      <c r="P43" s="26" t="s">
        <v>3</v>
      </c>
      <c r="Q43" s="26" t="s">
        <v>3</v>
      </c>
      <c r="R43" s="26" t="s">
        <v>3</v>
      </c>
      <c r="S43" s="27" t="s">
        <v>7</v>
      </c>
      <c r="T43" s="28" t="s">
        <v>11</v>
      </c>
      <c r="U43" s="26" t="s">
        <v>3</v>
      </c>
      <c r="V43" s="26" t="s">
        <v>3</v>
      </c>
      <c r="W43" s="26" t="s">
        <v>3</v>
      </c>
      <c r="X43" s="26" t="s">
        <v>3</v>
      </c>
      <c r="Y43" s="26" t="s">
        <v>3</v>
      </c>
      <c r="Z43" s="27" t="s">
        <v>7</v>
      </c>
      <c r="AA43" s="28" t="s">
        <v>11</v>
      </c>
      <c r="AB43" s="26" t="s">
        <v>3</v>
      </c>
      <c r="AC43" s="26" t="s">
        <v>3</v>
      </c>
      <c r="AD43" s="26" t="s">
        <v>3</v>
      </c>
      <c r="AE43" s="26" t="s">
        <v>3</v>
      </c>
      <c r="AF43" s="26" t="s">
        <v>3</v>
      </c>
      <c r="AG43" s="27" t="s">
        <v>7</v>
      </c>
      <c r="AH43" s="28" t="s">
        <v>11</v>
      </c>
      <c r="AI43" s="8">
        <f t="shared" si="16"/>
        <v>21</v>
      </c>
      <c r="AJ43" s="8">
        <f t="shared" si="17"/>
        <v>0</v>
      </c>
      <c r="AK43" s="29">
        <f t="shared" si="18"/>
        <v>5</v>
      </c>
      <c r="AL43" s="62">
        <v>5</v>
      </c>
      <c r="AM43" s="33">
        <f t="shared" si="19"/>
        <v>28.5</v>
      </c>
      <c r="AN43" s="63">
        <f t="shared" si="20"/>
        <v>168</v>
      </c>
      <c r="AO43" s="63">
        <f t="shared" si="21"/>
        <v>0</v>
      </c>
      <c r="AP43" s="63">
        <f t="shared" si="22"/>
        <v>0</v>
      </c>
      <c r="AQ43" s="53">
        <f t="shared" si="23"/>
        <v>28.5</v>
      </c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</row>
    <row r="44" spans="1:56" ht="22" customHeight="1" x14ac:dyDescent="0.35">
      <c r="A44" s="8" t="s">
        <v>115</v>
      </c>
      <c r="B44" s="8" t="s">
        <v>116</v>
      </c>
      <c r="C44" s="8" t="s">
        <v>104</v>
      </c>
      <c r="D44" s="26" t="s">
        <v>3</v>
      </c>
      <c r="E44" s="27" t="s">
        <v>7</v>
      </c>
      <c r="F44" s="28" t="s">
        <v>11</v>
      </c>
      <c r="G44" s="22" t="s">
        <v>5</v>
      </c>
      <c r="H44" s="26" t="s">
        <v>3</v>
      </c>
      <c r="I44" s="26" t="s">
        <v>3</v>
      </c>
      <c r="J44" s="26" t="s">
        <v>3</v>
      </c>
      <c r="K44" s="26" t="s">
        <v>3</v>
      </c>
      <c r="L44" s="27" t="s">
        <v>7</v>
      </c>
      <c r="M44" s="28" t="s">
        <v>11</v>
      </c>
      <c r="N44" s="26" t="s">
        <v>3</v>
      </c>
      <c r="O44" s="26" t="s">
        <v>3</v>
      </c>
      <c r="P44" s="26" t="s">
        <v>3</v>
      </c>
      <c r="Q44" s="26" t="s">
        <v>3</v>
      </c>
      <c r="R44" s="26" t="s">
        <v>3</v>
      </c>
      <c r="S44" s="27" t="s">
        <v>7</v>
      </c>
      <c r="T44" s="28" t="s">
        <v>11</v>
      </c>
      <c r="U44" s="26" t="s">
        <v>3</v>
      </c>
      <c r="V44" s="26" t="s">
        <v>3</v>
      </c>
      <c r="W44" s="26" t="s">
        <v>3</v>
      </c>
      <c r="X44" s="26" t="s">
        <v>3</v>
      </c>
      <c r="Y44" s="26" t="s">
        <v>3</v>
      </c>
      <c r="Z44" s="27" t="s">
        <v>7</v>
      </c>
      <c r="AA44" s="28" t="s">
        <v>11</v>
      </c>
      <c r="AB44" s="26" t="s">
        <v>3</v>
      </c>
      <c r="AC44" s="26" t="s">
        <v>3</v>
      </c>
      <c r="AD44" s="26" t="s">
        <v>3</v>
      </c>
      <c r="AE44" s="26" t="s">
        <v>3</v>
      </c>
      <c r="AF44" s="26" t="s">
        <v>3</v>
      </c>
      <c r="AG44" s="27" t="s">
        <v>7</v>
      </c>
      <c r="AH44" s="28" t="s">
        <v>11</v>
      </c>
      <c r="AI44" s="8">
        <f t="shared" si="16"/>
        <v>20</v>
      </c>
      <c r="AJ44" s="8">
        <f t="shared" si="17"/>
        <v>1</v>
      </c>
      <c r="AK44" s="29">
        <f t="shared" si="18"/>
        <v>5</v>
      </c>
      <c r="AL44" s="62">
        <v>5</v>
      </c>
      <c r="AM44" s="33">
        <f t="shared" si="19"/>
        <v>27.5</v>
      </c>
      <c r="AN44" s="63">
        <f t="shared" si="20"/>
        <v>168</v>
      </c>
      <c r="AO44" s="63">
        <f t="shared" si="21"/>
        <v>0</v>
      </c>
      <c r="AP44" s="63">
        <f t="shared" si="22"/>
        <v>0</v>
      </c>
      <c r="AQ44" s="53">
        <f t="shared" si="23"/>
        <v>27.5</v>
      </c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</row>
    <row r="45" spans="1:56" ht="22" customHeight="1" x14ac:dyDescent="0.35">
      <c r="A45" s="8" t="s">
        <v>117</v>
      </c>
      <c r="B45" s="8" t="s">
        <v>118</v>
      </c>
      <c r="C45" s="8" t="s">
        <v>104</v>
      </c>
      <c r="D45" s="26" t="s">
        <v>3</v>
      </c>
      <c r="E45" s="27" t="s">
        <v>7</v>
      </c>
      <c r="F45" s="28" t="s">
        <v>11</v>
      </c>
      <c r="G45" s="26" t="s">
        <v>3</v>
      </c>
      <c r="H45" s="26" t="s">
        <v>3</v>
      </c>
      <c r="I45" s="26" t="s">
        <v>3</v>
      </c>
      <c r="J45" s="26" t="s">
        <v>3</v>
      </c>
      <c r="K45" s="22" t="s">
        <v>5</v>
      </c>
      <c r="L45" s="27" t="s">
        <v>7</v>
      </c>
      <c r="M45" s="28" t="s">
        <v>11</v>
      </c>
      <c r="N45" s="26" t="s">
        <v>3</v>
      </c>
      <c r="O45" s="26" t="s">
        <v>3</v>
      </c>
      <c r="P45" s="26" t="s">
        <v>3</v>
      </c>
      <c r="Q45" s="26" t="s">
        <v>3</v>
      </c>
      <c r="R45" s="26" t="s">
        <v>3</v>
      </c>
      <c r="S45" s="27" t="s">
        <v>7</v>
      </c>
      <c r="T45" s="28" t="s">
        <v>11</v>
      </c>
      <c r="U45" s="26" t="s">
        <v>3</v>
      </c>
      <c r="V45" s="26" t="s">
        <v>3</v>
      </c>
      <c r="W45" s="26" t="s">
        <v>3</v>
      </c>
      <c r="X45" s="26" t="s">
        <v>3</v>
      </c>
      <c r="Y45" s="22" t="s">
        <v>5</v>
      </c>
      <c r="Z45" s="23" t="s">
        <v>7</v>
      </c>
      <c r="AA45" s="28" t="s">
        <v>11</v>
      </c>
      <c r="AB45" s="26" t="s">
        <v>3</v>
      </c>
      <c r="AC45" s="26" t="s">
        <v>3</v>
      </c>
      <c r="AD45" s="26" t="s">
        <v>3</v>
      </c>
      <c r="AE45" s="26" t="s">
        <v>3</v>
      </c>
      <c r="AF45" s="26" t="s">
        <v>3</v>
      </c>
      <c r="AG45" s="27" t="s">
        <v>7</v>
      </c>
      <c r="AH45" s="28" t="s">
        <v>11</v>
      </c>
      <c r="AI45" s="8">
        <f t="shared" si="16"/>
        <v>19</v>
      </c>
      <c r="AJ45" s="8">
        <f t="shared" si="17"/>
        <v>2</v>
      </c>
      <c r="AK45" s="29">
        <f t="shared" si="18"/>
        <v>5</v>
      </c>
      <c r="AL45" s="62">
        <v>4</v>
      </c>
      <c r="AM45" s="33">
        <f t="shared" si="19"/>
        <v>26</v>
      </c>
      <c r="AN45" s="63">
        <f t="shared" si="20"/>
        <v>168</v>
      </c>
      <c r="AO45" s="63">
        <f t="shared" si="21"/>
        <v>0</v>
      </c>
      <c r="AP45" s="63">
        <f t="shared" si="22"/>
        <v>0</v>
      </c>
      <c r="AQ45" s="53">
        <f t="shared" si="23"/>
        <v>26</v>
      </c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</row>
    <row r="46" spans="1:56" ht="22" customHeight="1" x14ac:dyDescent="0.35">
      <c r="A46" s="8" t="s">
        <v>119</v>
      </c>
      <c r="B46" s="8" t="s">
        <v>120</v>
      </c>
      <c r="C46" s="8" t="s">
        <v>104</v>
      </c>
      <c r="D46" s="26" t="s">
        <v>3</v>
      </c>
      <c r="E46" s="27" t="s">
        <v>7</v>
      </c>
      <c r="F46" s="28" t="s">
        <v>11</v>
      </c>
      <c r="G46" s="26" t="s">
        <v>3</v>
      </c>
      <c r="H46" s="26" t="s">
        <v>3</v>
      </c>
      <c r="I46" s="26" t="s">
        <v>3</v>
      </c>
      <c r="J46" s="26" t="s">
        <v>3</v>
      </c>
      <c r="K46" s="26" t="s">
        <v>3</v>
      </c>
      <c r="L46" s="27" t="s">
        <v>7</v>
      </c>
      <c r="M46" s="28" t="s">
        <v>11</v>
      </c>
      <c r="N46" s="26" t="s">
        <v>3</v>
      </c>
      <c r="O46" s="26" t="s">
        <v>3</v>
      </c>
      <c r="P46" s="22" t="s">
        <v>5</v>
      </c>
      <c r="Q46" s="22" t="s">
        <v>5</v>
      </c>
      <c r="R46" s="22" t="s">
        <v>5</v>
      </c>
      <c r="S46" s="27" t="s">
        <v>7</v>
      </c>
      <c r="T46" s="28" t="s">
        <v>11</v>
      </c>
      <c r="U46" s="26" t="s">
        <v>3</v>
      </c>
      <c r="V46" s="26" t="s">
        <v>3</v>
      </c>
      <c r="W46" s="26" t="s">
        <v>3</v>
      </c>
      <c r="X46" s="26" t="s">
        <v>3</v>
      </c>
      <c r="Y46" s="26" t="s">
        <v>3</v>
      </c>
      <c r="Z46" s="27" t="s">
        <v>7</v>
      </c>
      <c r="AA46" s="28" t="s">
        <v>11</v>
      </c>
      <c r="AB46" s="26" t="s">
        <v>3</v>
      </c>
      <c r="AC46" s="26" t="s">
        <v>3</v>
      </c>
      <c r="AD46" s="26" t="s">
        <v>3</v>
      </c>
      <c r="AE46" s="26" t="s">
        <v>3</v>
      </c>
      <c r="AF46" s="26" t="s">
        <v>3</v>
      </c>
      <c r="AG46" s="27" t="s">
        <v>7</v>
      </c>
      <c r="AH46" s="28" t="s">
        <v>11</v>
      </c>
      <c r="AI46" s="8">
        <f t="shared" si="16"/>
        <v>18</v>
      </c>
      <c r="AJ46" s="8">
        <f t="shared" si="17"/>
        <v>3</v>
      </c>
      <c r="AK46" s="29">
        <f t="shared" si="18"/>
        <v>5</v>
      </c>
      <c r="AL46" s="62">
        <v>5</v>
      </c>
      <c r="AM46" s="33">
        <f t="shared" si="19"/>
        <v>25.5</v>
      </c>
      <c r="AN46" s="63">
        <f t="shared" si="20"/>
        <v>168</v>
      </c>
      <c r="AO46" s="63">
        <f t="shared" si="21"/>
        <v>0</v>
      </c>
      <c r="AP46" s="63">
        <f t="shared" si="22"/>
        <v>0</v>
      </c>
      <c r="AQ46" s="53">
        <f t="shared" si="23"/>
        <v>25.5</v>
      </c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</row>
    <row r="47" spans="1:56" ht="22" customHeight="1" x14ac:dyDescent="0.35">
      <c r="A47" s="8" t="s">
        <v>121</v>
      </c>
      <c r="B47" s="8" t="s">
        <v>122</v>
      </c>
      <c r="C47" s="8" t="s">
        <v>104</v>
      </c>
      <c r="D47" s="26" t="s">
        <v>3</v>
      </c>
      <c r="E47" s="27" t="s">
        <v>7</v>
      </c>
      <c r="F47" s="28" t="s">
        <v>11</v>
      </c>
      <c r="G47" s="26" t="s">
        <v>3</v>
      </c>
      <c r="H47" s="26" t="s">
        <v>3</v>
      </c>
      <c r="I47" s="26" t="s">
        <v>3</v>
      </c>
      <c r="J47" s="26" t="s">
        <v>3</v>
      </c>
      <c r="K47" s="26" t="s">
        <v>3</v>
      </c>
      <c r="L47" s="27" t="s">
        <v>7</v>
      </c>
      <c r="M47" s="24" t="s">
        <v>9</v>
      </c>
      <c r="N47" s="22" t="s">
        <v>5</v>
      </c>
      <c r="O47" s="26" t="s">
        <v>3</v>
      </c>
      <c r="P47" s="26" t="s">
        <v>3</v>
      </c>
      <c r="Q47" s="26" t="s">
        <v>3</v>
      </c>
      <c r="R47" s="26" t="s">
        <v>3</v>
      </c>
      <c r="S47" s="27" t="s">
        <v>7</v>
      </c>
      <c r="T47" s="28" t="s">
        <v>11</v>
      </c>
      <c r="U47" s="26" t="s">
        <v>3</v>
      </c>
      <c r="V47" s="26" t="s">
        <v>3</v>
      </c>
      <c r="W47" s="26" t="s">
        <v>3</v>
      </c>
      <c r="X47" s="26" t="s">
        <v>3</v>
      </c>
      <c r="Y47" s="26" t="s">
        <v>3</v>
      </c>
      <c r="Z47" s="27" t="s">
        <v>7</v>
      </c>
      <c r="AA47" s="28" t="s">
        <v>11</v>
      </c>
      <c r="AB47" s="26" t="s">
        <v>3</v>
      </c>
      <c r="AC47" s="26" t="s">
        <v>3</v>
      </c>
      <c r="AD47" s="26" t="s">
        <v>3</v>
      </c>
      <c r="AE47" s="26" t="s">
        <v>3</v>
      </c>
      <c r="AF47" s="22" t="s">
        <v>5</v>
      </c>
      <c r="AG47" s="27" t="s">
        <v>7</v>
      </c>
      <c r="AH47" s="28" t="s">
        <v>11</v>
      </c>
      <c r="AI47" s="8">
        <f t="shared" si="16"/>
        <v>19</v>
      </c>
      <c r="AJ47" s="8">
        <f t="shared" si="17"/>
        <v>2</v>
      </c>
      <c r="AK47" s="29">
        <f t="shared" si="18"/>
        <v>4</v>
      </c>
      <c r="AL47" s="62">
        <v>5</v>
      </c>
      <c r="AM47" s="33">
        <f t="shared" si="19"/>
        <v>25.5</v>
      </c>
      <c r="AN47" s="63">
        <f t="shared" si="20"/>
        <v>168</v>
      </c>
      <c r="AO47" s="63">
        <f t="shared" si="21"/>
        <v>0</v>
      </c>
      <c r="AP47" s="63">
        <f t="shared" si="22"/>
        <v>0</v>
      </c>
      <c r="AQ47" s="53">
        <f t="shared" si="23"/>
        <v>25.5</v>
      </c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</row>
    <row r="48" spans="1:56" ht="22" customHeight="1" x14ac:dyDescent="0.35">
      <c r="A48" s="8" t="s">
        <v>123</v>
      </c>
      <c r="B48" s="8" t="s">
        <v>124</v>
      </c>
      <c r="C48" s="8" t="s">
        <v>104</v>
      </c>
      <c r="D48" s="26" t="s">
        <v>3</v>
      </c>
      <c r="E48" s="27" t="s">
        <v>7</v>
      </c>
      <c r="F48" s="28" t="s">
        <v>11</v>
      </c>
      <c r="G48" s="26" t="s">
        <v>3</v>
      </c>
      <c r="H48" s="26" t="s">
        <v>3</v>
      </c>
      <c r="I48" s="26" t="s">
        <v>3</v>
      </c>
      <c r="J48" s="26" t="s">
        <v>3</v>
      </c>
      <c r="K48" s="26" t="s">
        <v>3</v>
      </c>
      <c r="L48" s="27" t="s">
        <v>7</v>
      </c>
      <c r="M48" s="28" t="s">
        <v>11</v>
      </c>
      <c r="N48" s="26" t="s">
        <v>3</v>
      </c>
      <c r="O48" s="26" t="s">
        <v>3</v>
      </c>
      <c r="P48" s="26" t="s">
        <v>3</v>
      </c>
      <c r="Q48" s="26" t="s">
        <v>3</v>
      </c>
      <c r="R48" s="26" t="s">
        <v>3</v>
      </c>
      <c r="S48" s="27" t="s">
        <v>7</v>
      </c>
      <c r="T48" s="24" t="s">
        <v>9</v>
      </c>
      <c r="U48" s="26" t="s">
        <v>3</v>
      </c>
      <c r="V48" s="26" t="s">
        <v>3</v>
      </c>
      <c r="W48" s="26" t="s">
        <v>3</v>
      </c>
      <c r="X48" s="26" t="s">
        <v>3</v>
      </c>
      <c r="Y48" s="26" t="s">
        <v>3</v>
      </c>
      <c r="Z48" s="27" t="s">
        <v>7</v>
      </c>
      <c r="AA48" s="24" t="s">
        <v>9</v>
      </c>
      <c r="AB48" s="26" t="s">
        <v>3</v>
      </c>
      <c r="AC48" s="26" t="s">
        <v>3</v>
      </c>
      <c r="AD48" s="26" t="s">
        <v>3</v>
      </c>
      <c r="AE48" s="26" t="s">
        <v>3</v>
      </c>
      <c r="AF48" s="26" t="s">
        <v>3</v>
      </c>
      <c r="AG48" s="23" t="s">
        <v>7</v>
      </c>
      <c r="AH48" s="24" t="s">
        <v>9</v>
      </c>
      <c r="AI48" s="8">
        <f t="shared" si="16"/>
        <v>21</v>
      </c>
      <c r="AJ48" s="8">
        <f t="shared" si="17"/>
        <v>0</v>
      </c>
      <c r="AK48" s="29">
        <f t="shared" si="18"/>
        <v>2</v>
      </c>
      <c r="AL48" s="62">
        <v>4</v>
      </c>
      <c r="AM48" s="33">
        <f t="shared" si="19"/>
        <v>25</v>
      </c>
      <c r="AN48" s="63">
        <f t="shared" si="20"/>
        <v>168</v>
      </c>
      <c r="AO48" s="63">
        <f t="shared" si="21"/>
        <v>1</v>
      </c>
      <c r="AP48" s="63">
        <f t="shared" si="22"/>
        <v>4</v>
      </c>
      <c r="AQ48" s="53">
        <f t="shared" si="23"/>
        <v>24.5</v>
      </c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</row>
    <row r="49" spans="1:56" ht="22" customHeight="1" x14ac:dyDescent="0.35">
      <c r="A49" s="8" t="s">
        <v>125</v>
      </c>
      <c r="B49" s="8" t="s">
        <v>126</v>
      </c>
      <c r="C49" s="8" t="s">
        <v>104</v>
      </c>
      <c r="D49" s="26" t="s">
        <v>3</v>
      </c>
      <c r="E49" s="27" t="s">
        <v>7</v>
      </c>
      <c r="F49" s="28" t="s">
        <v>11</v>
      </c>
      <c r="G49" s="26" t="s">
        <v>3</v>
      </c>
      <c r="H49" s="26" t="s">
        <v>3</v>
      </c>
      <c r="I49" s="26" t="s">
        <v>3</v>
      </c>
      <c r="J49" s="26" t="s">
        <v>3</v>
      </c>
      <c r="K49" s="26" t="s">
        <v>3</v>
      </c>
      <c r="L49" s="27" t="s">
        <v>7</v>
      </c>
      <c r="M49" s="28" t="s">
        <v>11</v>
      </c>
      <c r="N49" s="26" t="s">
        <v>3</v>
      </c>
      <c r="O49" s="26" t="s">
        <v>3</v>
      </c>
      <c r="P49" s="26" t="s">
        <v>3</v>
      </c>
      <c r="Q49" s="26" t="s">
        <v>3</v>
      </c>
      <c r="R49" s="26" t="s">
        <v>3</v>
      </c>
      <c r="S49" s="27" t="s">
        <v>7</v>
      </c>
      <c r="T49" s="28" t="s">
        <v>11</v>
      </c>
      <c r="U49" s="26" t="s">
        <v>3</v>
      </c>
      <c r="V49" s="26" t="s">
        <v>3</v>
      </c>
      <c r="W49" s="26" t="s">
        <v>3</v>
      </c>
      <c r="X49" s="26" t="s">
        <v>3</v>
      </c>
      <c r="Y49" s="26" t="s">
        <v>3</v>
      </c>
      <c r="Z49" s="27" t="s">
        <v>7</v>
      </c>
      <c r="AA49" s="28" t="s">
        <v>11</v>
      </c>
      <c r="AB49" s="26" t="s">
        <v>3</v>
      </c>
      <c r="AC49" s="26" t="s">
        <v>3</v>
      </c>
      <c r="AD49" s="26" t="s">
        <v>3</v>
      </c>
      <c r="AE49" s="26" t="s">
        <v>3</v>
      </c>
      <c r="AF49" s="26" t="s">
        <v>3</v>
      </c>
      <c r="AG49" s="27" t="s">
        <v>7</v>
      </c>
      <c r="AH49" s="28" t="s">
        <v>11</v>
      </c>
      <c r="AI49" s="8">
        <f t="shared" si="16"/>
        <v>21</v>
      </c>
      <c r="AJ49" s="8">
        <f t="shared" si="17"/>
        <v>0</v>
      </c>
      <c r="AK49" s="29">
        <f t="shared" si="18"/>
        <v>5</v>
      </c>
      <c r="AL49" s="62">
        <v>5</v>
      </c>
      <c r="AM49" s="33">
        <f t="shared" si="19"/>
        <v>28.5</v>
      </c>
      <c r="AN49" s="63">
        <f t="shared" si="20"/>
        <v>168</v>
      </c>
      <c r="AO49" s="63">
        <f t="shared" si="21"/>
        <v>0</v>
      </c>
      <c r="AP49" s="63">
        <f t="shared" si="22"/>
        <v>0</v>
      </c>
      <c r="AQ49" s="53">
        <f t="shared" si="23"/>
        <v>28.5</v>
      </c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</row>
    <row r="50" spans="1:56" ht="22" customHeight="1" x14ac:dyDescent="0.35">
      <c r="A50" s="8" t="s">
        <v>127</v>
      </c>
      <c r="B50" s="8" t="s">
        <v>128</v>
      </c>
      <c r="C50" s="8" t="s">
        <v>104</v>
      </c>
      <c r="D50" s="26" t="s">
        <v>3</v>
      </c>
      <c r="E50" s="27" t="s">
        <v>7</v>
      </c>
      <c r="F50" s="28" t="s">
        <v>11</v>
      </c>
      <c r="G50" s="26" t="s">
        <v>3</v>
      </c>
      <c r="H50" s="26" t="s">
        <v>3</v>
      </c>
      <c r="I50" s="26" t="s">
        <v>3</v>
      </c>
      <c r="J50" s="26" t="s">
        <v>3</v>
      </c>
      <c r="K50" s="26" t="s">
        <v>3</v>
      </c>
      <c r="L50" s="27" t="s">
        <v>7</v>
      </c>
      <c r="M50" s="28" t="s">
        <v>11</v>
      </c>
      <c r="N50" s="26" t="s">
        <v>3</v>
      </c>
      <c r="O50" s="26" t="s">
        <v>3</v>
      </c>
      <c r="P50" s="22" t="s">
        <v>5</v>
      </c>
      <c r="Q50" s="22" t="s">
        <v>5</v>
      </c>
      <c r="R50" s="22" t="s">
        <v>5</v>
      </c>
      <c r="S50" s="23" t="s">
        <v>7</v>
      </c>
      <c r="T50" s="28" t="s">
        <v>11</v>
      </c>
      <c r="U50" s="26" t="s">
        <v>3</v>
      </c>
      <c r="V50" s="26" t="s">
        <v>3</v>
      </c>
      <c r="W50" s="26" t="s">
        <v>3</v>
      </c>
      <c r="X50" s="26" t="s">
        <v>3</v>
      </c>
      <c r="Y50" s="26" t="s">
        <v>3</v>
      </c>
      <c r="Z50" s="27" t="s">
        <v>7</v>
      </c>
      <c r="AA50" s="28" t="s">
        <v>11</v>
      </c>
      <c r="AB50" s="26" t="s">
        <v>3</v>
      </c>
      <c r="AC50" s="26" t="s">
        <v>3</v>
      </c>
      <c r="AD50" s="26" t="s">
        <v>3</v>
      </c>
      <c r="AE50" s="26" t="s">
        <v>3</v>
      </c>
      <c r="AF50" s="26" t="s">
        <v>3</v>
      </c>
      <c r="AG50" s="27" t="s">
        <v>7</v>
      </c>
      <c r="AH50" s="28" t="s">
        <v>11</v>
      </c>
      <c r="AI50" s="8">
        <f t="shared" si="16"/>
        <v>18</v>
      </c>
      <c r="AJ50" s="8">
        <f t="shared" si="17"/>
        <v>3</v>
      </c>
      <c r="AK50" s="29">
        <f t="shared" si="18"/>
        <v>5</v>
      </c>
      <c r="AL50" s="62">
        <v>4</v>
      </c>
      <c r="AM50" s="33">
        <f t="shared" si="19"/>
        <v>25</v>
      </c>
      <c r="AN50" s="63">
        <f t="shared" si="20"/>
        <v>168</v>
      </c>
      <c r="AO50" s="63">
        <f t="shared" si="21"/>
        <v>0</v>
      </c>
      <c r="AP50" s="63">
        <f t="shared" si="22"/>
        <v>0</v>
      </c>
      <c r="AQ50" s="53">
        <f t="shared" si="23"/>
        <v>25</v>
      </c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</row>
    <row r="51" spans="1:56" ht="22" customHeight="1" x14ac:dyDescent="0.35">
      <c r="A51" s="8" t="s">
        <v>129</v>
      </c>
      <c r="B51" s="8" t="s">
        <v>130</v>
      </c>
      <c r="C51" s="8" t="s">
        <v>104</v>
      </c>
      <c r="D51" s="26" t="s">
        <v>3</v>
      </c>
      <c r="E51" s="27" t="s">
        <v>7</v>
      </c>
      <c r="F51" s="28" t="s">
        <v>11</v>
      </c>
      <c r="G51" s="26" t="s">
        <v>3</v>
      </c>
      <c r="H51" s="26" t="s">
        <v>3</v>
      </c>
      <c r="I51" s="26" t="s">
        <v>3</v>
      </c>
      <c r="J51" s="26" t="s">
        <v>3</v>
      </c>
      <c r="K51" s="26" t="s">
        <v>3</v>
      </c>
      <c r="L51" s="27" t="s">
        <v>7</v>
      </c>
      <c r="M51" s="28" t="s">
        <v>11</v>
      </c>
      <c r="N51" s="26" t="s">
        <v>3</v>
      </c>
      <c r="O51" s="26" t="s">
        <v>3</v>
      </c>
      <c r="P51" s="26" t="s">
        <v>3</v>
      </c>
      <c r="Q51" s="26" t="s">
        <v>3</v>
      </c>
      <c r="R51" s="26" t="s">
        <v>3</v>
      </c>
      <c r="S51" s="27" t="s">
        <v>7</v>
      </c>
      <c r="T51" s="28" t="s">
        <v>11</v>
      </c>
      <c r="U51" s="26" t="s">
        <v>3</v>
      </c>
      <c r="V51" s="26" t="s">
        <v>3</v>
      </c>
      <c r="W51" s="26" t="s">
        <v>3</v>
      </c>
      <c r="X51" s="26" t="s">
        <v>3</v>
      </c>
      <c r="Y51" s="26" t="s">
        <v>3</v>
      </c>
      <c r="Z51" s="27" t="s">
        <v>7</v>
      </c>
      <c r="AA51" s="28" t="s">
        <v>11</v>
      </c>
      <c r="AB51" s="26" t="s">
        <v>3</v>
      </c>
      <c r="AC51" s="26" t="s">
        <v>3</v>
      </c>
      <c r="AD51" s="26" t="s">
        <v>3</v>
      </c>
      <c r="AE51" s="26" t="s">
        <v>3</v>
      </c>
      <c r="AF51" s="26" t="s">
        <v>3</v>
      </c>
      <c r="AG51" s="27" t="s">
        <v>7</v>
      </c>
      <c r="AH51" s="28" t="s">
        <v>11</v>
      </c>
      <c r="AI51" s="8">
        <f t="shared" si="16"/>
        <v>21</v>
      </c>
      <c r="AJ51" s="8">
        <f t="shared" si="17"/>
        <v>0</v>
      </c>
      <c r="AK51" s="29">
        <f t="shared" si="18"/>
        <v>5</v>
      </c>
      <c r="AL51" s="62">
        <v>5</v>
      </c>
      <c r="AM51" s="33">
        <f t="shared" si="19"/>
        <v>28.5</v>
      </c>
      <c r="AN51" s="63">
        <f t="shared" si="20"/>
        <v>168</v>
      </c>
      <c r="AO51" s="63">
        <f t="shared" si="21"/>
        <v>0</v>
      </c>
      <c r="AP51" s="63">
        <f t="shared" si="22"/>
        <v>0</v>
      </c>
      <c r="AQ51" s="53">
        <f t="shared" si="23"/>
        <v>28.5</v>
      </c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</row>
    <row r="52" spans="1:56" ht="22" customHeight="1" x14ac:dyDescent="0.35">
      <c r="A52" s="8" t="s">
        <v>131</v>
      </c>
      <c r="B52" s="8" t="s">
        <v>132</v>
      </c>
      <c r="C52" s="8" t="s">
        <v>104</v>
      </c>
      <c r="D52" s="26" t="s">
        <v>3</v>
      </c>
      <c r="E52" s="27" t="s">
        <v>7</v>
      </c>
      <c r="F52" s="28" t="s">
        <v>11</v>
      </c>
      <c r="G52" s="26" t="s">
        <v>3</v>
      </c>
      <c r="H52" s="26" t="s">
        <v>3</v>
      </c>
      <c r="I52" s="26" t="s">
        <v>3</v>
      </c>
      <c r="J52" s="22" t="s">
        <v>5</v>
      </c>
      <c r="K52" s="22" t="s">
        <v>5</v>
      </c>
      <c r="L52" s="27" t="s">
        <v>7</v>
      </c>
      <c r="M52" s="28" t="s">
        <v>11</v>
      </c>
      <c r="N52" s="26" t="s">
        <v>3</v>
      </c>
      <c r="O52" s="26" t="s">
        <v>3</v>
      </c>
      <c r="P52" s="26" t="s">
        <v>3</v>
      </c>
      <c r="Q52" s="26" t="s">
        <v>3</v>
      </c>
      <c r="R52" s="26" t="s">
        <v>3</v>
      </c>
      <c r="S52" s="27" t="s">
        <v>7</v>
      </c>
      <c r="T52" s="28" t="s">
        <v>11</v>
      </c>
      <c r="U52" s="26" t="s">
        <v>3</v>
      </c>
      <c r="V52" s="26" t="s">
        <v>3</v>
      </c>
      <c r="W52" s="26" t="s">
        <v>3</v>
      </c>
      <c r="X52" s="26" t="s">
        <v>3</v>
      </c>
      <c r="Y52" s="26" t="s">
        <v>3</v>
      </c>
      <c r="Z52" s="27" t="s">
        <v>7</v>
      </c>
      <c r="AA52" s="28" t="s">
        <v>11</v>
      </c>
      <c r="AB52" s="26" t="s">
        <v>3</v>
      </c>
      <c r="AC52" s="26" t="s">
        <v>3</v>
      </c>
      <c r="AD52" s="22" t="s">
        <v>5</v>
      </c>
      <c r="AE52" s="22" t="s">
        <v>5</v>
      </c>
      <c r="AF52" s="26" t="s">
        <v>3</v>
      </c>
      <c r="AG52" s="27" t="s">
        <v>7</v>
      </c>
      <c r="AH52" s="28" t="s">
        <v>11</v>
      </c>
      <c r="AI52" s="8">
        <f t="shared" si="16"/>
        <v>17</v>
      </c>
      <c r="AJ52" s="8">
        <f t="shared" si="17"/>
        <v>4</v>
      </c>
      <c r="AK52" s="29">
        <f t="shared" si="18"/>
        <v>5</v>
      </c>
      <c r="AL52" s="62">
        <v>5</v>
      </c>
      <c r="AM52" s="33">
        <f t="shared" si="19"/>
        <v>24.5</v>
      </c>
      <c r="AN52" s="63">
        <f t="shared" si="20"/>
        <v>168</v>
      </c>
      <c r="AO52" s="63">
        <f t="shared" si="21"/>
        <v>0</v>
      </c>
      <c r="AP52" s="63">
        <f t="shared" si="22"/>
        <v>0</v>
      </c>
      <c r="AQ52" s="53">
        <f t="shared" si="23"/>
        <v>24.5</v>
      </c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</row>
    <row r="53" spans="1:56" ht="22" customHeight="1" x14ac:dyDescent="0.35">
      <c r="A53" s="8" t="s">
        <v>133</v>
      </c>
      <c r="B53" s="8" t="s">
        <v>134</v>
      </c>
      <c r="C53" s="8" t="s">
        <v>104</v>
      </c>
      <c r="D53" s="26" t="s">
        <v>3</v>
      </c>
      <c r="E53" s="27" t="s">
        <v>7</v>
      </c>
      <c r="F53" s="28" t="s">
        <v>11</v>
      </c>
      <c r="G53" s="26" t="s">
        <v>3</v>
      </c>
      <c r="H53" s="26" t="s">
        <v>3</v>
      </c>
      <c r="I53" s="26" t="s">
        <v>3</v>
      </c>
      <c r="J53" s="22" t="s">
        <v>5</v>
      </c>
      <c r="K53" s="22" t="s">
        <v>5</v>
      </c>
      <c r="L53" s="27" t="s">
        <v>7</v>
      </c>
      <c r="M53" s="28" t="s">
        <v>11</v>
      </c>
      <c r="N53" s="26" t="s">
        <v>3</v>
      </c>
      <c r="O53" s="26" t="s">
        <v>3</v>
      </c>
      <c r="P53" s="26" t="s">
        <v>3</v>
      </c>
      <c r="Q53" s="26" t="s">
        <v>3</v>
      </c>
      <c r="R53" s="26" t="s">
        <v>3</v>
      </c>
      <c r="S53" s="23" t="s">
        <v>7</v>
      </c>
      <c r="T53" s="24" t="s">
        <v>9</v>
      </c>
      <c r="U53" s="26" t="s">
        <v>3</v>
      </c>
      <c r="V53" s="26" t="s">
        <v>3</v>
      </c>
      <c r="W53" s="26" t="s">
        <v>3</v>
      </c>
      <c r="X53" s="26" t="s">
        <v>3</v>
      </c>
      <c r="Y53" s="26" t="s">
        <v>3</v>
      </c>
      <c r="Z53" s="27" t="s">
        <v>7</v>
      </c>
      <c r="AA53" s="28" t="s">
        <v>11</v>
      </c>
      <c r="AB53" s="26" t="s">
        <v>3</v>
      </c>
      <c r="AC53" s="26" t="s">
        <v>3</v>
      </c>
      <c r="AD53" s="26" t="s">
        <v>3</v>
      </c>
      <c r="AE53" s="26" t="s">
        <v>3</v>
      </c>
      <c r="AF53" s="26" t="s">
        <v>3</v>
      </c>
      <c r="AG53" s="27" t="s">
        <v>7</v>
      </c>
      <c r="AH53" s="28" t="s">
        <v>11</v>
      </c>
      <c r="AI53" s="8">
        <f t="shared" si="16"/>
        <v>19</v>
      </c>
      <c r="AJ53" s="8">
        <f t="shared" si="17"/>
        <v>2</v>
      </c>
      <c r="AK53" s="29">
        <f t="shared" si="18"/>
        <v>4</v>
      </c>
      <c r="AL53" s="62">
        <v>4</v>
      </c>
      <c r="AM53" s="33">
        <f t="shared" si="19"/>
        <v>25</v>
      </c>
      <c r="AN53" s="63">
        <f t="shared" si="20"/>
        <v>168</v>
      </c>
      <c r="AO53" s="63">
        <f t="shared" si="21"/>
        <v>0</v>
      </c>
      <c r="AP53" s="63">
        <f t="shared" si="22"/>
        <v>0</v>
      </c>
      <c r="AQ53" s="53">
        <f t="shared" si="23"/>
        <v>25</v>
      </c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</row>
    <row r="54" spans="1:56" ht="22" customHeight="1" x14ac:dyDescent="0.35">
      <c r="A54" s="8" t="s">
        <v>135</v>
      </c>
      <c r="B54" s="8" t="s">
        <v>136</v>
      </c>
      <c r="C54" s="8" t="s">
        <v>104</v>
      </c>
      <c r="D54" s="26" t="s">
        <v>3</v>
      </c>
      <c r="E54" s="27" t="s">
        <v>7</v>
      </c>
      <c r="F54" s="28" t="s">
        <v>11</v>
      </c>
      <c r="G54" s="26" t="s">
        <v>3</v>
      </c>
      <c r="H54" s="26" t="s">
        <v>3</v>
      </c>
      <c r="I54" s="22" t="s">
        <v>5</v>
      </c>
      <c r="J54" s="26" t="s">
        <v>3</v>
      </c>
      <c r="K54" s="26" t="s">
        <v>3</v>
      </c>
      <c r="L54" s="27" t="s">
        <v>7</v>
      </c>
      <c r="M54" s="28" t="s">
        <v>11</v>
      </c>
      <c r="N54" s="26" t="s">
        <v>3</v>
      </c>
      <c r="O54" s="26" t="s">
        <v>3</v>
      </c>
      <c r="P54" s="26" t="s">
        <v>3</v>
      </c>
      <c r="Q54" s="26" t="s">
        <v>3</v>
      </c>
      <c r="R54" s="26" t="s">
        <v>3</v>
      </c>
      <c r="S54" s="27" t="s">
        <v>7</v>
      </c>
      <c r="T54" s="28" t="s">
        <v>11</v>
      </c>
      <c r="U54" s="26" t="s">
        <v>3</v>
      </c>
      <c r="V54" s="26" t="s">
        <v>3</v>
      </c>
      <c r="W54" s="26" t="s">
        <v>3</v>
      </c>
      <c r="X54" s="26" t="s">
        <v>3</v>
      </c>
      <c r="Y54" s="26" t="s">
        <v>3</v>
      </c>
      <c r="Z54" s="27" t="s">
        <v>7</v>
      </c>
      <c r="AA54" s="28" t="s">
        <v>11</v>
      </c>
      <c r="AB54" s="26" t="s">
        <v>3</v>
      </c>
      <c r="AC54" s="26" t="s">
        <v>3</v>
      </c>
      <c r="AD54" s="26" t="s">
        <v>3</v>
      </c>
      <c r="AE54" s="26" t="s">
        <v>3</v>
      </c>
      <c r="AF54" s="22" t="s">
        <v>5</v>
      </c>
      <c r="AG54" s="23" t="s">
        <v>7</v>
      </c>
      <c r="AH54" s="24" t="s">
        <v>9</v>
      </c>
      <c r="AI54" s="8">
        <f t="shared" si="16"/>
        <v>19</v>
      </c>
      <c r="AJ54" s="8">
        <f t="shared" si="17"/>
        <v>2</v>
      </c>
      <c r="AK54" s="29">
        <f t="shared" si="18"/>
        <v>4</v>
      </c>
      <c r="AL54" s="62">
        <v>4</v>
      </c>
      <c r="AM54" s="33">
        <f t="shared" si="19"/>
        <v>25</v>
      </c>
      <c r="AN54" s="63">
        <f t="shared" si="20"/>
        <v>168</v>
      </c>
      <c r="AO54" s="63">
        <f t="shared" si="21"/>
        <v>0</v>
      </c>
      <c r="AP54" s="63">
        <f t="shared" si="22"/>
        <v>0</v>
      </c>
      <c r="AQ54" s="53">
        <f t="shared" si="23"/>
        <v>25</v>
      </c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</row>
    <row r="55" spans="1:56" ht="22" customHeight="1" x14ac:dyDescent="0.35">
      <c r="A55" s="8" t="s">
        <v>137</v>
      </c>
      <c r="B55" s="8" t="s">
        <v>138</v>
      </c>
      <c r="C55" s="8" t="s">
        <v>104</v>
      </c>
      <c r="D55" s="26" t="s">
        <v>3</v>
      </c>
      <c r="E55" s="27" t="s">
        <v>7</v>
      </c>
      <c r="F55" s="28" t="s">
        <v>11</v>
      </c>
      <c r="G55" s="26" t="s">
        <v>3</v>
      </c>
      <c r="H55" s="26" t="s">
        <v>3</v>
      </c>
      <c r="I55" s="26" t="s">
        <v>3</v>
      </c>
      <c r="J55" s="26" t="s">
        <v>3</v>
      </c>
      <c r="K55" s="26" t="s">
        <v>3</v>
      </c>
      <c r="L55" s="27" t="s">
        <v>7</v>
      </c>
      <c r="M55" s="28" t="s">
        <v>11</v>
      </c>
      <c r="N55" s="26" t="s">
        <v>3</v>
      </c>
      <c r="O55" s="26" t="s">
        <v>3</v>
      </c>
      <c r="P55" s="26" t="s">
        <v>3</v>
      </c>
      <c r="Q55" s="22" t="s">
        <v>5</v>
      </c>
      <c r="R55" s="26" t="s">
        <v>3</v>
      </c>
      <c r="S55" s="27" t="s">
        <v>7</v>
      </c>
      <c r="T55" s="28" t="s">
        <v>11</v>
      </c>
      <c r="U55" s="22" t="s">
        <v>5</v>
      </c>
      <c r="V55" s="26" t="s">
        <v>3</v>
      </c>
      <c r="W55" s="26" t="s">
        <v>3</v>
      </c>
      <c r="X55" s="26" t="s">
        <v>3</v>
      </c>
      <c r="Y55" s="26" t="s">
        <v>3</v>
      </c>
      <c r="Z55" s="27" t="s">
        <v>7</v>
      </c>
      <c r="AA55" s="28" t="s">
        <v>11</v>
      </c>
      <c r="AB55" s="26" t="s">
        <v>3</v>
      </c>
      <c r="AC55" s="26" t="s">
        <v>3</v>
      </c>
      <c r="AD55" s="26" t="s">
        <v>3</v>
      </c>
      <c r="AE55" s="26" t="s">
        <v>3</v>
      </c>
      <c r="AF55" s="22" t="s">
        <v>5</v>
      </c>
      <c r="AG55" s="23" t="s">
        <v>7</v>
      </c>
      <c r="AH55" s="28" t="s">
        <v>11</v>
      </c>
      <c r="AI55" s="8">
        <f t="shared" si="16"/>
        <v>18</v>
      </c>
      <c r="AJ55" s="8">
        <f t="shared" si="17"/>
        <v>3</v>
      </c>
      <c r="AK55" s="29">
        <f t="shared" si="18"/>
        <v>5</v>
      </c>
      <c r="AL55" s="62">
        <v>4</v>
      </c>
      <c r="AM55" s="33">
        <f t="shared" si="19"/>
        <v>25</v>
      </c>
      <c r="AN55" s="63">
        <f t="shared" si="20"/>
        <v>168</v>
      </c>
      <c r="AO55" s="63">
        <f t="shared" si="21"/>
        <v>0</v>
      </c>
      <c r="AP55" s="63">
        <f t="shared" si="22"/>
        <v>0</v>
      </c>
      <c r="AQ55" s="53">
        <f t="shared" si="23"/>
        <v>25</v>
      </c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</row>
    <row r="56" spans="1:56" ht="22" customHeight="1" x14ac:dyDescent="0.35">
      <c r="A56" s="8" t="s">
        <v>139</v>
      </c>
      <c r="B56" s="8" t="s">
        <v>140</v>
      </c>
      <c r="C56" s="8" t="s">
        <v>104</v>
      </c>
      <c r="D56" s="26" t="s">
        <v>3</v>
      </c>
      <c r="E56" s="27" t="s">
        <v>7</v>
      </c>
      <c r="F56" s="28" t="s">
        <v>11</v>
      </c>
      <c r="G56" s="26" t="s">
        <v>3</v>
      </c>
      <c r="H56" s="26" t="s">
        <v>3</v>
      </c>
      <c r="I56" s="26" t="s">
        <v>3</v>
      </c>
      <c r="J56" s="26" t="s">
        <v>3</v>
      </c>
      <c r="K56" s="26" t="s">
        <v>3</v>
      </c>
      <c r="L56" s="27" t="s">
        <v>7</v>
      </c>
      <c r="M56" s="28" t="s">
        <v>11</v>
      </c>
      <c r="N56" s="26" t="s">
        <v>3</v>
      </c>
      <c r="O56" s="26" t="s">
        <v>3</v>
      </c>
      <c r="P56" s="26" t="s">
        <v>3</v>
      </c>
      <c r="Q56" s="26" t="s">
        <v>3</v>
      </c>
      <c r="R56" s="22" t="s">
        <v>5</v>
      </c>
      <c r="S56" s="23" t="s">
        <v>7</v>
      </c>
      <c r="T56" s="24" t="s">
        <v>9</v>
      </c>
      <c r="U56" s="22" t="s">
        <v>5</v>
      </c>
      <c r="V56" s="26" t="s">
        <v>3</v>
      </c>
      <c r="W56" s="26" t="s">
        <v>3</v>
      </c>
      <c r="X56" s="26" t="s">
        <v>3</v>
      </c>
      <c r="Y56" s="26" t="s">
        <v>3</v>
      </c>
      <c r="Z56" s="27" t="s">
        <v>7</v>
      </c>
      <c r="AA56" s="28" t="s">
        <v>11</v>
      </c>
      <c r="AB56" s="26" t="s">
        <v>3</v>
      </c>
      <c r="AC56" s="26" t="s">
        <v>3</v>
      </c>
      <c r="AD56" s="26" t="s">
        <v>3</v>
      </c>
      <c r="AE56" s="26" t="s">
        <v>3</v>
      </c>
      <c r="AF56" s="26" t="s">
        <v>3</v>
      </c>
      <c r="AG56" s="27" t="s">
        <v>7</v>
      </c>
      <c r="AH56" s="24" t="s">
        <v>9</v>
      </c>
      <c r="AI56" s="8">
        <f t="shared" si="16"/>
        <v>19</v>
      </c>
      <c r="AJ56" s="8">
        <f t="shared" si="17"/>
        <v>2</v>
      </c>
      <c r="AK56" s="29">
        <f t="shared" si="18"/>
        <v>3</v>
      </c>
      <c r="AL56" s="62">
        <v>4</v>
      </c>
      <c r="AM56" s="33">
        <f t="shared" si="19"/>
        <v>24</v>
      </c>
      <c r="AN56" s="63">
        <f t="shared" si="20"/>
        <v>168</v>
      </c>
      <c r="AO56" s="63">
        <f t="shared" si="21"/>
        <v>0</v>
      </c>
      <c r="AP56" s="63">
        <f t="shared" si="22"/>
        <v>0</v>
      </c>
      <c r="AQ56" s="53">
        <f t="shared" si="23"/>
        <v>24</v>
      </c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spans="1:56" ht="22" customHeight="1" x14ac:dyDescent="0.35">
      <c r="A57" s="8" t="s">
        <v>141</v>
      </c>
      <c r="B57" s="8" t="s">
        <v>142</v>
      </c>
      <c r="C57" s="8" t="s">
        <v>104</v>
      </c>
      <c r="D57" s="26" t="s">
        <v>3</v>
      </c>
      <c r="E57" s="27" t="s">
        <v>7</v>
      </c>
      <c r="F57" s="28" t="s">
        <v>11</v>
      </c>
      <c r="G57" s="26" t="s">
        <v>3</v>
      </c>
      <c r="H57" s="22" t="s">
        <v>5</v>
      </c>
      <c r="I57" s="22" t="s">
        <v>5</v>
      </c>
      <c r="J57" s="26" t="s">
        <v>3</v>
      </c>
      <c r="K57" s="26" t="s">
        <v>3</v>
      </c>
      <c r="L57" s="27" t="s">
        <v>7</v>
      </c>
      <c r="M57" s="28" t="s">
        <v>11</v>
      </c>
      <c r="N57" s="26" t="s">
        <v>3</v>
      </c>
      <c r="O57" s="26" t="s">
        <v>3</v>
      </c>
      <c r="P57" s="26" t="s">
        <v>3</v>
      </c>
      <c r="Q57" s="26" t="s">
        <v>3</v>
      </c>
      <c r="R57" s="26" t="s">
        <v>3</v>
      </c>
      <c r="S57" s="27" t="s">
        <v>7</v>
      </c>
      <c r="T57" s="28" t="s">
        <v>11</v>
      </c>
      <c r="U57" s="26" t="s">
        <v>3</v>
      </c>
      <c r="V57" s="26" t="s">
        <v>3</v>
      </c>
      <c r="W57" s="26" t="s">
        <v>3</v>
      </c>
      <c r="X57" s="26" t="s">
        <v>3</v>
      </c>
      <c r="Y57" s="26" t="s">
        <v>3</v>
      </c>
      <c r="Z57" s="27" t="s">
        <v>7</v>
      </c>
      <c r="AA57" s="28" t="s">
        <v>11</v>
      </c>
      <c r="AB57" s="26" t="s">
        <v>3</v>
      </c>
      <c r="AC57" s="26" t="s">
        <v>3</v>
      </c>
      <c r="AD57" s="26" t="s">
        <v>3</v>
      </c>
      <c r="AE57" s="26" t="s">
        <v>3</v>
      </c>
      <c r="AF57" s="26" t="s">
        <v>3</v>
      </c>
      <c r="AG57" s="27" t="s">
        <v>7</v>
      </c>
      <c r="AH57" s="28" t="s">
        <v>11</v>
      </c>
      <c r="AI57" s="8">
        <f t="shared" si="16"/>
        <v>19</v>
      </c>
      <c r="AJ57" s="8">
        <f t="shared" si="17"/>
        <v>2</v>
      </c>
      <c r="AK57" s="29">
        <f t="shared" si="18"/>
        <v>5</v>
      </c>
      <c r="AL57" s="62">
        <v>5</v>
      </c>
      <c r="AM57" s="33">
        <f t="shared" si="19"/>
        <v>26.5</v>
      </c>
      <c r="AN57" s="63">
        <f t="shared" si="20"/>
        <v>168</v>
      </c>
      <c r="AO57" s="63">
        <f t="shared" si="21"/>
        <v>0</v>
      </c>
      <c r="AP57" s="63">
        <f t="shared" si="22"/>
        <v>0</v>
      </c>
      <c r="AQ57" s="53">
        <f t="shared" si="23"/>
        <v>26.5</v>
      </c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</row>
    <row r="58" spans="1:56" ht="22" customHeight="1" x14ac:dyDescent="0.35">
      <c r="A58" s="8" t="s">
        <v>143</v>
      </c>
      <c r="B58" s="8" t="s">
        <v>144</v>
      </c>
      <c r="C58" s="8" t="s">
        <v>104</v>
      </c>
      <c r="D58" s="26" t="s">
        <v>3</v>
      </c>
      <c r="E58" s="27" t="s">
        <v>7</v>
      </c>
      <c r="F58" s="28" t="s">
        <v>11</v>
      </c>
      <c r="G58" s="26" t="s">
        <v>3</v>
      </c>
      <c r="H58" s="26" t="s">
        <v>3</v>
      </c>
      <c r="I58" s="26" t="s">
        <v>3</v>
      </c>
      <c r="J58" s="26" t="s">
        <v>3</v>
      </c>
      <c r="K58" s="26" t="s">
        <v>3</v>
      </c>
      <c r="L58" s="27" t="s">
        <v>7</v>
      </c>
      <c r="M58" s="28" t="s">
        <v>11</v>
      </c>
      <c r="N58" s="26" t="s">
        <v>3</v>
      </c>
      <c r="O58" s="26" t="s">
        <v>3</v>
      </c>
      <c r="P58" s="26" t="s">
        <v>3</v>
      </c>
      <c r="Q58" s="26" t="s">
        <v>3</v>
      </c>
      <c r="R58" s="26" t="s">
        <v>3</v>
      </c>
      <c r="S58" s="27" t="s">
        <v>7</v>
      </c>
      <c r="T58" s="28" t="s">
        <v>11</v>
      </c>
      <c r="U58" s="22" t="s">
        <v>5</v>
      </c>
      <c r="V58" s="26" t="s">
        <v>3</v>
      </c>
      <c r="W58" s="26" t="s">
        <v>3</v>
      </c>
      <c r="X58" s="26" t="s">
        <v>3</v>
      </c>
      <c r="Y58" s="26" t="s">
        <v>3</v>
      </c>
      <c r="Z58" s="27" t="s">
        <v>7</v>
      </c>
      <c r="AA58" s="28" t="s">
        <v>11</v>
      </c>
      <c r="AB58" s="26" t="s">
        <v>3</v>
      </c>
      <c r="AC58" s="26" t="s">
        <v>3</v>
      </c>
      <c r="AD58" s="22" t="s">
        <v>5</v>
      </c>
      <c r="AE58" s="22" t="s">
        <v>5</v>
      </c>
      <c r="AF58" s="26" t="s">
        <v>3</v>
      </c>
      <c r="AG58" s="27" t="s">
        <v>7</v>
      </c>
      <c r="AH58" s="28" t="s">
        <v>11</v>
      </c>
      <c r="AI58" s="8">
        <f t="shared" si="16"/>
        <v>18</v>
      </c>
      <c r="AJ58" s="8">
        <f t="shared" si="17"/>
        <v>3</v>
      </c>
      <c r="AK58" s="29">
        <f t="shared" si="18"/>
        <v>5</v>
      </c>
      <c r="AL58" s="62">
        <v>5</v>
      </c>
      <c r="AM58" s="33">
        <f t="shared" si="19"/>
        <v>25.5</v>
      </c>
      <c r="AN58" s="63">
        <f t="shared" si="20"/>
        <v>168</v>
      </c>
      <c r="AO58" s="63">
        <f t="shared" si="21"/>
        <v>0</v>
      </c>
      <c r="AP58" s="63">
        <f t="shared" si="22"/>
        <v>0</v>
      </c>
      <c r="AQ58" s="53">
        <f t="shared" si="23"/>
        <v>25.5</v>
      </c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</row>
    <row r="59" spans="1:56" ht="22" customHeight="1" x14ac:dyDescent="0.35">
      <c r="A59" s="8" t="s">
        <v>145</v>
      </c>
      <c r="B59" s="8" t="s">
        <v>146</v>
      </c>
      <c r="C59" s="8" t="s">
        <v>104</v>
      </c>
      <c r="D59" s="26" t="s">
        <v>3</v>
      </c>
      <c r="E59" s="23" t="s">
        <v>7</v>
      </c>
      <c r="F59" s="28" t="s">
        <v>11</v>
      </c>
      <c r="G59" s="26" t="s">
        <v>3</v>
      </c>
      <c r="H59" s="26" t="s">
        <v>3</v>
      </c>
      <c r="I59" s="26" t="s">
        <v>3</v>
      </c>
      <c r="J59" s="26" t="s">
        <v>3</v>
      </c>
      <c r="K59" s="26" t="s">
        <v>3</v>
      </c>
      <c r="L59" s="27" t="s">
        <v>7</v>
      </c>
      <c r="M59" s="28" t="s">
        <v>11</v>
      </c>
      <c r="N59" s="26" t="s">
        <v>3</v>
      </c>
      <c r="O59" s="26" t="s">
        <v>3</v>
      </c>
      <c r="P59" s="26" t="s">
        <v>3</v>
      </c>
      <c r="Q59" s="26" t="s">
        <v>3</v>
      </c>
      <c r="R59" s="26" t="s">
        <v>3</v>
      </c>
      <c r="S59" s="27" t="s">
        <v>7</v>
      </c>
      <c r="T59" s="28" t="s">
        <v>11</v>
      </c>
      <c r="U59" s="26" t="s">
        <v>3</v>
      </c>
      <c r="V59" s="26" t="s">
        <v>3</v>
      </c>
      <c r="W59" s="26" t="s">
        <v>3</v>
      </c>
      <c r="X59" s="26" t="s">
        <v>3</v>
      </c>
      <c r="Y59" s="26" t="s">
        <v>3</v>
      </c>
      <c r="Z59" s="23" t="s">
        <v>7</v>
      </c>
      <c r="AA59" s="28" t="s">
        <v>11</v>
      </c>
      <c r="AB59" s="26" t="s">
        <v>3</v>
      </c>
      <c r="AC59" s="26" t="s">
        <v>3</v>
      </c>
      <c r="AD59" s="26" t="s">
        <v>3</v>
      </c>
      <c r="AE59" s="26" t="s">
        <v>3</v>
      </c>
      <c r="AF59" s="26" t="s">
        <v>3</v>
      </c>
      <c r="AG59" s="27" t="s">
        <v>7</v>
      </c>
      <c r="AH59" s="28" t="s">
        <v>11</v>
      </c>
      <c r="AI59" s="8">
        <f t="shared" si="16"/>
        <v>21</v>
      </c>
      <c r="AJ59" s="8">
        <f t="shared" si="17"/>
        <v>0</v>
      </c>
      <c r="AK59" s="29">
        <f t="shared" si="18"/>
        <v>5</v>
      </c>
      <c r="AL59" s="62">
        <v>3</v>
      </c>
      <c r="AM59" s="33">
        <f t="shared" si="19"/>
        <v>27.5</v>
      </c>
      <c r="AN59" s="63">
        <f t="shared" si="20"/>
        <v>168</v>
      </c>
      <c r="AO59" s="63">
        <f t="shared" si="21"/>
        <v>2</v>
      </c>
      <c r="AP59" s="63">
        <f t="shared" si="22"/>
        <v>8</v>
      </c>
      <c r="AQ59" s="53">
        <f t="shared" si="23"/>
        <v>26.5</v>
      </c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</row>
    <row r="60" spans="1:56" ht="22" customHeight="1" x14ac:dyDescent="0.35">
      <c r="A60" s="8" t="s">
        <v>147</v>
      </c>
      <c r="B60" s="8" t="s">
        <v>148</v>
      </c>
      <c r="C60" s="8" t="s">
        <v>104</v>
      </c>
      <c r="D60" s="26" t="s">
        <v>3</v>
      </c>
      <c r="E60" s="27" t="s">
        <v>7</v>
      </c>
      <c r="F60" s="28" t="s">
        <v>11</v>
      </c>
      <c r="G60" s="26" t="s">
        <v>3</v>
      </c>
      <c r="H60" s="26" t="s">
        <v>3</v>
      </c>
      <c r="I60" s="26" t="s">
        <v>3</v>
      </c>
      <c r="J60" s="22" t="s">
        <v>5</v>
      </c>
      <c r="K60" s="22" t="s">
        <v>5</v>
      </c>
      <c r="L60" s="27" t="s">
        <v>7</v>
      </c>
      <c r="M60" s="28" t="s">
        <v>11</v>
      </c>
      <c r="N60" s="26" t="s">
        <v>3</v>
      </c>
      <c r="O60" s="26" t="s">
        <v>3</v>
      </c>
      <c r="P60" s="26" t="s">
        <v>3</v>
      </c>
      <c r="Q60" s="26" t="s">
        <v>3</v>
      </c>
      <c r="R60" s="26" t="s">
        <v>3</v>
      </c>
      <c r="S60" s="23" t="s">
        <v>7</v>
      </c>
      <c r="T60" s="24" t="s">
        <v>9</v>
      </c>
      <c r="U60" s="26" t="s">
        <v>3</v>
      </c>
      <c r="V60" s="26" t="s">
        <v>3</v>
      </c>
      <c r="W60" s="26" t="s">
        <v>3</v>
      </c>
      <c r="X60" s="26" t="s">
        <v>3</v>
      </c>
      <c r="Y60" s="26" t="s">
        <v>3</v>
      </c>
      <c r="Z60" s="27" t="s">
        <v>7</v>
      </c>
      <c r="AA60" s="24" t="s">
        <v>9</v>
      </c>
      <c r="AB60" s="22" t="s">
        <v>5</v>
      </c>
      <c r="AC60" s="26" t="s">
        <v>3</v>
      </c>
      <c r="AD60" s="26" t="s">
        <v>3</v>
      </c>
      <c r="AE60" s="26" t="s">
        <v>3</v>
      </c>
      <c r="AF60" s="26" t="s">
        <v>3</v>
      </c>
      <c r="AG60" s="27" t="s">
        <v>7</v>
      </c>
      <c r="AH60" s="28" t="s">
        <v>11</v>
      </c>
      <c r="AI60" s="8">
        <f t="shared" si="16"/>
        <v>18</v>
      </c>
      <c r="AJ60" s="8">
        <f t="shared" si="17"/>
        <v>3</v>
      </c>
      <c r="AK60" s="29">
        <f t="shared" si="18"/>
        <v>3</v>
      </c>
      <c r="AL60" s="62">
        <v>4</v>
      </c>
      <c r="AM60" s="33">
        <f t="shared" si="19"/>
        <v>23</v>
      </c>
      <c r="AN60" s="63">
        <f t="shared" si="20"/>
        <v>168</v>
      </c>
      <c r="AO60" s="63">
        <f t="shared" si="21"/>
        <v>0</v>
      </c>
      <c r="AP60" s="63">
        <f t="shared" si="22"/>
        <v>0</v>
      </c>
      <c r="AQ60" s="53">
        <f t="shared" si="23"/>
        <v>23</v>
      </c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</row>
    <row r="61" spans="1:56" ht="22" customHeight="1" x14ac:dyDescent="0.35">
      <c r="A61" s="8" t="s">
        <v>149</v>
      </c>
      <c r="B61" s="8" t="s">
        <v>150</v>
      </c>
      <c r="C61" s="8" t="s">
        <v>104</v>
      </c>
      <c r="D61" s="26" t="s">
        <v>3</v>
      </c>
      <c r="E61" s="27" t="s">
        <v>7</v>
      </c>
      <c r="F61" s="28" t="s">
        <v>11</v>
      </c>
      <c r="G61" s="26" t="s">
        <v>3</v>
      </c>
      <c r="H61" s="26" t="s">
        <v>3</v>
      </c>
      <c r="I61" s="26" t="s">
        <v>3</v>
      </c>
      <c r="J61" s="26" t="s">
        <v>3</v>
      </c>
      <c r="K61" s="26" t="s">
        <v>3</v>
      </c>
      <c r="L61" s="27" t="s">
        <v>7</v>
      </c>
      <c r="M61" s="28" t="s">
        <v>11</v>
      </c>
      <c r="N61" s="26" t="s">
        <v>3</v>
      </c>
      <c r="O61" s="26" t="s">
        <v>3</v>
      </c>
      <c r="P61" s="26" t="s">
        <v>3</v>
      </c>
      <c r="Q61" s="26" t="s">
        <v>3</v>
      </c>
      <c r="R61" s="26" t="s">
        <v>3</v>
      </c>
      <c r="S61" s="27" t="s">
        <v>7</v>
      </c>
      <c r="T61" s="28" t="s">
        <v>11</v>
      </c>
      <c r="U61" s="26" t="s">
        <v>3</v>
      </c>
      <c r="V61" s="26" t="s">
        <v>3</v>
      </c>
      <c r="W61" s="26" t="s">
        <v>3</v>
      </c>
      <c r="X61" s="26" t="s">
        <v>3</v>
      </c>
      <c r="Y61" s="26" t="s">
        <v>3</v>
      </c>
      <c r="Z61" s="27" t="s">
        <v>7</v>
      </c>
      <c r="AA61" s="28" t="s">
        <v>11</v>
      </c>
      <c r="AB61" s="26" t="s">
        <v>3</v>
      </c>
      <c r="AC61" s="26" t="s">
        <v>3</v>
      </c>
      <c r="AD61" s="26" t="s">
        <v>3</v>
      </c>
      <c r="AE61" s="26" t="s">
        <v>3</v>
      </c>
      <c r="AF61" s="26" t="s">
        <v>3</v>
      </c>
      <c r="AG61" s="27" t="s">
        <v>7</v>
      </c>
      <c r="AH61" s="28" t="s">
        <v>11</v>
      </c>
      <c r="AI61" s="8">
        <f t="shared" si="16"/>
        <v>21</v>
      </c>
      <c r="AJ61" s="8">
        <f t="shared" si="17"/>
        <v>0</v>
      </c>
      <c r="AK61" s="29">
        <f t="shared" si="18"/>
        <v>5</v>
      </c>
      <c r="AL61" s="62">
        <v>5</v>
      </c>
      <c r="AM61" s="33">
        <f t="shared" si="19"/>
        <v>28.5</v>
      </c>
      <c r="AN61" s="63">
        <f t="shared" si="20"/>
        <v>168</v>
      </c>
      <c r="AO61" s="63">
        <f t="shared" si="21"/>
        <v>0</v>
      </c>
      <c r="AP61" s="63">
        <f t="shared" si="22"/>
        <v>0</v>
      </c>
      <c r="AQ61" s="53">
        <f t="shared" si="23"/>
        <v>28.5</v>
      </c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</row>
    <row r="62" spans="1:56" ht="22" customHeight="1" x14ac:dyDescent="0.35">
      <c r="A62" s="8" t="s">
        <v>151</v>
      </c>
      <c r="B62" s="8" t="s">
        <v>152</v>
      </c>
      <c r="C62" s="8" t="s">
        <v>104</v>
      </c>
      <c r="D62" s="22" t="s">
        <v>5</v>
      </c>
      <c r="E62" s="23" t="s">
        <v>7</v>
      </c>
      <c r="F62" s="24" t="s">
        <v>9</v>
      </c>
      <c r="G62" s="22" t="s">
        <v>5</v>
      </c>
      <c r="H62" s="22" t="s">
        <v>5</v>
      </c>
      <c r="I62" s="22" t="s">
        <v>5</v>
      </c>
      <c r="J62" s="26" t="s">
        <v>3</v>
      </c>
      <c r="K62" s="26" t="s">
        <v>3</v>
      </c>
      <c r="L62" s="27" t="s">
        <v>7</v>
      </c>
      <c r="M62" s="28" t="s">
        <v>11</v>
      </c>
      <c r="N62" s="26" t="s">
        <v>3</v>
      </c>
      <c r="O62" s="26" t="s">
        <v>3</v>
      </c>
      <c r="P62" s="26" t="s">
        <v>3</v>
      </c>
      <c r="Q62" s="26" t="s">
        <v>3</v>
      </c>
      <c r="R62" s="26" t="s">
        <v>3</v>
      </c>
      <c r="S62" s="23" t="s">
        <v>7</v>
      </c>
      <c r="T62" s="24" t="s">
        <v>9</v>
      </c>
      <c r="U62" s="22" t="s">
        <v>5</v>
      </c>
      <c r="V62" s="22" t="s">
        <v>5</v>
      </c>
      <c r="W62" s="22" t="s">
        <v>5</v>
      </c>
      <c r="X62" s="26" t="s">
        <v>3</v>
      </c>
      <c r="Y62" s="26" t="s">
        <v>3</v>
      </c>
      <c r="Z62" s="27" t="s">
        <v>7</v>
      </c>
      <c r="AA62" s="28" t="s">
        <v>11</v>
      </c>
      <c r="AB62" s="26" t="s">
        <v>3</v>
      </c>
      <c r="AC62" s="26" t="s">
        <v>3</v>
      </c>
      <c r="AD62" s="26" t="s">
        <v>3</v>
      </c>
      <c r="AE62" s="26" t="s">
        <v>3</v>
      </c>
      <c r="AF62" s="26" t="s">
        <v>3</v>
      </c>
      <c r="AG62" s="27" t="s">
        <v>7</v>
      </c>
      <c r="AH62" s="28" t="s">
        <v>11</v>
      </c>
      <c r="AI62" s="8">
        <f t="shared" si="16"/>
        <v>14</v>
      </c>
      <c r="AJ62" s="8">
        <f t="shared" si="17"/>
        <v>7</v>
      </c>
      <c r="AK62" s="29">
        <f t="shared" si="18"/>
        <v>3</v>
      </c>
      <c r="AL62" s="62">
        <v>3</v>
      </c>
      <c r="AM62" s="33">
        <f t="shared" si="19"/>
        <v>18.5</v>
      </c>
      <c r="AN62" s="63">
        <f t="shared" si="20"/>
        <v>168</v>
      </c>
      <c r="AO62" s="63">
        <f t="shared" si="21"/>
        <v>1</v>
      </c>
      <c r="AP62" s="63">
        <f t="shared" si="22"/>
        <v>4</v>
      </c>
      <c r="AQ62" s="53">
        <f t="shared" si="23"/>
        <v>18</v>
      </c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</row>
    <row r="63" spans="1:56" ht="22" customHeight="1" x14ac:dyDescent="0.35">
      <c r="A63" s="8" t="s">
        <v>153</v>
      </c>
      <c r="B63" s="8" t="s">
        <v>154</v>
      </c>
      <c r="C63" s="8" t="s">
        <v>104</v>
      </c>
      <c r="D63" s="26" t="s">
        <v>3</v>
      </c>
      <c r="E63" s="23" t="s">
        <v>7</v>
      </c>
      <c r="F63" s="24" t="s">
        <v>9</v>
      </c>
      <c r="G63" s="22" t="s">
        <v>5</v>
      </c>
      <c r="H63" s="26" t="s">
        <v>3</v>
      </c>
      <c r="I63" s="26" t="s">
        <v>3</v>
      </c>
      <c r="J63" s="26" t="s">
        <v>3</v>
      </c>
      <c r="K63" s="26" t="s">
        <v>3</v>
      </c>
      <c r="L63" s="27" t="s">
        <v>7</v>
      </c>
      <c r="M63" s="28" t="s">
        <v>11</v>
      </c>
      <c r="N63" s="26" t="s">
        <v>3</v>
      </c>
      <c r="O63" s="26" t="s">
        <v>3</v>
      </c>
      <c r="P63" s="26" t="s">
        <v>3</v>
      </c>
      <c r="Q63" s="26" t="s">
        <v>3</v>
      </c>
      <c r="R63" s="26" t="s">
        <v>3</v>
      </c>
      <c r="S63" s="27" t="s">
        <v>7</v>
      </c>
      <c r="T63" s="28" t="s">
        <v>11</v>
      </c>
      <c r="U63" s="26" t="s">
        <v>3</v>
      </c>
      <c r="V63" s="26" t="s">
        <v>3</v>
      </c>
      <c r="W63" s="26" t="s">
        <v>3</v>
      </c>
      <c r="X63" s="26" t="s">
        <v>3</v>
      </c>
      <c r="Y63" s="26" t="s">
        <v>3</v>
      </c>
      <c r="Z63" s="23" t="s">
        <v>7</v>
      </c>
      <c r="AA63" s="28" t="s">
        <v>11</v>
      </c>
      <c r="AB63" s="26" t="s">
        <v>3</v>
      </c>
      <c r="AC63" s="26" t="s">
        <v>3</v>
      </c>
      <c r="AD63" s="26" t="s">
        <v>3</v>
      </c>
      <c r="AE63" s="26" t="s">
        <v>3</v>
      </c>
      <c r="AF63" s="26" t="s">
        <v>3</v>
      </c>
      <c r="AG63" s="27" t="s">
        <v>7</v>
      </c>
      <c r="AH63" s="24" t="s">
        <v>9</v>
      </c>
      <c r="AI63" s="8">
        <f t="shared" si="16"/>
        <v>20</v>
      </c>
      <c r="AJ63" s="8">
        <f t="shared" si="17"/>
        <v>1</v>
      </c>
      <c r="AK63" s="29">
        <f t="shared" si="18"/>
        <v>3</v>
      </c>
      <c r="AL63" s="62">
        <v>3</v>
      </c>
      <c r="AM63" s="33">
        <f t="shared" si="19"/>
        <v>24.5</v>
      </c>
      <c r="AN63" s="63">
        <f t="shared" si="20"/>
        <v>168</v>
      </c>
      <c r="AO63" s="63">
        <f t="shared" si="21"/>
        <v>2</v>
      </c>
      <c r="AP63" s="63">
        <f t="shared" si="22"/>
        <v>8</v>
      </c>
      <c r="AQ63" s="53">
        <f t="shared" si="23"/>
        <v>23.5</v>
      </c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</row>
    <row r="64" spans="1:56" ht="22" customHeight="1" x14ac:dyDescent="0.35">
      <c r="A64" s="8" t="s">
        <v>155</v>
      </c>
      <c r="B64" s="8" t="s">
        <v>156</v>
      </c>
      <c r="C64" s="8" t="s">
        <v>104</v>
      </c>
      <c r="D64" s="26" t="s">
        <v>3</v>
      </c>
      <c r="E64" s="27" t="s">
        <v>7</v>
      </c>
      <c r="F64" s="28" t="s">
        <v>11</v>
      </c>
      <c r="G64" s="26" t="s">
        <v>3</v>
      </c>
      <c r="H64" s="26" t="s">
        <v>3</v>
      </c>
      <c r="I64" s="26" t="s">
        <v>3</v>
      </c>
      <c r="J64" s="26" t="s">
        <v>3</v>
      </c>
      <c r="K64" s="26" t="s">
        <v>3</v>
      </c>
      <c r="L64" s="27" t="s">
        <v>7</v>
      </c>
      <c r="M64" s="24" t="s">
        <v>9</v>
      </c>
      <c r="N64" s="26" t="s">
        <v>3</v>
      </c>
      <c r="O64" s="26" t="s">
        <v>3</v>
      </c>
      <c r="P64" s="26" t="s">
        <v>3</v>
      </c>
      <c r="Q64" s="26" t="s">
        <v>3</v>
      </c>
      <c r="R64" s="26" t="s">
        <v>3</v>
      </c>
      <c r="S64" s="27" t="s">
        <v>7</v>
      </c>
      <c r="T64" s="28" t="s">
        <v>11</v>
      </c>
      <c r="U64" s="26" t="s">
        <v>3</v>
      </c>
      <c r="V64" s="26" t="s">
        <v>3</v>
      </c>
      <c r="W64" s="26" t="s">
        <v>3</v>
      </c>
      <c r="X64" s="26" t="s">
        <v>3</v>
      </c>
      <c r="Y64" s="26" t="s">
        <v>3</v>
      </c>
      <c r="Z64" s="27" t="s">
        <v>7</v>
      </c>
      <c r="AA64" s="24" t="s">
        <v>9</v>
      </c>
      <c r="AB64" s="26" t="s">
        <v>3</v>
      </c>
      <c r="AC64" s="26" t="s">
        <v>3</v>
      </c>
      <c r="AD64" s="26" t="s">
        <v>3</v>
      </c>
      <c r="AE64" s="26" t="s">
        <v>3</v>
      </c>
      <c r="AF64" s="26" t="s">
        <v>3</v>
      </c>
      <c r="AG64" s="27" t="s">
        <v>7</v>
      </c>
      <c r="AH64" s="28" t="s">
        <v>11</v>
      </c>
      <c r="AI64" s="8">
        <f t="shared" si="16"/>
        <v>21</v>
      </c>
      <c r="AJ64" s="8">
        <f t="shared" si="17"/>
        <v>0</v>
      </c>
      <c r="AK64" s="29">
        <f t="shared" si="18"/>
        <v>3</v>
      </c>
      <c r="AL64" s="62">
        <v>5</v>
      </c>
      <c r="AM64" s="33">
        <f t="shared" si="19"/>
        <v>26.5</v>
      </c>
      <c r="AN64" s="63">
        <f t="shared" si="20"/>
        <v>168</v>
      </c>
      <c r="AO64" s="63">
        <f t="shared" si="21"/>
        <v>0</v>
      </c>
      <c r="AP64" s="63">
        <f t="shared" si="22"/>
        <v>0</v>
      </c>
      <c r="AQ64" s="53">
        <f t="shared" si="23"/>
        <v>26.5</v>
      </c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</row>
    <row r="65" spans="1:56" ht="22" customHeight="1" x14ac:dyDescent="0.35">
      <c r="A65" s="8" t="s">
        <v>157</v>
      </c>
      <c r="B65" s="8" t="s">
        <v>158</v>
      </c>
      <c r="C65" s="8" t="s">
        <v>104</v>
      </c>
      <c r="D65" s="26" t="s">
        <v>3</v>
      </c>
      <c r="E65" s="27" t="s">
        <v>7</v>
      </c>
      <c r="F65" s="28" t="s">
        <v>11</v>
      </c>
      <c r="G65" s="26" t="s">
        <v>3</v>
      </c>
      <c r="H65" s="26" t="s">
        <v>3</v>
      </c>
      <c r="I65" s="26" t="s">
        <v>3</v>
      </c>
      <c r="J65" s="26" t="s">
        <v>3</v>
      </c>
      <c r="K65" s="26" t="s">
        <v>3</v>
      </c>
      <c r="L65" s="27" t="s">
        <v>7</v>
      </c>
      <c r="M65" s="28" t="s">
        <v>11</v>
      </c>
      <c r="N65" s="26" t="s">
        <v>3</v>
      </c>
      <c r="O65" s="26" t="s">
        <v>3</v>
      </c>
      <c r="P65" s="26" t="s">
        <v>3</v>
      </c>
      <c r="Q65" s="26" t="s">
        <v>3</v>
      </c>
      <c r="R65" s="26" t="s">
        <v>3</v>
      </c>
      <c r="S65" s="27" t="s">
        <v>7</v>
      </c>
      <c r="T65" s="28" t="s">
        <v>11</v>
      </c>
      <c r="U65" s="26" t="s">
        <v>3</v>
      </c>
      <c r="V65" s="26" t="s">
        <v>3</v>
      </c>
      <c r="W65" s="22" t="s">
        <v>5</v>
      </c>
      <c r="X65" s="22" t="s">
        <v>5</v>
      </c>
      <c r="Y65" s="26" t="s">
        <v>3</v>
      </c>
      <c r="Z65" s="27" t="s">
        <v>7</v>
      </c>
      <c r="AA65" s="28" t="s">
        <v>11</v>
      </c>
      <c r="AB65" s="22" t="s">
        <v>5</v>
      </c>
      <c r="AC65" s="22" t="s">
        <v>5</v>
      </c>
      <c r="AD65" s="26" t="s">
        <v>3</v>
      </c>
      <c r="AE65" s="26" t="s">
        <v>3</v>
      </c>
      <c r="AF65" s="26" t="s">
        <v>3</v>
      </c>
      <c r="AG65" s="27" t="s">
        <v>7</v>
      </c>
      <c r="AH65" s="28" t="s">
        <v>11</v>
      </c>
      <c r="AI65" s="8">
        <f t="shared" si="16"/>
        <v>17</v>
      </c>
      <c r="AJ65" s="8">
        <f t="shared" si="17"/>
        <v>4</v>
      </c>
      <c r="AK65" s="29">
        <f t="shared" si="18"/>
        <v>5</v>
      </c>
      <c r="AL65" s="62">
        <v>5</v>
      </c>
      <c r="AM65" s="33">
        <f t="shared" si="19"/>
        <v>24.5</v>
      </c>
      <c r="AN65" s="63">
        <f t="shared" si="20"/>
        <v>168</v>
      </c>
      <c r="AO65" s="63">
        <f t="shared" si="21"/>
        <v>0</v>
      </c>
      <c r="AP65" s="63">
        <f t="shared" si="22"/>
        <v>0</v>
      </c>
      <c r="AQ65" s="53">
        <f t="shared" si="23"/>
        <v>24.5</v>
      </c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</row>
    <row r="66" spans="1:56" ht="22" customHeight="1" x14ac:dyDescent="0.35">
      <c r="A66" s="8" t="s">
        <v>159</v>
      </c>
      <c r="B66" s="8" t="s">
        <v>160</v>
      </c>
      <c r="C66" s="8" t="s">
        <v>104</v>
      </c>
      <c r="D66" s="26" t="s">
        <v>3</v>
      </c>
      <c r="E66" s="27" t="s">
        <v>7</v>
      </c>
      <c r="F66" s="28" t="s">
        <v>11</v>
      </c>
      <c r="G66" s="26" t="s">
        <v>3</v>
      </c>
      <c r="H66" s="26" t="s">
        <v>3</v>
      </c>
      <c r="I66" s="26" t="s">
        <v>3</v>
      </c>
      <c r="J66" s="26" t="s">
        <v>3</v>
      </c>
      <c r="K66" s="26" t="s">
        <v>3</v>
      </c>
      <c r="L66" s="27" t="s">
        <v>7</v>
      </c>
      <c r="M66" s="28" t="s">
        <v>11</v>
      </c>
      <c r="N66" s="26" t="s">
        <v>3</v>
      </c>
      <c r="O66" s="26" t="s">
        <v>3</v>
      </c>
      <c r="P66" s="26" t="s">
        <v>3</v>
      </c>
      <c r="Q66" s="22" t="s">
        <v>5</v>
      </c>
      <c r="R66" s="22" t="s">
        <v>5</v>
      </c>
      <c r="S66" s="23" t="s">
        <v>7</v>
      </c>
      <c r="T66" s="28" t="s">
        <v>11</v>
      </c>
      <c r="U66" s="26" t="s">
        <v>3</v>
      </c>
      <c r="V66" s="26" t="s">
        <v>3</v>
      </c>
      <c r="W66" s="26" t="s">
        <v>3</v>
      </c>
      <c r="X66" s="26" t="s">
        <v>3</v>
      </c>
      <c r="Y66" s="26" t="s">
        <v>3</v>
      </c>
      <c r="Z66" s="27" t="s">
        <v>7</v>
      </c>
      <c r="AA66" s="28" t="s">
        <v>11</v>
      </c>
      <c r="AB66" s="26" t="s">
        <v>3</v>
      </c>
      <c r="AC66" s="26" t="s">
        <v>3</v>
      </c>
      <c r="AD66" s="26" t="s">
        <v>3</v>
      </c>
      <c r="AE66" s="26" t="s">
        <v>3</v>
      </c>
      <c r="AF66" s="26" t="s">
        <v>3</v>
      </c>
      <c r="AG66" s="27" t="s">
        <v>7</v>
      </c>
      <c r="AH66" s="28" t="s">
        <v>11</v>
      </c>
      <c r="AI66" s="8">
        <f t="shared" si="16"/>
        <v>19</v>
      </c>
      <c r="AJ66" s="8">
        <f t="shared" si="17"/>
        <v>2</v>
      </c>
      <c r="AK66" s="29">
        <f t="shared" si="18"/>
        <v>5</v>
      </c>
      <c r="AL66" s="62">
        <v>4</v>
      </c>
      <c r="AM66" s="33">
        <f t="shared" si="19"/>
        <v>26</v>
      </c>
      <c r="AN66" s="63">
        <f t="shared" si="20"/>
        <v>168</v>
      </c>
      <c r="AO66" s="63">
        <f t="shared" si="21"/>
        <v>0</v>
      </c>
      <c r="AP66" s="63">
        <f t="shared" si="22"/>
        <v>0</v>
      </c>
      <c r="AQ66" s="53">
        <f t="shared" si="23"/>
        <v>26</v>
      </c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</row>
    <row r="67" spans="1:56" ht="22" customHeight="1" x14ac:dyDescent="0.35">
      <c r="A67" s="8" t="s">
        <v>161</v>
      </c>
      <c r="B67" s="8" t="s">
        <v>162</v>
      </c>
      <c r="C67" s="8" t="s">
        <v>104</v>
      </c>
      <c r="D67" s="26" t="s">
        <v>3</v>
      </c>
      <c r="E67" s="27" t="s">
        <v>7</v>
      </c>
      <c r="F67" s="28" t="s">
        <v>11</v>
      </c>
      <c r="G67" s="26" t="s">
        <v>3</v>
      </c>
      <c r="H67" s="26" t="s">
        <v>3</v>
      </c>
      <c r="I67" s="26" t="s">
        <v>3</v>
      </c>
      <c r="J67" s="26" t="s">
        <v>3</v>
      </c>
      <c r="K67" s="26" t="s">
        <v>3</v>
      </c>
      <c r="L67" s="27" t="s">
        <v>7</v>
      </c>
      <c r="M67" s="28" t="s">
        <v>11</v>
      </c>
      <c r="N67" s="26" t="s">
        <v>3</v>
      </c>
      <c r="O67" s="26" t="s">
        <v>3</v>
      </c>
      <c r="P67" s="26" t="s">
        <v>3</v>
      </c>
      <c r="Q67" s="26" t="s">
        <v>3</v>
      </c>
      <c r="R67" s="26" t="s">
        <v>3</v>
      </c>
      <c r="S67" s="27" t="s">
        <v>7</v>
      </c>
      <c r="T67" s="28" t="s">
        <v>11</v>
      </c>
      <c r="U67" s="26" t="s">
        <v>3</v>
      </c>
      <c r="V67" s="26" t="s">
        <v>3</v>
      </c>
      <c r="W67" s="22" t="s">
        <v>5</v>
      </c>
      <c r="X67" s="22" t="s">
        <v>5</v>
      </c>
      <c r="Y67" s="22" t="s">
        <v>5</v>
      </c>
      <c r="Z67" s="27" t="s">
        <v>7</v>
      </c>
      <c r="AA67" s="28" t="s">
        <v>11</v>
      </c>
      <c r="AB67" s="26" t="s">
        <v>3</v>
      </c>
      <c r="AC67" s="26" t="s">
        <v>3</v>
      </c>
      <c r="AD67" s="26" t="s">
        <v>3</v>
      </c>
      <c r="AE67" s="26" t="s">
        <v>3</v>
      </c>
      <c r="AF67" s="26" t="s">
        <v>3</v>
      </c>
      <c r="AG67" s="27" t="s">
        <v>7</v>
      </c>
      <c r="AH67" s="28" t="s">
        <v>11</v>
      </c>
      <c r="AI67" s="8">
        <f t="shared" si="16"/>
        <v>18</v>
      </c>
      <c r="AJ67" s="8">
        <f t="shared" si="17"/>
        <v>3</v>
      </c>
      <c r="AK67" s="29">
        <f t="shared" si="18"/>
        <v>5</v>
      </c>
      <c r="AL67" s="62">
        <v>5</v>
      </c>
      <c r="AM67" s="33">
        <f t="shared" si="19"/>
        <v>25.5</v>
      </c>
      <c r="AN67" s="63">
        <f t="shared" si="20"/>
        <v>168</v>
      </c>
      <c r="AO67" s="63">
        <f t="shared" si="21"/>
        <v>0</v>
      </c>
      <c r="AP67" s="63">
        <f t="shared" si="22"/>
        <v>0</v>
      </c>
      <c r="AQ67" s="53">
        <f t="shared" si="23"/>
        <v>25.5</v>
      </c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</row>
    <row r="68" spans="1:56" ht="22" customHeight="1" x14ac:dyDescent="0.35">
      <c r="A68" s="8" t="s">
        <v>163</v>
      </c>
      <c r="B68" s="8" t="s">
        <v>164</v>
      </c>
      <c r="C68" s="8" t="s">
        <v>104</v>
      </c>
      <c r="D68" s="26" t="s">
        <v>3</v>
      </c>
      <c r="E68" s="23" t="s">
        <v>7</v>
      </c>
      <c r="F68" s="28" t="s">
        <v>11</v>
      </c>
      <c r="G68" s="26" t="s">
        <v>3</v>
      </c>
      <c r="H68" s="26" t="s">
        <v>3</v>
      </c>
      <c r="I68" s="26" t="s">
        <v>3</v>
      </c>
      <c r="J68" s="26" t="s">
        <v>3</v>
      </c>
      <c r="K68" s="26" t="s">
        <v>3</v>
      </c>
      <c r="L68" s="27" t="s">
        <v>7</v>
      </c>
      <c r="M68" s="28" t="s">
        <v>11</v>
      </c>
      <c r="N68" s="26" t="s">
        <v>3</v>
      </c>
      <c r="O68" s="26" t="s">
        <v>3</v>
      </c>
      <c r="P68" s="26" t="s">
        <v>3</v>
      </c>
      <c r="Q68" s="26" t="s">
        <v>3</v>
      </c>
      <c r="R68" s="26" t="s">
        <v>3</v>
      </c>
      <c r="S68" s="27" t="s">
        <v>7</v>
      </c>
      <c r="T68" s="28" t="s">
        <v>11</v>
      </c>
      <c r="U68" s="26" t="s">
        <v>3</v>
      </c>
      <c r="V68" s="26" t="s">
        <v>3</v>
      </c>
      <c r="W68" s="22" t="s">
        <v>5</v>
      </c>
      <c r="X68" s="22" t="s">
        <v>5</v>
      </c>
      <c r="Y68" s="26" t="s">
        <v>3</v>
      </c>
      <c r="Z68" s="27" t="s">
        <v>7</v>
      </c>
      <c r="AA68" s="28" t="s">
        <v>11</v>
      </c>
      <c r="AB68" s="26" t="s">
        <v>3</v>
      </c>
      <c r="AC68" s="26" t="s">
        <v>3</v>
      </c>
      <c r="AD68" s="26" t="s">
        <v>3</v>
      </c>
      <c r="AE68" s="26" t="s">
        <v>3</v>
      </c>
      <c r="AF68" s="26" t="s">
        <v>3</v>
      </c>
      <c r="AG68" s="27" t="s">
        <v>7</v>
      </c>
      <c r="AH68" s="28" t="s">
        <v>11</v>
      </c>
      <c r="AI68" s="8">
        <f t="shared" si="16"/>
        <v>19</v>
      </c>
      <c r="AJ68" s="8">
        <f t="shared" si="17"/>
        <v>2</v>
      </c>
      <c r="AK68" s="29">
        <f t="shared" si="18"/>
        <v>5</v>
      </c>
      <c r="AL68" s="62">
        <v>4</v>
      </c>
      <c r="AM68" s="33">
        <f t="shared" si="19"/>
        <v>26</v>
      </c>
      <c r="AN68" s="63">
        <f t="shared" si="20"/>
        <v>168</v>
      </c>
      <c r="AO68" s="63">
        <f t="shared" si="21"/>
        <v>1</v>
      </c>
      <c r="AP68" s="63">
        <f t="shared" si="22"/>
        <v>4</v>
      </c>
      <c r="AQ68" s="53">
        <f t="shared" si="23"/>
        <v>25.5</v>
      </c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</row>
    <row r="69" spans="1:56" ht="22" customHeight="1" x14ac:dyDescent="0.35">
      <c r="A69" s="8" t="s">
        <v>165</v>
      </c>
      <c r="B69" s="8" t="s">
        <v>166</v>
      </c>
      <c r="C69" s="8" t="s">
        <v>104</v>
      </c>
      <c r="D69" s="22" t="s">
        <v>5</v>
      </c>
      <c r="E69" s="23" t="s">
        <v>7</v>
      </c>
      <c r="F69" s="24" t="s">
        <v>9</v>
      </c>
      <c r="G69" s="26" t="s">
        <v>3</v>
      </c>
      <c r="H69" s="26" t="s">
        <v>3</v>
      </c>
      <c r="I69" s="26" t="s">
        <v>3</v>
      </c>
      <c r="J69" s="26" t="s">
        <v>3</v>
      </c>
      <c r="K69" s="26" t="s">
        <v>3</v>
      </c>
      <c r="L69" s="27" t="s">
        <v>7</v>
      </c>
      <c r="M69" s="28" t="s">
        <v>11</v>
      </c>
      <c r="N69" s="26" t="s">
        <v>3</v>
      </c>
      <c r="O69" s="26" t="s">
        <v>3</v>
      </c>
      <c r="P69" s="26" t="s">
        <v>3</v>
      </c>
      <c r="Q69" s="26" t="s">
        <v>3</v>
      </c>
      <c r="R69" s="26" t="s">
        <v>3</v>
      </c>
      <c r="S69" s="23" t="s">
        <v>7</v>
      </c>
      <c r="T69" s="24" t="s">
        <v>9</v>
      </c>
      <c r="U69" s="26" t="s">
        <v>3</v>
      </c>
      <c r="V69" s="26" t="s">
        <v>3</v>
      </c>
      <c r="W69" s="26" t="s">
        <v>3</v>
      </c>
      <c r="X69" s="26" t="s">
        <v>3</v>
      </c>
      <c r="Y69" s="26" t="s">
        <v>3</v>
      </c>
      <c r="Z69" s="27" t="s">
        <v>7</v>
      </c>
      <c r="AA69" s="28" t="s">
        <v>11</v>
      </c>
      <c r="AB69" s="26" t="s">
        <v>3</v>
      </c>
      <c r="AC69" s="26" t="s">
        <v>3</v>
      </c>
      <c r="AD69" s="26" t="s">
        <v>3</v>
      </c>
      <c r="AE69" s="26" t="s">
        <v>3</v>
      </c>
      <c r="AF69" s="26" t="s">
        <v>3</v>
      </c>
      <c r="AG69" s="23" t="s">
        <v>7</v>
      </c>
      <c r="AH69" s="28" t="s">
        <v>11</v>
      </c>
      <c r="AI69" s="8">
        <f t="shared" si="16"/>
        <v>20</v>
      </c>
      <c r="AJ69" s="8">
        <f t="shared" si="17"/>
        <v>1</v>
      </c>
      <c r="AK69" s="29">
        <f t="shared" si="18"/>
        <v>3</v>
      </c>
      <c r="AL69" s="62">
        <v>2</v>
      </c>
      <c r="AM69" s="33">
        <f t="shared" si="19"/>
        <v>24</v>
      </c>
      <c r="AN69" s="63">
        <f t="shared" si="20"/>
        <v>168</v>
      </c>
      <c r="AO69" s="63">
        <f t="shared" si="21"/>
        <v>2</v>
      </c>
      <c r="AP69" s="63">
        <f t="shared" si="22"/>
        <v>8</v>
      </c>
      <c r="AQ69" s="53">
        <f t="shared" si="23"/>
        <v>23</v>
      </c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</row>
    <row r="70" spans="1:56" ht="22" customHeight="1" x14ac:dyDescent="0.35">
      <c r="A70" s="8" t="s">
        <v>167</v>
      </c>
      <c r="B70" s="8" t="s">
        <v>168</v>
      </c>
      <c r="C70" s="8" t="s">
        <v>104</v>
      </c>
      <c r="D70" s="22" t="s">
        <v>5</v>
      </c>
      <c r="E70" s="23" t="s">
        <v>7</v>
      </c>
      <c r="F70" s="28" t="s">
        <v>11</v>
      </c>
      <c r="G70" s="26" t="s">
        <v>3</v>
      </c>
      <c r="H70" s="26" t="s">
        <v>3</v>
      </c>
      <c r="I70" s="26" t="s">
        <v>3</v>
      </c>
      <c r="J70" s="26" t="s">
        <v>3</v>
      </c>
      <c r="K70" s="26" t="s">
        <v>3</v>
      </c>
      <c r="L70" s="27" t="s">
        <v>7</v>
      </c>
      <c r="M70" s="28" t="s">
        <v>11</v>
      </c>
      <c r="N70" s="26" t="s">
        <v>3</v>
      </c>
      <c r="O70" s="26" t="s">
        <v>3</v>
      </c>
      <c r="P70" s="26" t="s">
        <v>3</v>
      </c>
      <c r="Q70" s="26" t="s">
        <v>3</v>
      </c>
      <c r="R70" s="26" t="s">
        <v>3</v>
      </c>
      <c r="S70" s="23" t="s">
        <v>7</v>
      </c>
      <c r="T70" s="24" t="s">
        <v>9</v>
      </c>
      <c r="U70" s="26" t="s">
        <v>3</v>
      </c>
      <c r="V70" s="26" t="s">
        <v>3</v>
      </c>
      <c r="W70" s="26" t="s">
        <v>3</v>
      </c>
      <c r="X70" s="26" t="s">
        <v>3</v>
      </c>
      <c r="Y70" s="26" t="s">
        <v>3</v>
      </c>
      <c r="Z70" s="27" t="s">
        <v>7</v>
      </c>
      <c r="AA70" s="28" t="s">
        <v>11</v>
      </c>
      <c r="AB70" s="26" t="s">
        <v>3</v>
      </c>
      <c r="AC70" s="26" t="s">
        <v>3</v>
      </c>
      <c r="AD70" s="26" t="s">
        <v>3</v>
      </c>
      <c r="AE70" s="26" t="s">
        <v>3</v>
      </c>
      <c r="AF70" s="26" t="s">
        <v>3</v>
      </c>
      <c r="AG70" s="27" t="s">
        <v>7</v>
      </c>
      <c r="AH70" s="28" t="s">
        <v>11</v>
      </c>
      <c r="AI70" s="8">
        <f t="shared" si="16"/>
        <v>20</v>
      </c>
      <c r="AJ70" s="8">
        <f t="shared" si="17"/>
        <v>1</v>
      </c>
      <c r="AK70" s="29">
        <f t="shared" si="18"/>
        <v>4</v>
      </c>
      <c r="AL70" s="62">
        <v>3</v>
      </c>
      <c r="AM70" s="33">
        <f t="shared" si="19"/>
        <v>25.5</v>
      </c>
      <c r="AN70" s="63">
        <f t="shared" si="20"/>
        <v>168</v>
      </c>
      <c r="AO70" s="63">
        <f t="shared" si="21"/>
        <v>1</v>
      </c>
      <c r="AP70" s="63">
        <f t="shared" si="22"/>
        <v>4</v>
      </c>
      <c r="AQ70" s="53">
        <f t="shared" si="23"/>
        <v>25</v>
      </c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</row>
    <row r="71" spans="1:56" ht="22" customHeight="1" x14ac:dyDescent="0.35">
      <c r="A71" s="8" t="s">
        <v>169</v>
      </c>
      <c r="B71" s="8" t="s">
        <v>170</v>
      </c>
      <c r="C71" s="8" t="s">
        <v>104</v>
      </c>
      <c r="D71" s="26" t="s">
        <v>3</v>
      </c>
      <c r="E71" s="27" t="s">
        <v>7</v>
      </c>
      <c r="F71" s="28" t="s">
        <v>11</v>
      </c>
      <c r="G71" s="26" t="s">
        <v>3</v>
      </c>
      <c r="H71" s="26" t="s">
        <v>3</v>
      </c>
      <c r="I71" s="26" t="s">
        <v>3</v>
      </c>
      <c r="J71" s="26" t="s">
        <v>3</v>
      </c>
      <c r="K71" s="26" t="s">
        <v>3</v>
      </c>
      <c r="L71" s="23" t="s">
        <v>7</v>
      </c>
      <c r="M71" s="28" t="s">
        <v>11</v>
      </c>
      <c r="N71" s="26" t="s">
        <v>3</v>
      </c>
      <c r="O71" s="26" t="s">
        <v>3</v>
      </c>
      <c r="P71" s="26" t="s">
        <v>3</v>
      </c>
      <c r="Q71" s="26" t="s">
        <v>3</v>
      </c>
      <c r="R71" s="26" t="s">
        <v>3</v>
      </c>
      <c r="S71" s="27" t="s">
        <v>7</v>
      </c>
      <c r="T71" s="28" t="s">
        <v>11</v>
      </c>
      <c r="U71" s="26" t="s">
        <v>3</v>
      </c>
      <c r="V71" s="26" t="s">
        <v>3</v>
      </c>
      <c r="W71" s="26" t="s">
        <v>3</v>
      </c>
      <c r="X71" s="26" t="s">
        <v>3</v>
      </c>
      <c r="Y71" s="26" t="s">
        <v>3</v>
      </c>
      <c r="Z71" s="27" t="s">
        <v>7</v>
      </c>
      <c r="AA71" s="24" t="s">
        <v>9</v>
      </c>
      <c r="AB71" s="26" t="s">
        <v>3</v>
      </c>
      <c r="AC71" s="26" t="s">
        <v>3</v>
      </c>
      <c r="AD71" s="26" t="s">
        <v>3</v>
      </c>
      <c r="AE71" s="26" t="s">
        <v>3</v>
      </c>
      <c r="AF71" s="26" t="s">
        <v>3</v>
      </c>
      <c r="AG71" s="27" t="s">
        <v>7</v>
      </c>
      <c r="AH71" s="28" t="s">
        <v>11</v>
      </c>
      <c r="AI71" s="8">
        <f t="shared" si="16"/>
        <v>21</v>
      </c>
      <c r="AJ71" s="8">
        <f t="shared" si="17"/>
        <v>0</v>
      </c>
      <c r="AK71" s="29">
        <f t="shared" si="18"/>
        <v>4</v>
      </c>
      <c r="AL71" s="62">
        <v>4</v>
      </c>
      <c r="AM71" s="33">
        <f t="shared" si="19"/>
        <v>27</v>
      </c>
      <c r="AN71" s="63">
        <f t="shared" si="20"/>
        <v>168</v>
      </c>
      <c r="AO71" s="63">
        <f t="shared" si="21"/>
        <v>1</v>
      </c>
      <c r="AP71" s="63">
        <f t="shared" si="22"/>
        <v>4</v>
      </c>
      <c r="AQ71" s="53">
        <f t="shared" si="23"/>
        <v>26.5</v>
      </c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</row>
    <row r="72" spans="1:56" ht="22" customHeight="1" x14ac:dyDescent="0.35">
      <c r="A72" s="8" t="s">
        <v>171</v>
      </c>
      <c r="B72" s="8" t="s">
        <v>172</v>
      </c>
      <c r="C72" s="8" t="s">
        <v>104</v>
      </c>
      <c r="D72" s="26" t="s">
        <v>3</v>
      </c>
      <c r="E72" s="23" t="s">
        <v>7</v>
      </c>
      <c r="F72" s="28" t="s">
        <v>11</v>
      </c>
      <c r="G72" s="22" t="s">
        <v>5</v>
      </c>
      <c r="H72" s="22" t="s">
        <v>5</v>
      </c>
      <c r="I72" s="22" t="s">
        <v>5</v>
      </c>
      <c r="J72" s="22" t="s">
        <v>5</v>
      </c>
      <c r="K72" s="26" t="s">
        <v>3</v>
      </c>
      <c r="L72" s="27" t="s">
        <v>7</v>
      </c>
      <c r="M72" s="28" t="s">
        <v>11</v>
      </c>
      <c r="N72" s="26" t="s">
        <v>3</v>
      </c>
      <c r="O72" s="26" t="s">
        <v>3</v>
      </c>
      <c r="P72" s="26" t="s">
        <v>3</v>
      </c>
      <c r="Q72" s="26" t="s">
        <v>3</v>
      </c>
      <c r="R72" s="26" t="s">
        <v>3</v>
      </c>
      <c r="S72" s="27" t="s">
        <v>7</v>
      </c>
      <c r="T72" s="28" t="s">
        <v>11</v>
      </c>
      <c r="U72" s="26" t="s">
        <v>3</v>
      </c>
      <c r="V72" s="26" t="s">
        <v>3</v>
      </c>
      <c r="W72" s="26" t="s">
        <v>3</v>
      </c>
      <c r="X72" s="26" t="s">
        <v>3</v>
      </c>
      <c r="Y72" s="26" t="s">
        <v>3</v>
      </c>
      <c r="Z72" s="27" t="s">
        <v>7</v>
      </c>
      <c r="AA72" s="24" t="s">
        <v>9</v>
      </c>
      <c r="AB72" s="26" t="s">
        <v>3</v>
      </c>
      <c r="AC72" s="26" t="s">
        <v>3</v>
      </c>
      <c r="AD72" s="26" t="s">
        <v>3</v>
      </c>
      <c r="AE72" s="26" t="s">
        <v>3</v>
      </c>
      <c r="AF72" s="26" t="s">
        <v>3</v>
      </c>
      <c r="AG72" s="27" t="s">
        <v>7</v>
      </c>
      <c r="AH72" s="28" t="s">
        <v>11</v>
      </c>
      <c r="AI72" s="8">
        <f t="shared" si="16"/>
        <v>17</v>
      </c>
      <c r="AJ72" s="8">
        <f t="shared" si="17"/>
        <v>4</v>
      </c>
      <c r="AK72" s="29">
        <f t="shared" si="18"/>
        <v>4</v>
      </c>
      <c r="AL72" s="62">
        <v>4</v>
      </c>
      <c r="AM72" s="33">
        <f t="shared" si="19"/>
        <v>23</v>
      </c>
      <c r="AN72" s="63">
        <f t="shared" si="20"/>
        <v>168</v>
      </c>
      <c r="AO72" s="63">
        <f t="shared" si="21"/>
        <v>1</v>
      </c>
      <c r="AP72" s="63">
        <f t="shared" si="22"/>
        <v>4</v>
      </c>
      <c r="AQ72" s="53">
        <f t="shared" si="23"/>
        <v>22.5</v>
      </c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</row>
    <row r="73" spans="1:56" ht="22" customHeight="1" x14ac:dyDescent="0.35">
      <c r="A73" s="8" t="s">
        <v>173</v>
      </c>
      <c r="B73" s="8" t="s">
        <v>174</v>
      </c>
      <c r="C73" s="8" t="s">
        <v>104</v>
      </c>
      <c r="D73" s="26" t="s">
        <v>3</v>
      </c>
      <c r="E73" s="27" t="s">
        <v>7</v>
      </c>
      <c r="F73" s="28" t="s">
        <v>11</v>
      </c>
      <c r="G73" s="26" t="s">
        <v>3</v>
      </c>
      <c r="H73" s="26" t="s">
        <v>3</v>
      </c>
      <c r="I73" s="26" t="s">
        <v>3</v>
      </c>
      <c r="J73" s="26" t="s">
        <v>3</v>
      </c>
      <c r="K73" s="26" t="s">
        <v>3</v>
      </c>
      <c r="L73" s="23" t="s">
        <v>7</v>
      </c>
      <c r="M73" s="24" t="s">
        <v>9</v>
      </c>
      <c r="N73" s="26" t="s">
        <v>3</v>
      </c>
      <c r="O73" s="26" t="s">
        <v>3</v>
      </c>
      <c r="P73" s="26" t="s">
        <v>3</v>
      </c>
      <c r="Q73" s="26" t="s">
        <v>3</v>
      </c>
      <c r="R73" s="26" t="s">
        <v>3</v>
      </c>
      <c r="S73" s="27" t="s">
        <v>7</v>
      </c>
      <c r="T73" s="28" t="s">
        <v>11</v>
      </c>
      <c r="U73" s="26" t="s">
        <v>3</v>
      </c>
      <c r="V73" s="26" t="s">
        <v>3</v>
      </c>
      <c r="W73" s="26" t="s">
        <v>3</v>
      </c>
      <c r="X73" s="26" t="s">
        <v>3</v>
      </c>
      <c r="Y73" s="26" t="s">
        <v>3</v>
      </c>
      <c r="Z73" s="27" t="s">
        <v>7</v>
      </c>
      <c r="AA73" s="28" t="s">
        <v>11</v>
      </c>
      <c r="AB73" s="26" t="s">
        <v>3</v>
      </c>
      <c r="AC73" s="26" t="s">
        <v>3</v>
      </c>
      <c r="AD73" s="26" t="s">
        <v>3</v>
      </c>
      <c r="AE73" s="26" t="s">
        <v>3</v>
      </c>
      <c r="AF73" s="26" t="s">
        <v>3</v>
      </c>
      <c r="AG73" s="27" t="s">
        <v>7</v>
      </c>
      <c r="AH73" s="28" t="s">
        <v>11</v>
      </c>
      <c r="AI73" s="8">
        <f t="shared" si="16"/>
        <v>21</v>
      </c>
      <c r="AJ73" s="8">
        <f t="shared" si="17"/>
        <v>0</v>
      </c>
      <c r="AK73" s="29">
        <f t="shared" si="18"/>
        <v>4</v>
      </c>
      <c r="AL73" s="62">
        <v>4</v>
      </c>
      <c r="AM73" s="33">
        <f t="shared" si="19"/>
        <v>27</v>
      </c>
      <c r="AN73" s="63">
        <f t="shared" si="20"/>
        <v>168</v>
      </c>
      <c r="AO73" s="63">
        <f t="shared" si="21"/>
        <v>1</v>
      </c>
      <c r="AP73" s="63">
        <f t="shared" si="22"/>
        <v>4</v>
      </c>
      <c r="AQ73" s="53">
        <f t="shared" si="23"/>
        <v>26.5</v>
      </c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</row>
    <row r="74" spans="1:56" ht="22" customHeight="1" x14ac:dyDescent="0.35">
      <c r="A74" s="8" t="s">
        <v>175</v>
      </c>
      <c r="B74" s="8" t="s">
        <v>176</v>
      </c>
      <c r="C74" s="8" t="s">
        <v>104</v>
      </c>
      <c r="D74" s="26" t="s">
        <v>3</v>
      </c>
      <c r="E74" s="27" t="s">
        <v>7</v>
      </c>
      <c r="F74" s="28" t="s">
        <v>11</v>
      </c>
      <c r="G74" s="26" t="s">
        <v>3</v>
      </c>
      <c r="H74" s="26" t="s">
        <v>3</v>
      </c>
      <c r="I74" s="26" t="s">
        <v>3</v>
      </c>
      <c r="J74" s="26" t="s">
        <v>3</v>
      </c>
      <c r="K74" s="26" t="s">
        <v>3</v>
      </c>
      <c r="L74" s="27" t="s">
        <v>7</v>
      </c>
      <c r="M74" s="24" t="s">
        <v>9</v>
      </c>
      <c r="N74" s="26" t="s">
        <v>3</v>
      </c>
      <c r="O74" s="26" t="s">
        <v>3</v>
      </c>
      <c r="P74" s="26" t="s">
        <v>3</v>
      </c>
      <c r="Q74" s="26" t="s">
        <v>3</v>
      </c>
      <c r="R74" s="26" t="s">
        <v>3</v>
      </c>
      <c r="S74" s="27" t="s">
        <v>7</v>
      </c>
      <c r="T74" s="28" t="s">
        <v>11</v>
      </c>
      <c r="U74" s="26" t="s">
        <v>3</v>
      </c>
      <c r="V74" s="26" t="s">
        <v>3</v>
      </c>
      <c r="W74" s="26" t="s">
        <v>3</v>
      </c>
      <c r="X74" s="26" t="s">
        <v>3</v>
      </c>
      <c r="Y74" s="26" t="s">
        <v>3</v>
      </c>
      <c r="Z74" s="27" t="s">
        <v>7</v>
      </c>
      <c r="AA74" s="28" t="s">
        <v>11</v>
      </c>
      <c r="AB74" s="26" t="s">
        <v>3</v>
      </c>
      <c r="AC74" s="26" t="s">
        <v>3</v>
      </c>
      <c r="AD74" s="26" t="s">
        <v>3</v>
      </c>
      <c r="AE74" s="26" t="s">
        <v>3</v>
      </c>
      <c r="AF74" s="26" t="s">
        <v>3</v>
      </c>
      <c r="AG74" s="27" t="s">
        <v>7</v>
      </c>
      <c r="AH74" s="28" t="s">
        <v>11</v>
      </c>
      <c r="AI74" s="8">
        <f t="shared" si="16"/>
        <v>21</v>
      </c>
      <c r="AJ74" s="8">
        <f t="shared" si="17"/>
        <v>0</v>
      </c>
      <c r="AK74" s="29">
        <f t="shared" si="18"/>
        <v>4</v>
      </c>
      <c r="AL74" s="62">
        <v>5</v>
      </c>
      <c r="AM74" s="33">
        <f t="shared" si="19"/>
        <v>27.5</v>
      </c>
      <c r="AN74" s="63">
        <f t="shared" si="20"/>
        <v>168</v>
      </c>
      <c r="AO74" s="63">
        <f t="shared" si="21"/>
        <v>0</v>
      </c>
      <c r="AP74" s="63">
        <f t="shared" si="22"/>
        <v>0</v>
      </c>
      <c r="AQ74" s="53">
        <f t="shared" si="23"/>
        <v>27.5</v>
      </c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</row>
    <row r="75" spans="1:56" x14ac:dyDescent="0.35"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</row>
    <row r="76" spans="1:56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</row>
    <row r="77" spans="1:56" ht="22" customHeight="1" x14ac:dyDescent="0.35">
      <c r="A77" s="8" t="s">
        <v>178</v>
      </c>
      <c r="B77" s="8" t="s">
        <v>179</v>
      </c>
      <c r="C77" s="8" t="s">
        <v>180</v>
      </c>
      <c r="D77" s="26" t="s">
        <v>3</v>
      </c>
      <c r="E77" s="27" t="s">
        <v>7</v>
      </c>
      <c r="F77" s="28" t="s">
        <v>11</v>
      </c>
      <c r="G77" s="26" t="s">
        <v>3</v>
      </c>
      <c r="H77" s="26" t="s">
        <v>3</v>
      </c>
      <c r="I77" s="26" t="s">
        <v>3</v>
      </c>
      <c r="J77" s="26" t="s">
        <v>3</v>
      </c>
      <c r="K77" s="26" t="s">
        <v>3</v>
      </c>
      <c r="L77" s="23" t="s">
        <v>7</v>
      </c>
      <c r="M77" s="24" t="s">
        <v>9</v>
      </c>
      <c r="N77" s="26" t="s">
        <v>3</v>
      </c>
      <c r="O77" s="26" t="s">
        <v>3</v>
      </c>
      <c r="P77" s="26" t="s">
        <v>3</v>
      </c>
      <c r="Q77" s="26" t="s">
        <v>3</v>
      </c>
      <c r="R77" s="26" t="s">
        <v>3</v>
      </c>
      <c r="S77" s="27" t="s">
        <v>7</v>
      </c>
      <c r="T77" s="28" t="s">
        <v>11</v>
      </c>
      <c r="U77" s="26" t="s">
        <v>3</v>
      </c>
      <c r="V77" s="26" t="s">
        <v>3</v>
      </c>
      <c r="W77" s="26" t="s">
        <v>3</v>
      </c>
      <c r="X77" s="26" t="s">
        <v>3</v>
      </c>
      <c r="Y77" s="26" t="s">
        <v>3</v>
      </c>
      <c r="Z77" s="27" t="s">
        <v>7</v>
      </c>
      <c r="AA77" s="28" t="s">
        <v>11</v>
      </c>
      <c r="AB77" s="22" t="s">
        <v>5</v>
      </c>
      <c r="AC77" s="22" t="s">
        <v>5</v>
      </c>
      <c r="AD77" s="26" t="s">
        <v>3</v>
      </c>
      <c r="AE77" s="26" t="s">
        <v>3</v>
      </c>
      <c r="AF77" s="26" t="s">
        <v>3</v>
      </c>
      <c r="AG77" s="27" t="s">
        <v>7</v>
      </c>
      <c r="AH77" s="28" t="s">
        <v>11</v>
      </c>
      <c r="AI77" s="8">
        <f t="shared" ref="AI77:AI82" si="24">COUNTIF(D77:AH77,"ON")</f>
        <v>19</v>
      </c>
      <c r="AJ77" s="8">
        <f t="shared" ref="AJ77:AJ82" si="25">COUNTIF(D77:AH77,"OFF")</f>
        <v>2</v>
      </c>
      <c r="AK77" s="29">
        <f t="shared" ref="AK77:AK82" si="26">COUNTIF(D77:AH77,"OT")</f>
        <v>4</v>
      </c>
      <c r="AL77" s="62">
        <v>4</v>
      </c>
      <c r="AM77" s="33">
        <f t="shared" ref="AM77:AM82" si="27">AI77+AK77+AL77*0.5</f>
        <v>25</v>
      </c>
      <c r="AN77" s="63">
        <f t="shared" ref="AN77:AN82" si="28">NETWORKDAYS(DATE(2025,8,1),EOMONTH(DATE(2025,8,1),0))*8</f>
        <v>168</v>
      </c>
      <c r="AO77" s="63">
        <f t="shared" ref="AO77:AO82" si="29">MAX(0,COUNTIF(D77,"ON")+COUNTIF(K77,"ON")+COUNTIF(R77,"ON")+COUNTIF(Y77,"ON")+COUNTIF(AF77,"ON")-AL77)</f>
        <v>1</v>
      </c>
      <c r="AP77" s="63">
        <f t="shared" ref="AP77:AP82" si="30">AO77*$AP$2</f>
        <v>4</v>
      </c>
      <c r="AQ77" s="53">
        <f t="shared" ref="AQ77:AQ82" si="31">AM77-AP77/8</f>
        <v>24.5</v>
      </c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</row>
    <row r="78" spans="1:56" ht="22" customHeight="1" x14ac:dyDescent="0.35">
      <c r="A78" s="8" t="s">
        <v>181</v>
      </c>
      <c r="B78" s="8" t="s">
        <v>182</v>
      </c>
      <c r="C78" s="8" t="s">
        <v>180</v>
      </c>
      <c r="D78" s="26" t="s">
        <v>3</v>
      </c>
      <c r="E78" s="23" t="s">
        <v>7</v>
      </c>
      <c r="F78" s="24" t="s">
        <v>9</v>
      </c>
      <c r="G78" s="26" t="s">
        <v>3</v>
      </c>
      <c r="H78" s="26" t="s">
        <v>3</v>
      </c>
      <c r="I78" s="26" t="s">
        <v>3</v>
      </c>
      <c r="J78" s="26" t="s">
        <v>3</v>
      </c>
      <c r="K78" s="26" t="s">
        <v>3</v>
      </c>
      <c r="L78" s="27" t="s">
        <v>7</v>
      </c>
      <c r="M78" s="28" t="s">
        <v>11</v>
      </c>
      <c r="N78" s="26" t="s">
        <v>3</v>
      </c>
      <c r="O78" s="26" t="s">
        <v>3</v>
      </c>
      <c r="P78" s="26" t="s">
        <v>3</v>
      </c>
      <c r="Q78" s="26" t="s">
        <v>3</v>
      </c>
      <c r="R78" s="26" t="s">
        <v>3</v>
      </c>
      <c r="S78" s="27" t="s">
        <v>7</v>
      </c>
      <c r="T78" s="28" t="s">
        <v>11</v>
      </c>
      <c r="U78" s="22" t="s">
        <v>5</v>
      </c>
      <c r="V78" s="22" t="s">
        <v>5</v>
      </c>
      <c r="W78" s="26" t="s">
        <v>3</v>
      </c>
      <c r="X78" s="26" t="s">
        <v>3</v>
      </c>
      <c r="Y78" s="26" t="s">
        <v>3</v>
      </c>
      <c r="Z78" s="27" t="s">
        <v>7</v>
      </c>
      <c r="AA78" s="28" t="s">
        <v>11</v>
      </c>
      <c r="AB78" s="26" t="s">
        <v>3</v>
      </c>
      <c r="AC78" s="26" t="s">
        <v>3</v>
      </c>
      <c r="AD78" s="26" t="s">
        <v>3</v>
      </c>
      <c r="AE78" s="26" t="s">
        <v>3</v>
      </c>
      <c r="AF78" s="26" t="s">
        <v>3</v>
      </c>
      <c r="AG78" s="23" t="s">
        <v>7</v>
      </c>
      <c r="AH78" s="24" t="s">
        <v>9</v>
      </c>
      <c r="AI78" s="8">
        <f t="shared" si="24"/>
        <v>19</v>
      </c>
      <c r="AJ78" s="8">
        <f t="shared" si="25"/>
        <v>2</v>
      </c>
      <c r="AK78" s="29">
        <f t="shared" si="26"/>
        <v>3</v>
      </c>
      <c r="AL78" s="62">
        <v>3</v>
      </c>
      <c r="AM78" s="33">
        <f t="shared" si="27"/>
        <v>23.5</v>
      </c>
      <c r="AN78" s="63">
        <f t="shared" si="28"/>
        <v>168</v>
      </c>
      <c r="AO78" s="63">
        <f t="shared" si="29"/>
        <v>2</v>
      </c>
      <c r="AP78" s="63">
        <f t="shared" si="30"/>
        <v>8</v>
      </c>
      <c r="AQ78" s="53">
        <f t="shared" si="31"/>
        <v>22.5</v>
      </c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</row>
    <row r="79" spans="1:56" ht="22" customHeight="1" x14ac:dyDescent="0.35">
      <c r="A79" s="8" t="s">
        <v>183</v>
      </c>
      <c r="B79" s="8" t="s">
        <v>184</v>
      </c>
      <c r="C79" s="8" t="s">
        <v>180</v>
      </c>
      <c r="D79" s="26" t="s">
        <v>3</v>
      </c>
      <c r="E79" s="27" t="s">
        <v>7</v>
      </c>
      <c r="F79" s="28" t="s">
        <v>11</v>
      </c>
      <c r="G79" s="26" t="s">
        <v>3</v>
      </c>
      <c r="H79" s="26" t="s">
        <v>3</v>
      </c>
      <c r="I79" s="26" t="s">
        <v>3</v>
      </c>
      <c r="J79" s="26" t="s">
        <v>3</v>
      </c>
      <c r="K79" s="26" t="s">
        <v>3</v>
      </c>
      <c r="L79" s="23" t="s">
        <v>7</v>
      </c>
      <c r="M79" s="24" t="s">
        <v>9</v>
      </c>
      <c r="N79" s="26" t="s">
        <v>3</v>
      </c>
      <c r="O79" s="26" t="s">
        <v>3</v>
      </c>
      <c r="P79" s="26" t="s">
        <v>3</v>
      </c>
      <c r="Q79" s="26" t="s">
        <v>3</v>
      </c>
      <c r="R79" s="26" t="s">
        <v>3</v>
      </c>
      <c r="S79" s="27" t="s">
        <v>7</v>
      </c>
      <c r="T79" s="28" t="s">
        <v>11</v>
      </c>
      <c r="U79" s="26" t="s">
        <v>3</v>
      </c>
      <c r="V79" s="26" t="s">
        <v>3</v>
      </c>
      <c r="W79" s="26" t="s">
        <v>3</v>
      </c>
      <c r="X79" s="26" t="s">
        <v>3</v>
      </c>
      <c r="Y79" s="26" t="s">
        <v>3</v>
      </c>
      <c r="Z79" s="23" t="s">
        <v>7</v>
      </c>
      <c r="AA79" s="24" t="s">
        <v>9</v>
      </c>
      <c r="AB79" s="26" t="s">
        <v>3</v>
      </c>
      <c r="AC79" s="26" t="s">
        <v>3</v>
      </c>
      <c r="AD79" s="26" t="s">
        <v>3</v>
      </c>
      <c r="AE79" s="26" t="s">
        <v>3</v>
      </c>
      <c r="AF79" s="26" t="s">
        <v>3</v>
      </c>
      <c r="AG79" s="27" t="s">
        <v>7</v>
      </c>
      <c r="AH79" s="28" t="s">
        <v>11</v>
      </c>
      <c r="AI79" s="8">
        <f t="shared" si="24"/>
        <v>21</v>
      </c>
      <c r="AJ79" s="8">
        <f t="shared" si="25"/>
        <v>0</v>
      </c>
      <c r="AK79" s="29">
        <f t="shared" si="26"/>
        <v>3</v>
      </c>
      <c r="AL79" s="62">
        <v>3</v>
      </c>
      <c r="AM79" s="33">
        <f t="shared" si="27"/>
        <v>25.5</v>
      </c>
      <c r="AN79" s="63">
        <f t="shared" si="28"/>
        <v>168</v>
      </c>
      <c r="AO79" s="63">
        <f t="shared" si="29"/>
        <v>2</v>
      </c>
      <c r="AP79" s="63">
        <f t="shared" si="30"/>
        <v>8</v>
      </c>
      <c r="AQ79" s="53">
        <f t="shared" si="31"/>
        <v>24.5</v>
      </c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</row>
    <row r="80" spans="1:56" ht="22" customHeight="1" x14ac:dyDescent="0.35">
      <c r="A80" s="8" t="s">
        <v>185</v>
      </c>
      <c r="B80" s="8" t="s">
        <v>186</v>
      </c>
      <c r="C80" s="8" t="s">
        <v>180</v>
      </c>
      <c r="D80" s="22" t="s">
        <v>5</v>
      </c>
      <c r="E80" s="23" t="s">
        <v>7</v>
      </c>
      <c r="F80" s="24" t="s">
        <v>9</v>
      </c>
      <c r="G80" s="26" t="s">
        <v>3</v>
      </c>
      <c r="H80" s="26" t="s">
        <v>3</v>
      </c>
      <c r="I80" s="26" t="s">
        <v>3</v>
      </c>
      <c r="J80" s="26" t="s">
        <v>3</v>
      </c>
      <c r="K80" s="26" t="s">
        <v>3</v>
      </c>
      <c r="L80" s="27" t="s">
        <v>7</v>
      </c>
      <c r="M80" s="28" t="s">
        <v>11</v>
      </c>
      <c r="N80" s="26" t="s">
        <v>3</v>
      </c>
      <c r="O80" s="26" t="s">
        <v>3</v>
      </c>
      <c r="P80" s="26" t="s">
        <v>3</v>
      </c>
      <c r="Q80" s="26" t="s">
        <v>3</v>
      </c>
      <c r="R80" s="26" t="s">
        <v>3</v>
      </c>
      <c r="S80" s="23" t="s">
        <v>7</v>
      </c>
      <c r="T80" s="24" t="s">
        <v>9</v>
      </c>
      <c r="U80" s="26" t="s">
        <v>3</v>
      </c>
      <c r="V80" s="26" t="s">
        <v>3</v>
      </c>
      <c r="W80" s="26" t="s">
        <v>3</v>
      </c>
      <c r="X80" s="26" t="s">
        <v>3</v>
      </c>
      <c r="Y80" s="26" t="s">
        <v>3</v>
      </c>
      <c r="Z80" s="27" t="s">
        <v>7</v>
      </c>
      <c r="AA80" s="28" t="s">
        <v>11</v>
      </c>
      <c r="AB80" s="26" t="s">
        <v>3</v>
      </c>
      <c r="AC80" s="26" t="s">
        <v>3</v>
      </c>
      <c r="AD80" s="26" t="s">
        <v>3</v>
      </c>
      <c r="AE80" s="26" t="s">
        <v>3</v>
      </c>
      <c r="AF80" s="26" t="s">
        <v>3</v>
      </c>
      <c r="AG80" s="23" t="s">
        <v>7</v>
      </c>
      <c r="AH80" s="24" t="s">
        <v>9</v>
      </c>
      <c r="AI80" s="8">
        <f t="shared" si="24"/>
        <v>20</v>
      </c>
      <c r="AJ80" s="8">
        <f t="shared" si="25"/>
        <v>1</v>
      </c>
      <c r="AK80" s="29">
        <f t="shared" si="26"/>
        <v>2</v>
      </c>
      <c r="AL80" s="62">
        <v>2</v>
      </c>
      <c r="AM80" s="33">
        <f t="shared" si="27"/>
        <v>23</v>
      </c>
      <c r="AN80" s="63">
        <f t="shared" si="28"/>
        <v>168</v>
      </c>
      <c r="AO80" s="63">
        <f t="shared" si="29"/>
        <v>2</v>
      </c>
      <c r="AP80" s="63">
        <f t="shared" si="30"/>
        <v>8</v>
      </c>
      <c r="AQ80" s="53">
        <f t="shared" si="31"/>
        <v>22</v>
      </c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</row>
    <row r="81" spans="1:56" ht="22" customHeight="1" x14ac:dyDescent="0.35">
      <c r="A81" s="8" t="s">
        <v>187</v>
      </c>
      <c r="B81" s="8" t="s">
        <v>188</v>
      </c>
      <c r="C81" s="8" t="s">
        <v>180</v>
      </c>
      <c r="D81" s="26" t="s">
        <v>3</v>
      </c>
      <c r="E81" s="27" t="s">
        <v>7</v>
      </c>
      <c r="F81" s="28" t="s">
        <v>11</v>
      </c>
      <c r="G81" s="26" t="s">
        <v>3</v>
      </c>
      <c r="H81" s="26" t="s">
        <v>3</v>
      </c>
      <c r="I81" s="22" t="s">
        <v>5</v>
      </c>
      <c r="J81" s="22" t="s">
        <v>5</v>
      </c>
      <c r="K81" s="22" t="s">
        <v>5</v>
      </c>
      <c r="L81" s="23" t="s">
        <v>7</v>
      </c>
      <c r="M81" s="24" t="s">
        <v>9</v>
      </c>
      <c r="N81" s="22" t="s">
        <v>5</v>
      </c>
      <c r="O81" s="22" t="s">
        <v>5</v>
      </c>
      <c r="P81" s="22" t="s">
        <v>5</v>
      </c>
      <c r="Q81" s="22" t="s">
        <v>5</v>
      </c>
      <c r="R81" s="22" t="s">
        <v>5</v>
      </c>
      <c r="S81" s="23" t="s">
        <v>7</v>
      </c>
      <c r="T81" s="24" t="s">
        <v>9</v>
      </c>
      <c r="U81" s="22" t="s">
        <v>5</v>
      </c>
      <c r="V81" s="22" t="s">
        <v>5</v>
      </c>
      <c r="W81" s="22" t="s">
        <v>5</v>
      </c>
      <c r="X81" s="22" t="s">
        <v>5</v>
      </c>
      <c r="Y81" s="22" t="s">
        <v>5</v>
      </c>
      <c r="Z81" s="23" t="s">
        <v>7</v>
      </c>
      <c r="AA81" s="24" t="s">
        <v>9</v>
      </c>
      <c r="AB81" s="22" t="s">
        <v>5</v>
      </c>
      <c r="AC81" s="22" t="s">
        <v>5</v>
      </c>
      <c r="AD81" s="22" t="s">
        <v>5</v>
      </c>
      <c r="AE81" s="22" t="s">
        <v>5</v>
      </c>
      <c r="AF81" s="22" t="s">
        <v>5</v>
      </c>
      <c r="AG81" s="23" t="s">
        <v>7</v>
      </c>
      <c r="AH81" s="24" t="s">
        <v>9</v>
      </c>
      <c r="AI81" s="8">
        <f t="shared" si="24"/>
        <v>3</v>
      </c>
      <c r="AJ81" s="25">
        <f t="shared" si="25"/>
        <v>18</v>
      </c>
      <c r="AK81" s="29">
        <f t="shared" si="26"/>
        <v>1</v>
      </c>
      <c r="AL81" s="62">
        <v>1</v>
      </c>
      <c r="AM81" s="33">
        <f t="shared" si="27"/>
        <v>4.5</v>
      </c>
      <c r="AN81" s="63">
        <f t="shared" si="28"/>
        <v>168</v>
      </c>
      <c r="AO81" s="63">
        <f t="shared" si="29"/>
        <v>0</v>
      </c>
      <c r="AP81" s="63">
        <f t="shared" si="30"/>
        <v>0</v>
      </c>
      <c r="AQ81" s="53">
        <f t="shared" si="31"/>
        <v>4.5</v>
      </c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</row>
    <row r="82" spans="1:56" ht="22" customHeight="1" x14ac:dyDescent="0.35">
      <c r="A82" s="8" t="s">
        <v>189</v>
      </c>
      <c r="B82" s="8" t="s">
        <v>190</v>
      </c>
      <c r="C82" s="8" t="s">
        <v>180</v>
      </c>
      <c r="D82" s="26" t="s">
        <v>3</v>
      </c>
      <c r="E82" s="27" t="s">
        <v>7</v>
      </c>
      <c r="F82" s="28" t="s">
        <v>11</v>
      </c>
      <c r="G82" s="26" t="s">
        <v>3</v>
      </c>
      <c r="H82" s="26" t="s">
        <v>3</v>
      </c>
      <c r="I82" s="26" t="s">
        <v>3</v>
      </c>
      <c r="J82" s="26" t="s">
        <v>3</v>
      </c>
      <c r="K82" s="26" t="s">
        <v>3</v>
      </c>
      <c r="L82" s="27" t="s">
        <v>7</v>
      </c>
      <c r="M82" s="28" t="s">
        <v>11</v>
      </c>
      <c r="N82" s="22" t="s">
        <v>5</v>
      </c>
      <c r="O82" s="22" t="s">
        <v>5</v>
      </c>
      <c r="P82" s="26" t="s">
        <v>3</v>
      </c>
      <c r="Q82" s="26" t="s">
        <v>3</v>
      </c>
      <c r="R82" s="26" t="s">
        <v>3</v>
      </c>
      <c r="S82" s="27" t="s">
        <v>7</v>
      </c>
      <c r="T82" s="28" t="s">
        <v>11</v>
      </c>
      <c r="U82" s="26" t="s">
        <v>3</v>
      </c>
      <c r="V82" s="26" t="s">
        <v>3</v>
      </c>
      <c r="W82" s="26" t="s">
        <v>3</v>
      </c>
      <c r="X82" s="26" t="s">
        <v>3</v>
      </c>
      <c r="Y82" s="26" t="s">
        <v>3</v>
      </c>
      <c r="Z82" s="23" t="s">
        <v>7</v>
      </c>
      <c r="AA82" s="24" t="s">
        <v>9</v>
      </c>
      <c r="AB82" s="26" t="s">
        <v>3</v>
      </c>
      <c r="AC82" s="26" t="s">
        <v>3</v>
      </c>
      <c r="AD82" s="26" t="s">
        <v>3</v>
      </c>
      <c r="AE82" s="26" t="s">
        <v>3</v>
      </c>
      <c r="AF82" s="26" t="s">
        <v>3</v>
      </c>
      <c r="AG82" s="27" t="s">
        <v>7</v>
      </c>
      <c r="AH82" s="28" t="s">
        <v>11</v>
      </c>
      <c r="AI82" s="8">
        <f t="shared" si="24"/>
        <v>19</v>
      </c>
      <c r="AJ82" s="8">
        <f t="shared" si="25"/>
        <v>2</v>
      </c>
      <c r="AK82" s="29">
        <f t="shared" si="26"/>
        <v>4</v>
      </c>
      <c r="AL82" s="62">
        <v>4</v>
      </c>
      <c r="AM82" s="33">
        <f t="shared" si="27"/>
        <v>25</v>
      </c>
      <c r="AN82" s="63">
        <f t="shared" si="28"/>
        <v>168</v>
      </c>
      <c r="AO82" s="63">
        <f t="shared" si="29"/>
        <v>1</v>
      </c>
      <c r="AP82" s="63">
        <f t="shared" si="30"/>
        <v>4</v>
      </c>
      <c r="AQ82" s="53">
        <f t="shared" si="31"/>
        <v>24.5</v>
      </c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</row>
    <row r="83" spans="1:56" x14ac:dyDescent="0.35"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</row>
    <row r="84" spans="1:56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</row>
    <row r="85" spans="1:56" ht="22" customHeight="1" x14ac:dyDescent="0.35">
      <c r="A85" s="8" t="s">
        <v>192</v>
      </c>
      <c r="B85" s="8" t="s">
        <v>193</v>
      </c>
      <c r="C85" s="8" t="s">
        <v>194</v>
      </c>
      <c r="D85" s="22" t="s">
        <v>5</v>
      </c>
      <c r="E85" s="23" t="s">
        <v>7</v>
      </c>
      <c r="F85" s="24" t="s">
        <v>9</v>
      </c>
      <c r="G85" s="26" t="s">
        <v>3</v>
      </c>
      <c r="H85" s="26" t="s">
        <v>3</v>
      </c>
      <c r="I85" s="26" t="s">
        <v>3</v>
      </c>
      <c r="J85" s="26" t="s">
        <v>3</v>
      </c>
      <c r="K85" s="26" t="s">
        <v>3</v>
      </c>
      <c r="L85" s="27" t="s">
        <v>7</v>
      </c>
      <c r="M85" s="24" t="s">
        <v>9</v>
      </c>
      <c r="N85" s="26" t="s">
        <v>3</v>
      </c>
      <c r="O85" s="26" t="s">
        <v>3</v>
      </c>
      <c r="P85" s="26" t="s">
        <v>3</v>
      </c>
      <c r="Q85" s="26" t="s">
        <v>3</v>
      </c>
      <c r="R85" s="22" t="s">
        <v>5</v>
      </c>
      <c r="S85" s="23" t="s">
        <v>7</v>
      </c>
      <c r="T85" s="24" t="s">
        <v>9</v>
      </c>
      <c r="U85" s="26" t="s">
        <v>3</v>
      </c>
      <c r="V85" s="26" t="s">
        <v>3</v>
      </c>
      <c r="W85" s="26" t="s">
        <v>3</v>
      </c>
      <c r="X85" s="26" t="s">
        <v>3</v>
      </c>
      <c r="Y85" s="26" t="s">
        <v>3</v>
      </c>
      <c r="Z85" s="23" t="s">
        <v>7</v>
      </c>
      <c r="AA85" s="28" t="s">
        <v>11</v>
      </c>
      <c r="AB85" s="26" t="s">
        <v>3</v>
      </c>
      <c r="AC85" s="26" t="s">
        <v>3</v>
      </c>
      <c r="AD85" s="26" t="s">
        <v>3</v>
      </c>
      <c r="AE85" s="26" t="s">
        <v>3</v>
      </c>
      <c r="AF85" s="26" t="s">
        <v>3</v>
      </c>
      <c r="AG85" s="23" t="s">
        <v>7</v>
      </c>
      <c r="AH85" s="24" t="s">
        <v>9</v>
      </c>
      <c r="AI85" s="8">
        <f>COUNTIF(D85:AH85,"ON")</f>
        <v>19</v>
      </c>
      <c r="AJ85" s="8">
        <f>COUNTIF(D85:AH85,"OFF")</f>
        <v>2</v>
      </c>
      <c r="AK85" s="29">
        <f>COUNTIF(D85:AH85,"OT")</f>
        <v>1</v>
      </c>
      <c r="AL85" s="62">
        <v>1</v>
      </c>
      <c r="AM85" s="33">
        <f>AI85+AK85+AL85*0.5</f>
        <v>20.5</v>
      </c>
      <c r="AN85" s="63">
        <f>NETWORKDAYS(DATE(2025,8,1),EOMONTH(DATE(2025,8,1),0))*8</f>
        <v>168</v>
      </c>
      <c r="AO85" s="63">
        <f>MAX(0,COUNTIF(D85,"ON")+COUNTIF(K85,"ON")+COUNTIF(R85,"ON")+COUNTIF(Y85,"ON")+COUNTIF(AF85,"ON")-AL85)</f>
        <v>2</v>
      </c>
      <c r="AP85" s="63">
        <f>AO85*$AP$2</f>
        <v>8</v>
      </c>
      <c r="AQ85" s="53">
        <f>AM85-AP85/8</f>
        <v>19.5</v>
      </c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</row>
    <row r="86" spans="1:56" ht="22" customHeight="1" x14ac:dyDescent="0.35">
      <c r="A86" s="8" t="s">
        <v>195</v>
      </c>
      <c r="B86" s="8" t="s">
        <v>196</v>
      </c>
      <c r="C86" s="8" t="s">
        <v>194</v>
      </c>
      <c r="D86" s="22" t="s">
        <v>5</v>
      </c>
      <c r="E86" s="23" t="s">
        <v>7</v>
      </c>
      <c r="F86" s="24" t="s">
        <v>9</v>
      </c>
      <c r="G86" s="22" t="s">
        <v>5</v>
      </c>
      <c r="H86" s="26" t="s">
        <v>3</v>
      </c>
      <c r="I86" s="26" t="s">
        <v>3</v>
      </c>
      <c r="J86" s="26" t="s">
        <v>3</v>
      </c>
      <c r="K86" s="26" t="s">
        <v>3</v>
      </c>
      <c r="L86" s="23" t="s">
        <v>7</v>
      </c>
      <c r="M86" s="28" t="s">
        <v>11</v>
      </c>
      <c r="N86" s="26" t="s">
        <v>3</v>
      </c>
      <c r="O86" s="26" t="s">
        <v>3</v>
      </c>
      <c r="P86" s="26" t="s">
        <v>3</v>
      </c>
      <c r="Q86" s="26" t="s">
        <v>3</v>
      </c>
      <c r="R86" s="22" t="s">
        <v>5</v>
      </c>
      <c r="S86" s="23" t="s">
        <v>7</v>
      </c>
      <c r="T86" s="24" t="s">
        <v>9</v>
      </c>
      <c r="U86" s="26" t="s">
        <v>3</v>
      </c>
      <c r="V86" s="26" t="s">
        <v>3</v>
      </c>
      <c r="W86" s="26" t="s">
        <v>3</v>
      </c>
      <c r="X86" s="26" t="s">
        <v>3</v>
      </c>
      <c r="Y86" s="26" t="s">
        <v>3</v>
      </c>
      <c r="Z86" s="27" t="s">
        <v>7</v>
      </c>
      <c r="AA86" s="24" t="s">
        <v>9</v>
      </c>
      <c r="AB86" s="26" t="s">
        <v>3</v>
      </c>
      <c r="AC86" s="26" t="s">
        <v>3</v>
      </c>
      <c r="AD86" s="26" t="s">
        <v>3</v>
      </c>
      <c r="AE86" s="26" t="s">
        <v>3</v>
      </c>
      <c r="AF86" s="26" t="s">
        <v>3</v>
      </c>
      <c r="AG86" s="23" t="s">
        <v>7</v>
      </c>
      <c r="AH86" s="24" t="s">
        <v>9</v>
      </c>
      <c r="AI86" s="8">
        <f>COUNTIF(D86:AH86,"ON")</f>
        <v>18</v>
      </c>
      <c r="AJ86" s="8">
        <f>COUNTIF(D86:AH86,"OFF")</f>
        <v>3</v>
      </c>
      <c r="AK86" s="29">
        <f>COUNTIF(D86:AH86,"OT")</f>
        <v>1</v>
      </c>
      <c r="AL86" s="62">
        <v>1</v>
      </c>
      <c r="AM86" s="33">
        <f>AI86+AK86+AL86*0.5</f>
        <v>19.5</v>
      </c>
      <c r="AN86" s="63">
        <f>NETWORKDAYS(DATE(2025,8,1),EOMONTH(DATE(2025,8,1),0))*8</f>
        <v>168</v>
      </c>
      <c r="AO86" s="63">
        <f>MAX(0,COUNTIF(D86,"ON")+COUNTIF(K86,"ON")+COUNTIF(R86,"ON")+COUNTIF(Y86,"ON")+COUNTIF(AF86,"ON")-AL86)</f>
        <v>2</v>
      </c>
      <c r="AP86" s="63">
        <f>AO86*$AP$2</f>
        <v>8</v>
      </c>
      <c r="AQ86" s="53">
        <f>AM86-AP86/8</f>
        <v>18.5</v>
      </c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</row>
    <row r="87" spans="1:56" ht="22" customHeight="1" x14ac:dyDescent="0.35">
      <c r="A87" s="8" t="s">
        <v>197</v>
      </c>
      <c r="B87" s="8" t="s">
        <v>198</v>
      </c>
      <c r="C87" s="8" t="s">
        <v>194</v>
      </c>
      <c r="D87" s="26" t="s">
        <v>3</v>
      </c>
      <c r="E87" s="27" t="s">
        <v>7</v>
      </c>
      <c r="F87" s="24" t="s">
        <v>9</v>
      </c>
      <c r="G87" s="26" t="s">
        <v>3</v>
      </c>
      <c r="H87" s="26" t="s">
        <v>3</v>
      </c>
      <c r="I87" s="26" t="s">
        <v>3</v>
      </c>
      <c r="J87" s="26" t="s">
        <v>3</v>
      </c>
      <c r="K87" s="22" t="s">
        <v>5</v>
      </c>
      <c r="L87" s="23" t="s">
        <v>7</v>
      </c>
      <c r="M87" s="24" t="s">
        <v>9</v>
      </c>
      <c r="N87" s="26" t="s">
        <v>3</v>
      </c>
      <c r="O87" s="26" t="s">
        <v>3</v>
      </c>
      <c r="P87" s="26" t="s">
        <v>3</v>
      </c>
      <c r="Q87" s="26" t="s">
        <v>3</v>
      </c>
      <c r="R87" s="26" t="s">
        <v>3</v>
      </c>
      <c r="S87" s="27" t="s">
        <v>7</v>
      </c>
      <c r="T87" s="24" t="s">
        <v>9</v>
      </c>
      <c r="U87" s="26" t="s">
        <v>3</v>
      </c>
      <c r="V87" s="26" t="s">
        <v>3</v>
      </c>
      <c r="W87" s="26" t="s">
        <v>3</v>
      </c>
      <c r="X87" s="26" t="s">
        <v>3</v>
      </c>
      <c r="Y87" s="22" t="s">
        <v>5</v>
      </c>
      <c r="Z87" s="23" t="s">
        <v>7</v>
      </c>
      <c r="AA87" s="24" t="s">
        <v>9</v>
      </c>
      <c r="AB87" s="26" t="s">
        <v>3</v>
      </c>
      <c r="AC87" s="26" t="s">
        <v>3</v>
      </c>
      <c r="AD87" s="26" t="s">
        <v>3</v>
      </c>
      <c r="AE87" s="26" t="s">
        <v>3</v>
      </c>
      <c r="AF87" s="26" t="s">
        <v>3</v>
      </c>
      <c r="AG87" s="27" t="s">
        <v>7</v>
      </c>
      <c r="AH87" s="24" t="s">
        <v>9</v>
      </c>
      <c r="AI87" s="8">
        <f>COUNTIF(D87:AH87,"ON")</f>
        <v>19</v>
      </c>
      <c r="AJ87" s="8">
        <f>COUNTIF(D87:AH87,"OFF")</f>
        <v>2</v>
      </c>
      <c r="AK87" s="8">
        <f>COUNTIF(D87:AH87,"OT")</f>
        <v>0</v>
      </c>
      <c r="AL87" s="62">
        <v>3</v>
      </c>
      <c r="AM87" s="33">
        <f>AI87+AK87+AL87*0.5</f>
        <v>20.5</v>
      </c>
      <c r="AN87" s="63">
        <f>NETWORKDAYS(DATE(2025,8,1),EOMONTH(DATE(2025,8,1),0))*8</f>
        <v>168</v>
      </c>
      <c r="AO87" s="63">
        <f>MAX(0,COUNTIF(D87,"ON")+COUNTIF(K87,"ON")+COUNTIF(R87,"ON")+COUNTIF(Y87,"ON")+COUNTIF(AF87,"ON")-AL87)</f>
        <v>0</v>
      </c>
      <c r="AP87" s="63">
        <f>AO87*$AP$2</f>
        <v>0</v>
      </c>
      <c r="AQ87" s="53">
        <f>AM87-AP87/8</f>
        <v>20.5</v>
      </c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</row>
    <row r="88" spans="1:56" ht="22" customHeight="1" x14ac:dyDescent="0.35">
      <c r="A88" s="8" t="s">
        <v>199</v>
      </c>
      <c r="B88" s="8" t="s">
        <v>200</v>
      </c>
      <c r="C88" s="8" t="s">
        <v>194</v>
      </c>
      <c r="D88" s="26" t="s">
        <v>3</v>
      </c>
      <c r="E88" s="23" t="s">
        <v>7</v>
      </c>
      <c r="F88" s="28" t="s">
        <v>11</v>
      </c>
      <c r="G88" s="26" t="s">
        <v>3</v>
      </c>
      <c r="H88" s="26" t="s">
        <v>3</v>
      </c>
      <c r="I88" s="26" t="s">
        <v>3</v>
      </c>
      <c r="J88" s="26" t="s">
        <v>3</v>
      </c>
      <c r="K88" s="22" t="s">
        <v>5</v>
      </c>
      <c r="L88" s="23" t="s">
        <v>7</v>
      </c>
      <c r="M88" s="24" t="s">
        <v>9</v>
      </c>
      <c r="N88" s="26" t="s">
        <v>3</v>
      </c>
      <c r="O88" s="26" t="s">
        <v>3</v>
      </c>
      <c r="P88" s="26" t="s">
        <v>3</v>
      </c>
      <c r="Q88" s="26" t="s">
        <v>3</v>
      </c>
      <c r="R88" s="26" t="s">
        <v>3</v>
      </c>
      <c r="S88" s="23" t="s">
        <v>7</v>
      </c>
      <c r="T88" s="28" t="s">
        <v>11</v>
      </c>
      <c r="U88" s="26" t="s">
        <v>3</v>
      </c>
      <c r="V88" s="26" t="s">
        <v>3</v>
      </c>
      <c r="W88" s="26" t="s">
        <v>3</v>
      </c>
      <c r="X88" s="26" t="s">
        <v>3</v>
      </c>
      <c r="Y88" s="22" t="s">
        <v>5</v>
      </c>
      <c r="Z88" s="23" t="s">
        <v>7</v>
      </c>
      <c r="AA88" s="24" t="s">
        <v>9</v>
      </c>
      <c r="AB88" s="26" t="s">
        <v>3</v>
      </c>
      <c r="AC88" s="26" t="s">
        <v>3</v>
      </c>
      <c r="AD88" s="26" t="s">
        <v>3</v>
      </c>
      <c r="AE88" s="22" t="s">
        <v>5</v>
      </c>
      <c r="AF88" s="26" t="s">
        <v>3</v>
      </c>
      <c r="AG88" s="23" t="s">
        <v>7</v>
      </c>
      <c r="AH88" s="28" t="s">
        <v>11</v>
      </c>
      <c r="AI88" s="8">
        <f>COUNTIF(D88:AH88,"ON")</f>
        <v>18</v>
      </c>
      <c r="AJ88" s="8">
        <f>COUNTIF(D88:AH88,"OFF")</f>
        <v>3</v>
      </c>
      <c r="AK88" s="29">
        <f>COUNTIF(D88:AH88,"OT")</f>
        <v>3</v>
      </c>
      <c r="AL88" s="62">
        <v>0</v>
      </c>
      <c r="AM88" s="33">
        <f>AI88+AK88+AL88*0.5</f>
        <v>21</v>
      </c>
      <c r="AN88" s="63">
        <f>NETWORKDAYS(DATE(2025,8,1),EOMONTH(DATE(2025,8,1),0))*8</f>
        <v>168</v>
      </c>
      <c r="AO88" s="63">
        <f>MAX(0,COUNTIF(D88,"ON")+COUNTIF(K88,"ON")+COUNTIF(R88,"ON")+COUNTIF(Y88,"ON")+COUNTIF(AF88,"ON")-AL88)</f>
        <v>3</v>
      </c>
      <c r="AP88" s="63">
        <f>AO88*$AP$2</f>
        <v>12</v>
      </c>
      <c r="AQ88" s="53">
        <f>AM88-AP88/8</f>
        <v>19.5</v>
      </c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</row>
    <row r="89" spans="1:56" ht="22" customHeight="1" x14ac:dyDescent="0.35">
      <c r="A89" s="8" t="s">
        <v>201</v>
      </c>
      <c r="B89" s="8" t="s">
        <v>202</v>
      </c>
      <c r="C89" s="8" t="s">
        <v>194</v>
      </c>
      <c r="D89" s="22" t="s">
        <v>5</v>
      </c>
      <c r="E89" s="23" t="s">
        <v>7</v>
      </c>
      <c r="F89" s="24" t="s">
        <v>9</v>
      </c>
      <c r="G89" s="22" t="s">
        <v>5</v>
      </c>
      <c r="H89" s="22" t="s">
        <v>5</v>
      </c>
      <c r="I89" s="22" t="s">
        <v>5</v>
      </c>
      <c r="J89" s="22" t="s">
        <v>5</v>
      </c>
      <c r="K89" s="22" t="s">
        <v>5</v>
      </c>
      <c r="L89" s="23" t="s">
        <v>7</v>
      </c>
      <c r="M89" s="24" t="s">
        <v>9</v>
      </c>
      <c r="N89" s="22" t="s">
        <v>5</v>
      </c>
      <c r="O89" s="22" t="s">
        <v>5</v>
      </c>
      <c r="P89" s="22" t="s">
        <v>5</v>
      </c>
      <c r="Q89" s="22" t="s">
        <v>5</v>
      </c>
      <c r="R89" s="22" t="s">
        <v>5</v>
      </c>
      <c r="S89" s="23" t="s">
        <v>7</v>
      </c>
      <c r="T89" s="24" t="s">
        <v>9</v>
      </c>
      <c r="U89" s="22" t="s">
        <v>5</v>
      </c>
      <c r="V89" s="22" t="s">
        <v>5</v>
      </c>
      <c r="W89" s="22" t="s">
        <v>5</v>
      </c>
      <c r="X89" s="22" t="s">
        <v>5</v>
      </c>
      <c r="Y89" s="22" t="s">
        <v>5</v>
      </c>
      <c r="Z89" s="23" t="s">
        <v>7</v>
      </c>
      <c r="AA89" s="24" t="s">
        <v>9</v>
      </c>
      <c r="AB89" s="22" t="s">
        <v>5</v>
      </c>
      <c r="AC89" s="22" t="s">
        <v>5</v>
      </c>
      <c r="AD89" s="22" t="s">
        <v>5</v>
      </c>
      <c r="AE89" s="22" t="s">
        <v>5</v>
      </c>
      <c r="AF89" s="22" t="s">
        <v>5</v>
      </c>
      <c r="AG89" s="23" t="s">
        <v>7</v>
      </c>
      <c r="AH89" s="24" t="s">
        <v>9</v>
      </c>
      <c r="AI89" s="8">
        <f>COUNTIF(D89:AH89,"ON")</f>
        <v>0</v>
      </c>
      <c r="AJ89" s="25">
        <f>COUNTIF(D89:AH89,"OFF")</f>
        <v>21</v>
      </c>
      <c r="AK89" s="8">
        <f>COUNTIF(D89:AH89,"OT")</f>
        <v>0</v>
      </c>
      <c r="AL89" s="62">
        <v>0</v>
      </c>
      <c r="AM89" s="33">
        <f>AI89+AK89+AL89*0.5</f>
        <v>0</v>
      </c>
      <c r="AN89" s="63">
        <f>NETWORKDAYS(DATE(2025,8,1),EOMONTH(DATE(2025,8,1),0))*8</f>
        <v>168</v>
      </c>
      <c r="AO89" s="63">
        <f>MAX(0,COUNTIF(D89,"ON")+COUNTIF(K89,"ON")+COUNTIF(R89,"ON")+COUNTIF(Y89,"ON")+COUNTIF(AF89,"ON")-AL89)</f>
        <v>0</v>
      </c>
      <c r="AP89" s="63">
        <f>AO89*$AP$2</f>
        <v>0</v>
      </c>
      <c r="AQ89" s="53">
        <f>AM89-AP89/8</f>
        <v>0</v>
      </c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</row>
    <row r="90" spans="1:56" x14ac:dyDescent="0.35"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</row>
    <row r="91" spans="1:56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</row>
    <row r="92" spans="1:56" ht="22" customHeight="1" x14ac:dyDescent="0.35">
      <c r="A92" s="8" t="s">
        <v>204</v>
      </c>
      <c r="B92" s="8" t="s">
        <v>205</v>
      </c>
      <c r="C92" s="8" t="s">
        <v>206</v>
      </c>
      <c r="D92" s="22" t="s">
        <v>5</v>
      </c>
      <c r="E92" s="23" t="s">
        <v>7</v>
      </c>
      <c r="F92" s="24" t="s">
        <v>9</v>
      </c>
      <c r="G92" s="26" t="s">
        <v>3</v>
      </c>
      <c r="H92" s="26" t="s">
        <v>3</v>
      </c>
      <c r="I92" s="22" t="s">
        <v>5</v>
      </c>
      <c r="J92" s="26" t="s">
        <v>3</v>
      </c>
      <c r="K92" s="22" t="s">
        <v>5</v>
      </c>
      <c r="L92" s="23" t="s">
        <v>7</v>
      </c>
      <c r="M92" s="24" t="s">
        <v>9</v>
      </c>
      <c r="N92" s="26" t="s">
        <v>3</v>
      </c>
      <c r="O92" s="26" t="s">
        <v>3</v>
      </c>
      <c r="P92" s="26" t="s">
        <v>3</v>
      </c>
      <c r="Q92" s="26" t="s">
        <v>3</v>
      </c>
      <c r="R92" s="26" t="s">
        <v>3</v>
      </c>
      <c r="S92" s="23" t="s">
        <v>7</v>
      </c>
      <c r="T92" s="24" t="s">
        <v>9</v>
      </c>
      <c r="U92" s="26" t="s">
        <v>3</v>
      </c>
      <c r="V92" s="26" t="s">
        <v>3</v>
      </c>
      <c r="W92" s="26" t="s">
        <v>3</v>
      </c>
      <c r="X92" s="26" t="s">
        <v>3</v>
      </c>
      <c r="Y92" s="26" t="s">
        <v>3</v>
      </c>
      <c r="Z92" s="23" t="s">
        <v>7</v>
      </c>
      <c r="AA92" s="24" t="s">
        <v>9</v>
      </c>
      <c r="AB92" s="26" t="s">
        <v>3</v>
      </c>
      <c r="AC92" s="26" t="s">
        <v>3</v>
      </c>
      <c r="AD92" s="26" t="s">
        <v>3</v>
      </c>
      <c r="AE92" s="26" t="s">
        <v>3</v>
      </c>
      <c r="AF92" s="26" t="s">
        <v>3</v>
      </c>
      <c r="AG92" s="23" t="s">
        <v>7</v>
      </c>
      <c r="AH92" s="24" t="s">
        <v>9</v>
      </c>
      <c r="AI92" s="8">
        <f>COUNTIF(D92:AH92,"ON")</f>
        <v>18</v>
      </c>
      <c r="AJ92" s="8">
        <f>COUNTIF(D92:AH92,"OFF")</f>
        <v>3</v>
      </c>
      <c r="AK92" s="8">
        <f>COUNTIF(D92:AH92,"OT")</f>
        <v>0</v>
      </c>
      <c r="AL92" s="62">
        <v>0</v>
      </c>
      <c r="AM92" s="33">
        <f>AI92+AK92+AL92*0.5</f>
        <v>18</v>
      </c>
      <c r="AN92" s="63">
        <f>NETWORKDAYS(DATE(2025,8,1),EOMONTH(DATE(2025,8,1),0))*8</f>
        <v>168</v>
      </c>
      <c r="AO92" s="63">
        <f>MAX(0,COUNTIF(D92,"ON")+COUNTIF(K92,"ON")+COUNTIF(R92,"ON")+COUNTIF(Y92,"ON")+COUNTIF(AF92,"ON")-AL92)</f>
        <v>3</v>
      </c>
      <c r="AP92" s="63">
        <f>AO92*$AP$2</f>
        <v>12</v>
      </c>
      <c r="AQ92" s="53">
        <f>AM92-AP92/8</f>
        <v>16.5</v>
      </c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</row>
    <row r="93" spans="1:56" ht="22" customHeight="1" x14ac:dyDescent="0.35">
      <c r="A93" s="8" t="s">
        <v>207</v>
      </c>
      <c r="B93" s="8" t="s">
        <v>208</v>
      </c>
      <c r="C93" s="8" t="s">
        <v>206</v>
      </c>
      <c r="D93" s="26" t="s">
        <v>3</v>
      </c>
      <c r="E93" s="27" t="s">
        <v>7</v>
      </c>
      <c r="F93" s="24" t="s">
        <v>9</v>
      </c>
      <c r="G93" s="26" t="s">
        <v>3</v>
      </c>
      <c r="H93" s="26" t="s">
        <v>3</v>
      </c>
      <c r="I93" s="26" t="s">
        <v>3</v>
      </c>
      <c r="J93" s="26" t="s">
        <v>3</v>
      </c>
      <c r="K93" s="22" t="s">
        <v>5</v>
      </c>
      <c r="L93" s="23" t="s">
        <v>7</v>
      </c>
      <c r="M93" s="24" t="s">
        <v>9</v>
      </c>
      <c r="N93" s="26" t="s">
        <v>3</v>
      </c>
      <c r="O93" s="26" t="s">
        <v>3</v>
      </c>
      <c r="P93" s="26" t="s">
        <v>3</v>
      </c>
      <c r="Q93" s="26" t="s">
        <v>3</v>
      </c>
      <c r="R93" s="26" t="s">
        <v>3</v>
      </c>
      <c r="S93" s="27" t="s">
        <v>7</v>
      </c>
      <c r="T93" s="24" t="s">
        <v>9</v>
      </c>
      <c r="U93" s="26" t="s">
        <v>3</v>
      </c>
      <c r="V93" s="26" t="s">
        <v>3</v>
      </c>
      <c r="W93" s="26" t="s">
        <v>3</v>
      </c>
      <c r="X93" s="26" t="s">
        <v>3</v>
      </c>
      <c r="Y93" s="22" t="s">
        <v>5</v>
      </c>
      <c r="Z93" s="23" t="s">
        <v>7</v>
      </c>
      <c r="AA93" s="24" t="s">
        <v>9</v>
      </c>
      <c r="AB93" s="26" t="s">
        <v>3</v>
      </c>
      <c r="AC93" s="26" t="s">
        <v>3</v>
      </c>
      <c r="AD93" s="26" t="s">
        <v>3</v>
      </c>
      <c r="AE93" s="26" t="s">
        <v>3</v>
      </c>
      <c r="AF93" s="26" t="s">
        <v>3</v>
      </c>
      <c r="AG93" s="27" t="s">
        <v>7</v>
      </c>
      <c r="AH93" s="24" t="s">
        <v>9</v>
      </c>
      <c r="AI93" s="8">
        <f>COUNTIF(D93:AH93,"ON")</f>
        <v>19</v>
      </c>
      <c r="AJ93" s="8">
        <f>COUNTIF(D93:AH93,"OFF")</f>
        <v>2</v>
      </c>
      <c r="AK93" s="8">
        <f>COUNTIF(D93:AH93,"OT")</f>
        <v>0</v>
      </c>
      <c r="AL93" s="62">
        <v>3</v>
      </c>
      <c r="AM93" s="33">
        <f>AI93+AK93+AL93*0.5</f>
        <v>20.5</v>
      </c>
      <c r="AN93" s="63">
        <f>NETWORKDAYS(DATE(2025,8,1),EOMONTH(DATE(2025,8,1),0))*8</f>
        <v>168</v>
      </c>
      <c r="AO93" s="63">
        <f>MAX(0,COUNTIF(D93,"ON")+COUNTIF(K93,"ON")+COUNTIF(R93,"ON")+COUNTIF(Y93,"ON")+COUNTIF(AF93,"ON")-AL93)</f>
        <v>0</v>
      </c>
      <c r="AP93" s="63">
        <f>AO93*$AP$2</f>
        <v>0</v>
      </c>
      <c r="AQ93" s="53">
        <f>AM93-AP93/8</f>
        <v>20.5</v>
      </c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</row>
    <row r="94" spans="1:56" ht="22" customHeight="1" x14ac:dyDescent="0.35">
      <c r="A94" s="8" t="s">
        <v>209</v>
      </c>
      <c r="B94" s="8" t="s">
        <v>210</v>
      </c>
      <c r="C94" s="8" t="s">
        <v>206</v>
      </c>
      <c r="D94" s="26" t="s">
        <v>3</v>
      </c>
      <c r="E94" s="23" t="s">
        <v>7</v>
      </c>
      <c r="F94" s="24" t="s">
        <v>9</v>
      </c>
      <c r="G94" s="26" t="s">
        <v>3</v>
      </c>
      <c r="H94" s="26" t="s">
        <v>3</v>
      </c>
      <c r="I94" s="26" t="s">
        <v>3</v>
      </c>
      <c r="J94" s="26" t="s">
        <v>3</v>
      </c>
      <c r="K94" s="26" t="s">
        <v>3</v>
      </c>
      <c r="L94" s="23" t="s">
        <v>7</v>
      </c>
      <c r="M94" s="24" t="s">
        <v>9</v>
      </c>
      <c r="N94" s="22" t="s">
        <v>5</v>
      </c>
      <c r="O94" s="22" t="s">
        <v>5</v>
      </c>
      <c r="P94" s="22" t="s">
        <v>5</v>
      </c>
      <c r="Q94" s="22" t="s">
        <v>5</v>
      </c>
      <c r="R94" s="22" t="s">
        <v>5</v>
      </c>
      <c r="S94" s="23" t="s">
        <v>7</v>
      </c>
      <c r="T94" s="24" t="s">
        <v>9</v>
      </c>
      <c r="U94" s="22" t="s">
        <v>5</v>
      </c>
      <c r="V94" s="22" t="s">
        <v>5</v>
      </c>
      <c r="W94" s="22" t="s">
        <v>5</v>
      </c>
      <c r="X94" s="22" t="s">
        <v>5</v>
      </c>
      <c r="Y94" s="22" t="s">
        <v>5</v>
      </c>
      <c r="Z94" s="23" t="s">
        <v>7</v>
      </c>
      <c r="AA94" s="24" t="s">
        <v>9</v>
      </c>
      <c r="AB94" s="22" t="s">
        <v>5</v>
      </c>
      <c r="AC94" s="22" t="s">
        <v>5</v>
      </c>
      <c r="AD94" s="22" t="s">
        <v>5</v>
      </c>
      <c r="AE94" s="26" t="s">
        <v>3</v>
      </c>
      <c r="AF94" s="22" t="s">
        <v>5</v>
      </c>
      <c r="AG94" s="23" t="s">
        <v>7</v>
      </c>
      <c r="AH94" s="24" t="s">
        <v>9</v>
      </c>
      <c r="AI94" s="8">
        <f>COUNTIF(D94:AH94,"ON")</f>
        <v>7</v>
      </c>
      <c r="AJ94" s="25">
        <f>COUNTIF(D94:AH94,"OFF")</f>
        <v>14</v>
      </c>
      <c r="AK94" s="8">
        <f>COUNTIF(D94:AH94,"OT")</f>
        <v>0</v>
      </c>
      <c r="AL94" s="62">
        <v>0</v>
      </c>
      <c r="AM94" s="33">
        <f>AI94+AK94+AL94*0.5</f>
        <v>7</v>
      </c>
      <c r="AN94" s="63">
        <f>NETWORKDAYS(DATE(2025,8,1),EOMONTH(DATE(2025,8,1),0))*8</f>
        <v>168</v>
      </c>
      <c r="AO94" s="63">
        <f>MAX(0,COUNTIF(D94,"ON")+COUNTIF(K94,"ON")+COUNTIF(R94,"ON")+COUNTIF(Y94,"ON")+COUNTIF(AF94,"ON")-AL94)</f>
        <v>2</v>
      </c>
      <c r="AP94" s="63">
        <f>AO94*$AP$2</f>
        <v>8</v>
      </c>
      <c r="AQ94" s="53">
        <f>AM94-AP94/8</f>
        <v>6</v>
      </c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</row>
    <row r="95" spans="1:56" ht="22" customHeight="1" x14ac:dyDescent="0.35">
      <c r="A95" s="8" t="s">
        <v>211</v>
      </c>
      <c r="B95" s="8" t="s">
        <v>212</v>
      </c>
      <c r="C95" s="8" t="s">
        <v>206</v>
      </c>
      <c r="D95" s="22" t="s">
        <v>5</v>
      </c>
      <c r="E95" s="23" t="s">
        <v>7</v>
      </c>
      <c r="F95" s="24" t="s">
        <v>9</v>
      </c>
      <c r="G95" s="22" t="s">
        <v>5</v>
      </c>
      <c r="H95" s="22" t="s">
        <v>5</v>
      </c>
      <c r="I95" s="26" t="s">
        <v>3</v>
      </c>
      <c r="J95" s="26" t="s">
        <v>3</v>
      </c>
      <c r="K95" s="26" t="s">
        <v>3</v>
      </c>
      <c r="L95" s="27" t="s">
        <v>7</v>
      </c>
      <c r="M95" s="24" t="s">
        <v>9</v>
      </c>
      <c r="N95" s="26" t="s">
        <v>3</v>
      </c>
      <c r="O95" s="26" t="s">
        <v>3</v>
      </c>
      <c r="P95" s="26" t="s">
        <v>3</v>
      </c>
      <c r="Q95" s="26" t="s">
        <v>3</v>
      </c>
      <c r="R95" s="22" t="s">
        <v>5</v>
      </c>
      <c r="S95" s="23" t="s">
        <v>7</v>
      </c>
      <c r="T95" s="24" t="s">
        <v>9</v>
      </c>
      <c r="U95" s="26" t="s">
        <v>3</v>
      </c>
      <c r="V95" s="26" t="s">
        <v>3</v>
      </c>
      <c r="W95" s="26" t="s">
        <v>3</v>
      </c>
      <c r="X95" s="26" t="s">
        <v>3</v>
      </c>
      <c r="Y95" s="26" t="s">
        <v>3</v>
      </c>
      <c r="Z95" s="27" t="s">
        <v>7</v>
      </c>
      <c r="AA95" s="24" t="s">
        <v>9</v>
      </c>
      <c r="AB95" s="26" t="s">
        <v>3</v>
      </c>
      <c r="AC95" s="26" t="s">
        <v>3</v>
      </c>
      <c r="AD95" s="26" t="s">
        <v>3</v>
      </c>
      <c r="AE95" s="26" t="s">
        <v>3</v>
      </c>
      <c r="AF95" s="26" t="s">
        <v>3</v>
      </c>
      <c r="AG95" s="23" t="s">
        <v>7</v>
      </c>
      <c r="AH95" s="24" t="s">
        <v>9</v>
      </c>
      <c r="AI95" s="8">
        <f>COUNTIF(D95:AH95,"ON")</f>
        <v>17</v>
      </c>
      <c r="AJ95" s="8">
        <f>COUNTIF(D95:AH95,"OFF")</f>
        <v>4</v>
      </c>
      <c r="AK95" s="8">
        <f>COUNTIF(D95:AH95,"OT")</f>
        <v>0</v>
      </c>
      <c r="AL95" s="62">
        <v>2</v>
      </c>
      <c r="AM95" s="33">
        <f>AI95+AK95+AL95*0.5</f>
        <v>18</v>
      </c>
      <c r="AN95" s="63">
        <f>NETWORKDAYS(DATE(2025,8,1),EOMONTH(DATE(2025,8,1),0))*8</f>
        <v>168</v>
      </c>
      <c r="AO95" s="63">
        <f>MAX(0,COUNTIF(D95,"ON")+COUNTIF(K95,"ON")+COUNTIF(R95,"ON")+COUNTIF(Y95,"ON")+COUNTIF(AF95,"ON")-AL95)</f>
        <v>1</v>
      </c>
      <c r="AP95" s="63">
        <f>AO95*$AP$2</f>
        <v>4</v>
      </c>
      <c r="AQ95" s="53">
        <f>AM95-AP95/8</f>
        <v>17.5</v>
      </c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</row>
    <row r="96" spans="1:56" x14ac:dyDescent="0.35"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</row>
    <row r="97" spans="1:56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</row>
    <row r="98" spans="1:56" ht="22" customHeight="1" x14ac:dyDescent="0.35">
      <c r="A98" s="8" t="s">
        <v>214</v>
      </c>
      <c r="B98" s="8" t="s">
        <v>215</v>
      </c>
      <c r="C98" s="8" t="s">
        <v>216</v>
      </c>
      <c r="D98" s="26" t="s">
        <v>3</v>
      </c>
      <c r="E98" s="23" t="s">
        <v>7</v>
      </c>
      <c r="F98" s="24" t="s">
        <v>9</v>
      </c>
      <c r="G98" s="26" t="s">
        <v>3</v>
      </c>
      <c r="H98" s="26" t="s">
        <v>3</v>
      </c>
      <c r="I98" s="26" t="s">
        <v>3</v>
      </c>
      <c r="J98" s="26" t="s">
        <v>3</v>
      </c>
      <c r="K98" s="26" t="s">
        <v>3</v>
      </c>
      <c r="L98" s="27" t="s">
        <v>7</v>
      </c>
      <c r="M98" s="24" t="s">
        <v>9</v>
      </c>
      <c r="N98" s="26" t="s">
        <v>3</v>
      </c>
      <c r="O98" s="26" t="s">
        <v>3</v>
      </c>
      <c r="P98" s="26" t="s">
        <v>3</v>
      </c>
      <c r="Q98" s="26" t="s">
        <v>3</v>
      </c>
      <c r="R98" s="26" t="s">
        <v>3</v>
      </c>
      <c r="S98" s="23" t="s">
        <v>7</v>
      </c>
      <c r="T98" s="24" t="s">
        <v>9</v>
      </c>
      <c r="U98" s="26" t="s">
        <v>3</v>
      </c>
      <c r="V98" s="26" t="s">
        <v>3</v>
      </c>
      <c r="W98" s="26" t="s">
        <v>3</v>
      </c>
      <c r="X98" s="26" t="s">
        <v>3</v>
      </c>
      <c r="Y98" s="26" t="s">
        <v>3</v>
      </c>
      <c r="Z98" s="23" t="s">
        <v>7</v>
      </c>
      <c r="AA98" s="28" t="s">
        <v>11</v>
      </c>
      <c r="AB98" s="26" t="s">
        <v>3</v>
      </c>
      <c r="AC98" s="26" t="s">
        <v>3</v>
      </c>
      <c r="AD98" s="26" t="s">
        <v>3</v>
      </c>
      <c r="AE98" s="26" t="s">
        <v>3</v>
      </c>
      <c r="AF98" s="26" t="s">
        <v>3</v>
      </c>
      <c r="AG98" s="23" t="s">
        <v>7</v>
      </c>
      <c r="AH98" s="24" t="s">
        <v>9</v>
      </c>
      <c r="AI98" s="8">
        <f t="shared" ref="AI98:AI111" si="32">COUNTIF(D98:AH98,"ON")</f>
        <v>21</v>
      </c>
      <c r="AJ98" s="8">
        <f t="shared" ref="AJ98:AJ111" si="33">COUNTIF(D98:AH98,"OFF")</f>
        <v>0</v>
      </c>
      <c r="AK98" s="29">
        <f t="shared" ref="AK98:AK111" si="34">COUNTIF(D98:AH98,"OT")</f>
        <v>1</v>
      </c>
      <c r="AL98" s="62">
        <v>1</v>
      </c>
      <c r="AM98" s="33">
        <f t="shared" ref="AM98:AM111" si="35">AI98+AK98+AL98*0.5</f>
        <v>22.5</v>
      </c>
      <c r="AN98" s="63">
        <f t="shared" ref="AN98:AN111" si="36">NETWORKDAYS(DATE(2025,8,1),EOMONTH(DATE(2025,8,1),0))*8</f>
        <v>168</v>
      </c>
      <c r="AO98" s="63">
        <f t="shared" ref="AO98:AO111" si="37">MAX(0,COUNTIF(D98,"ON")+COUNTIF(K98,"ON")+COUNTIF(R98,"ON")+COUNTIF(Y98,"ON")+COUNTIF(AF98,"ON")-AL98)</f>
        <v>4</v>
      </c>
      <c r="AP98" s="63">
        <f t="shared" ref="AP98:AP111" si="38">AO98*$AP$2</f>
        <v>16</v>
      </c>
      <c r="AQ98" s="53">
        <f t="shared" ref="AQ98:AQ111" si="39">AM98-AP98/8</f>
        <v>20.5</v>
      </c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</row>
    <row r="99" spans="1:56" ht="22" customHeight="1" x14ac:dyDescent="0.35">
      <c r="A99" s="8" t="s">
        <v>217</v>
      </c>
      <c r="B99" s="8" t="s">
        <v>218</v>
      </c>
      <c r="C99" s="8" t="s">
        <v>216</v>
      </c>
      <c r="D99" s="26" t="s">
        <v>3</v>
      </c>
      <c r="E99" s="23" t="s">
        <v>7</v>
      </c>
      <c r="F99" s="24" t="s">
        <v>9</v>
      </c>
      <c r="G99" s="26" t="s">
        <v>3</v>
      </c>
      <c r="H99" s="26" t="s">
        <v>3</v>
      </c>
      <c r="I99" s="26" t="s">
        <v>3</v>
      </c>
      <c r="J99" s="26" t="s">
        <v>3</v>
      </c>
      <c r="K99" s="26" t="s">
        <v>3</v>
      </c>
      <c r="L99" s="23" t="s">
        <v>7</v>
      </c>
      <c r="M99" s="24" t="s">
        <v>9</v>
      </c>
      <c r="N99" s="26" t="s">
        <v>3</v>
      </c>
      <c r="O99" s="22" t="s">
        <v>5</v>
      </c>
      <c r="P99" s="26" t="s">
        <v>3</v>
      </c>
      <c r="Q99" s="26" t="s">
        <v>3</v>
      </c>
      <c r="R99" s="26" t="s">
        <v>3</v>
      </c>
      <c r="S99" s="27" t="s">
        <v>7</v>
      </c>
      <c r="T99" s="24" t="s">
        <v>9</v>
      </c>
      <c r="U99" s="26" t="s">
        <v>3</v>
      </c>
      <c r="V99" s="26" t="s">
        <v>3</v>
      </c>
      <c r="W99" s="26" t="s">
        <v>3</v>
      </c>
      <c r="X99" s="26" t="s">
        <v>3</v>
      </c>
      <c r="Y99" s="26" t="s">
        <v>3</v>
      </c>
      <c r="Z99" s="27" t="s">
        <v>7</v>
      </c>
      <c r="AA99" s="24" t="s">
        <v>9</v>
      </c>
      <c r="AB99" s="26" t="s">
        <v>3</v>
      </c>
      <c r="AC99" s="22" t="s">
        <v>5</v>
      </c>
      <c r="AD99" s="26" t="s">
        <v>3</v>
      </c>
      <c r="AE99" s="26" t="s">
        <v>3</v>
      </c>
      <c r="AF99" s="26" t="s">
        <v>3</v>
      </c>
      <c r="AG99" s="23" t="s">
        <v>7</v>
      </c>
      <c r="AH99" s="28" t="s">
        <v>11</v>
      </c>
      <c r="AI99" s="8">
        <f t="shared" si="32"/>
        <v>19</v>
      </c>
      <c r="AJ99" s="8">
        <f t="shared" si="33"/>
        <v>2</v>
      </c>
      <c r="AK99" s="29">
        <f t="shared" si="34"/>
        <v>1</v>
      </c>
      <c r="AL99" s="62">
        <v>2</v>
      </c>
      <c r="AM99" s="33">
        <f t="shared" si="35"/>
        <v>21</v>
      </c>
      <c r="AN99" s="63">
        <f t="shared" si="36"/>
        <v>168</v>
      </c>
      <c r="AO99" s="63">
        <f t="shared" si="37"/>
        <v>3</v>
      </c>
      <c r="AP99" s="63">
        <f t="shared" si="38"/>
        <v>12</v>
      </c>
      <c r="AQ99" s="53">
        <f t="shared" si="39"/>
        <v>19.5</v>
      </c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</row>
    <row r="100" spans="1:56" ht="22" customHeight="1" x14ac:dyDescent="0.35">
      <c r="A100" s="8" t="s">
        <v>219</v>
      </c>
      <c r="B100" s="8" t="s">
        <v>220</v>
      </c>
      <c r="C100" s="8" t="s">
        <v>216</v>
      </c>
      <c r="D100" s="22" t="s">
        <v>5</v>
      </c>
      <c r="E100" s="23" t="s">
        <v>7</v>
      </c>
      <c r="F100" s="24" t="s">
        <v>9</v>
      </c>
      <c r="G100" s="26" t="s">
        <v>3</v>
      </c>
      <c r="H100" s="26" t="s">
        <v>3</v>
      </c>
      <c r="I100" s="26" t="s">
        <v>3</v>
      </c>
      <c r="J100" s="26" t="s">
        <v>3</v>
      </c>
      <c r="K100" s="26" t="s">
        <v>3</v>
      </c>
      <c r="L100" s="23" t="s">
        <v>7</v>
      </c>
      <c r="M100" s="24" t="s">
        <v>9</v>
      </c>
      <c r="N100" s="26" t="s">
        <v>3</v>
      </c>
      <c r="O100" s="26" t="s">
        <v>3</v>
      </c>
      <c r="P100" s="26" t="s">
        <v>3</v>
      </c>
      <c r="Q100" s="26" t="s">
        <v>3</v>
      </c>
      <c r="R100" s="26" t="s">
        <v>3</v>
      </c>
      <c r="S100" s="23" t="s">
        <v>7</v>
      </c>
      <c r="T100" s="28" t="s">
        <v>11</v>
      </c>
      <c r="U100" s="26" t="s">
        <v>3</v>
      </c>
      <c r="V100" s="26" t="s">
        <v>3</v>
      </c>
      <c r="W100" s="26" t="s">
        <v>3</v>
      </c>
      <c r="X100" s="26" t="s">
        <v>3</v>
      </c>
      <c r="Y100" s="26" t="s">
        <v>3</v>
      </c>
      <c r="Z100" s="23" t="s">
        <v>7</v>
      </c>
      <c r="AA100" s="28" t="s">
        <v>11</v>
      </c>
      <c r="AB100" s="22" t="s">
        <v>5</v>
      </c>
      <c r="AC100" s="26" t="s">
        <v>3</v>
      </c>
      <c r="AD100" s="26" t="s">
        <v>3</v>
      </c>
      <c r="AE100" s="26" t="s">
        <v>3</v>
      </c>
      <c r="AF100" s="26" t="s">
        <v>3</v>
      </c>
      <c r="AG100" s="23" t="s">
        <v>7</v>
      </c>
      <c r="AH100" s="24" t="s">
        <v>9</v>
      </c>
      <c r="AI100" s="8">
        <f t="shared" si="32"/>
        <v>19</v>
      </c>
      <c r="AJ100" s="8">
        <f t="shared" si="33"/>
        <v>2</v>
      </c>
      <c r="AK100" s="29">
        <f t="shared" si="34"/>
        <v>2</v>
      </c>
      <c r="AL100" s="62">
        <v>0</v>
      </c>
      <c r="AM100" s="33">
        <f t="shared" si="35"/>
        <v>21</v>
      </c>
      <c r="AN100" s="63">
        <f t="shared" si="36"/>
        <v>168</v>
      </c>
      <c r="AO100" s="63">
        <f t="shared" si="37"/>
        <v>4</v>
      </c>
      <c r="AP100" s="63">
        <f t="shared" si="38"/>
        <v>16</v>
      </c>
      <c r="AQ100" s="53">
        <f t="shared" si="39"/>
        <v>19</v>
      </c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</row>
    <row r="101" spans="1:56" ht="22" customHeight="1" x14ac:dyDescent="0.35">
      <c r="A101" s="8" t="s">
        <v>221</v>
      </c>
      <c r="B101" s="8" t="s">
        <v>222</v>
      </c>
      <c r="C101" s="8" t="s">
        <v>216</v>
      </c>
      <c r="D101" s="26" t="s">
        <v>3</v>
      </c>
      <c r="E101" s="23" t="s">
        <v>7</v>
      </c>
      <c r="F101" s="24" t="s">
        <v>9</v>
      </c>
      <c r="G101" s="26" t="s">
        <v>3</v>
      </c>
      <c r="H101" s="26" t="s">
        <v>3</v>
      </c>
      <c r="I101" s="26" t="s">
        <v>3</v>
      </c>
      <c r="J101" s="26" t="s">
        <v>3</v>
      </c>
      <c r="K101" s="26" t="s">
        <v>3</v>
      </c>
      <c r="L101" s="23" t="s">
        <v>7</v>
      </c>
      <c r="M101" s="24" t="s">
        <v>9</v>
      </c>
      <c r="N101" s="22" t="s">
        <v>5</v>
      </c>
      <c r="O101" s="26" t="s">
        <v>3</v>
      </c>
      <c r="P101" s="26" t="s">
        <v>3</v>
      </c>
      <c r="Q101" s="26" t="s">
        <v>3</v>
      </c>
      <c r="R101" s="26" t="s">
        <v>3</v>
      </c>
      <c r="S101" s="23" t="s">
        <v>7</v>
      </c>
      <c r="T101" s="24" t="s">
        <v>9</v>
      </c>
      <c r="U101" s="26" t="s">
        <v>3</v>
      </c>
      <c r="V101" s="26" t="s">
        <v>3</v>
      </c>
      <c r="W101" s="26" t="s">
        <v>3</v>
      </c>
      <c r="X101" s="26" t="s">
        <v>3</v>
      </c>
      <c r="Y101" s="26" t="s">
        <v>3</v>
      </c>
      <c r="Z101" s="23" t="s">
        <v>7</v>
      </c>
      <c r="AA101" s="24" t="s">
        <v>9</v>
      </c>
      <c r="AB101" s="26" t="s">
        <v>3</v>
      </c>
      <c r="AC101" s="26" t="s">
        <v>3</v>
      </c>
      <c r="AD101" s="26" t="s">
        <v>3</v>
      </c>
      <c r="AE101" s="26" t="s">
        <v>3</v>
      </c>
      <c r="AF101" s="26" t="s">
        <v>3</v>
      </c>
      <c r="AG101" s="23" t="s">
        <v>7</v>
      </c>
      <c r="AH101" s="24" t="s">
        <v>9</v>
      </c>
      <c r="AI101" s="8">
        <f t="shared" si="32"/>
        <v>20</v>
      </c>
      <c r="AJ101" s="8">
        <f t="shared" si="33"/>
        <v>1</v>
      </c>
      <c r="AK101" s="8">
        <f t="shared" si="34"/>
        <v>0</v>
      </c>
      <c r="AL101" s="62">
        <v>0</v>
      </c>
      <c r="AM101" s="33">
        <f t="shared" si="35"/>
        <v>20</v>
      </c>
      <c r="AN101" s="63">
        <f t="shared" si="36"/>
        <v>168</v>
      </c>
      <c r="AO101" s="63">
        <f t="shared" si="37"/>
        <v>5</v>
      </c>
      <c r="AP101" s="63">
        <f t="shared" si="38"/>
        <v>20</v>
      </c>
      <c r="AQ101" s="53">
        <f t="shared" si="39"/>
        <v>17.5</v>
      </c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</row>
    <row r="102" spans="1:56" ht="22" customHeight="1" x14ac:dyDescent="0.35">
      <c r="A102" s="8" t="s">
        <v>223</v>
      </c>
      <c r="B102" s="8" t="s">
        <v>224</v>
      </c>
      <c r="C102" s="8" t="s">
        <v>216</v>
      </c>
      <c r="D102" s="26" t="s">
        <v>3</v>
      </c>
      <c r="E102" s="23" t="s">
        <v>7</v>
      </c>
      <c r="F102" s="24" t="s">
        <v>9</v>
      </c>
      <c r="G102" s="26" t="s">
        <v>3</v>
      </c>
      <c r="H102" s="26" t="s">
        <v>3</v>
      </c>
      <c r="I102" s="22" t="s">
        <v>5</v>
      </c>
      <c r="J102" s="26" t="s">
        <v>3</v>
      </c>
      <c r="K102" s="26" t="s">
        <v>3</v>
      </c>
      <c r="L102" s="23" t="s">
        <v>7</v>
      </c>
      <c r="M102" s="24" t="s">
        <v>9</v>
      </c>
      <c r="N102" s="26" t="s">
        <v>3</v>
      </c>
      <c r="O102" s="26" t="s">
        <v>3</v>
      </c>
      <c r="P102" s="26" t="s">
        <v>3</v>
      </c>
      <c r="Q102" s="26" t="s">
        <v>3</v>
      </c>
      <c r="R102" s="26" t="s">
        <v>3</v>
      </c>
      <c r="S102" s="23" t="s">
        <v>7</v>
      </c>
      <c r="T102" s="24" t="s">
        <v>9</v>
      </c>
      <c r="U102" s="26" t="s">
        <v>3</v>
      </c>
      <c r="V102" s="26" t="s">
        <v>3</v>
      </c>
      <c r="W102" s="26" t="s">
        <v>3</v>
      </c>
      <c r="X102" s="26" t="s">
        <v>3</v>
      </c>
      <c r="Y102" s="26" t="s">
        <v>3</v>
      </c>
      <c r="Z102" s="23" t="s">
        <v>7</v>
      </c>
      <c r="AA102" s="24" t="s">
        <v>9</v>
      </c>
      <c r="AB102" s="26" t="s">
        <v>3</v>
      </c>
      <c r="AC102" s="26" t="s">
        <v>3</v>
      </c>
      <c r="AD102" s="26" t="s">
        <v>3</v>
      </c>
      <c r="AE102" s="26" t="s">
        <v>3</v>
      </c>
      <c r="AF102" s="26" t="s">
        <v>3</v>
      </c>
      <c r="AG102" s="23" t="s">
        <v>7</v>
      </c>
      <c r="AH102" s="24" t="s">
        <v>9</v>
      </c>
      <c r="AI102" s="8">
        <f t="shared" si="32"/>
        <v>20</v>
      </c>
      <c r="AJ102" s="8">
        <f t="shared" si="33"/>
        <v>1</v>
      </c>
      <c r="AK102" s="8">
        <f t="shared" si="34"/>
        <v>0</v>
      </c>
      <c r="AL102" s="62">
        <v>0</v>
      </c>
      <c r="AM102" s="33">
        <f t="shared" si="35"/>
        <v>20</v>
      </c>
      <c r="AN102" s="63">
        <f t="shared" si="36"/>
        <v>168</v>
      </c>
      <c r="AO102" s="63">
        <f t="shared" si="37"/>
        <v>5</v>
      </c>
      <c r="AP102" s="63">
        <f t="shared" si="38"/>
        <v>20</v>
      </c>
      <c r="AQ102" s="53">
        <f t="shared" si="39"/>
        <v>17.5</v>
      </c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</row>
    <row r="103" spans="1:56" ht="22" customHeight="1" x14ac:dyDescent="0.35">
      <c r="A103" s="8" t="s">
        <v>225</v>
      </c>
      <c r="B103" s="8" t="s">
        <v>226</v>
      </c>
      <c r="C103" s="8" t="s">
        <v>216</v>
      </c>
      <c r="D103" s="26" t="s">
        <v>3</v>
      </c>
      <c r="E103" s="23" t="s">
        <v>7</v>
      </c>
      <c r="F103" s="24" t="s">
        <v>9</v>
      </c>
      <c r="G103" s="26" t="s">
        <v>3</v>
      </c>
      <c r="H103" s="26" t="s">
        <v>3</v>
      </c>
      <c r="I103" s="26" t="s">
        <v>3</v>
      </c>
      <c r="J103" s="26" t="s">
        <v>3</v>
      </c>
      <c r="K103" s="26" t="s">
        <v>3</v>
      </c>
      <c r="L103" s="27" t="s">
        <v>7</v>
      </c>
      <c r="M103" s="24" t="s">
        <v>9</v>
      </c>
      <c r="N103" s="26" t="s">
        <v>3</v>
      </c>
      <c r="O103" s="26" t="s">
        <v>3</v>
      </c>
      <c r="P103" s="26" t="s">
        <v>3</v>
      </c>
      <c r="Q103" s="26" t="s">
        <v>3</v>
      </c>
      <c r="R103" s="26" t="s">
        <v>3</v>
      </c>
      <c r="S103" s="23" t="s">
        <v>7</v>
      </c>
      <c r="T103" s="24" t="s">
        <v>9</v>
      </c>
      <c r="U103" s="26" t="s">
        <v>3</v>
      </c>
      <c r="V103" s="26" t="s">
        <v>3</v>
      </c>
      <c r="W103" s="26" t="s">
        <v>3</v>
      </c>
      <c r="X103" s="26" t="s">
        <v>3</v>
      </c>
      <c r="Y103" s="26" t="s">
        <v>3</v>
      </c>
      <c r="Z103" s="23" t="s">
        <v>7</v>
      </c>
      <c r="AA103" s="24" t="s">
        <v>9</v>
      </c>
      <c r="AB103" s="26" t="s">
        <v>3</v>
      </c>
      <c r="AC103" s="26" t="s">
        <v>3</v>
      </c>
      <c r="AD103" s="26" t="s">
        <v>3</v>
      </c>
      <c r="AE103" s="26" t="s">
        <v>3</v>
      </c>
      <c r="AF103" s="26" t="s">
        <v>3</v>
      </c>
      <c r="AG103" s="27" t="s">
        <v>7</v>
      </c>
      <c r="AH103" s="24" t="s">
        <v>9</v>
      </c>
      <c r="AI103" s="8">
        <f t="shared" si="32"/>
        <v>21</v>
      </c>
      <c r="AJ103" s="8">
        <f t="shared" si="33"/>
        <v>0</v>
      </c>
      <c r="AK103" s="8">
        <f t="shared" si="34"/>
        <v>0</v>
      </c>
      <c r="AL103" s="62">
        <v>2</v>
      </c>
      <c r="AM103" s="33">
        <f t="shared" si="35"/>
        <v>22</v>
      </c>
      <c r="AN103" s="63">
        <f t="shared" si="36"/>
        <v>168</v>
      </c>
      <c r="AO103" s="63">
        <f t="shared" si="37"/>
        <v>3</v>
      </c>
      <c r="AP103" s="63">
        <f t="shared" si="38"/>
        <v>12</v>
      </c>
      <c r="AQ103" s="53">
        <f t="shared" si="39"/>
        <v>20.5</v>
      </c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</row>
    <row r="104" spans="1:56" ht="22" customHeight="1" x14ac:dyDescent="0.35">
      <c r="A104" s="8" t="s">
        <v>227</v>
      </c>
      <c r="B104" s="8" t="s">
        <v>228</v>
      </c>
      <c r="C104" s="8" t="s">
        <v>216</v>
      </c>
      <c r="D104" s="26" t="s">
        <v>3</v>
      </c>
      <c r="E104" s="23" t="s">
        <v>7</v>
      </c>
      <c r="F104" s="24" t="s">
        <v>9</v>
      </c>
      <c r="G104" s="26" t="s">
        <v>3</v>
      </c>
      <c r="H104" s="26" t="s">
        <v>3</v>
      </c>
      <c r="I104" s="26" t="s">
        <v>3</v>
      </c>
      <c r="J104" s="22" t="s">
        <v>5</v>
      </c>
      <c r="K104" s="26" t="s">
        <v>3</v>
      </c>
      <c r="L104" s="23" t="s">
        <v>7</v>
      </c>
      <c r="M104" s="24" t="s">
        <v>9</v>
      </c>
      <c r="N104" s="26" t="s">
        <v>3</v>
      </c>
      <c r="O104" s="26" t="s">
        <v>3</v>
      </c>
      <c r="P104" s="26" t="s">
        <v>3</v>
      </c>
      <c r="Q104" s="26" t="s">
        <v>3</v>
      </c>
      <c r="R104" s="26" t="s">
        <v>3</v>
      </c>
      <c r="S104" s="23" t="s">
        <v>7</v>
      </c>
      <c r="T104" s="24" t="s">
        <v>9</v>
      </c>
      <c r="U104" s="26" t="s">
        <v>3</v>
      </c>
      <c r="V104" s="26" t="s">
        <v>3</v>
      </c>
      <c r="W104" s="26" t="s">
        <v>3</v>
      </c>
      <c r="X104" s="26" t="s">
        <v>3</v>
      </c>
      <c r="Y104" s="26" t="s">
        <v>3</v>
      </c>
      <c r="Z104" s="23" t="s">
        <v>7</v>
      </c>
      <c r="AA104" s="24" t="s">
        <v>9</v>
      </c>
      <c r="AB104" s="26" t="s">
        <v>3</v>
      </c>
      <c r="AC104" s="22" t="s">
        <v>5</v>
      </c>
      <c r="AD104" s="26" t="s">
        <v>3</v>
      </c>
      <c r="AE104" s="26" t="s">
        <v>3</v>
      </c>
      <c r="AF104" s="26" t="s">
        <v>3</v>
      </c>
      <c r="AG104" s="23" t="s">
        <v>7</v>
      </c>
      <c r="AH104" s="24" t="s">
        <v>9</v>
      </c>
      <c r="AI104" s="8">
        <f t="shared" si="32"/>
        <v>19</v>
      </c>
      <c r="AJ104" s="8">
        <f t="shared" si="33"/>
        <v>2</v>
      </c>
      <c r="AK104" s="8">
        <f t="shared" si="34"/>
        <v>0</v>
      </c>
      <c r="AL104" s="62">
        <v>0</v>
      </c>
      <c r="AM104" s="33">
        <f t="shared" si="35"/>
        <v>19</v>
      </c>
      <c r="AN104" s="63">
        <f t="shared" si="36"/>
        <v>168</v>
      </c>
      <c r="AO104" s="63">
        <f t="shared" si="37"/>
        <v>5</v>
      </c>
      <c r="AP104" s="63">
        <f t="shared" si="38"/>
        <v>20</v>
      </c>
      <c r="AQ104" s="53">
        <f t="shared" si="39"/>
        <v>16.5</v>
      </c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</row>
    <row r="105" spans="1:56" ht="22" customHeight="1" x14ac:dyDescent="0.35">
      <c r="A105" s="8" t="s">
        <v>229</v>
      </c>
      <c r="B105" s="8" t="s">
        <v>230</v>
      </c>
      <c r="C105" s="8" t="s">
        <v>216</v>
      </c>
      <c r="D105" s="22" t="s">
        <v>5</v>
      </c>
      <c r="E105" s="23" t="s">
        <v>7</v>
      </c>
      <c r="F105" s="24" t="s">
        <v>9</v>
      </c>
      <c r="G105" s="22" t="s">
        <v>5</v>
      </c>
      <c r="H105" s="22" t="s">
        <v>5</v>
      </c>
      <c r="I105" s="22" t="s">
        <v>5</v>
      </c>
      <c r="J105" s="22" t="s">
        <v>5</v>
      </c>
      <c r="K105" s="22" t="s">
        <v>5</v>
      </c>
      <c r="L105" s="23" t="s">
        <v>7</v>
      </c>
      <c r="M105" s="24" t="s">
        <v>9</v>
      </c>
      <c r="N105" s="22" t="s">
        <v>5</v>
      </c>
      <c r="O105" s="22" t="s">
        <v>5</v>
      </c>
      <c r="P105" s="22" t="s">
        <v>5</v>
      </c>
      <c r="Q105" s="22" t="s">
        <v>5</v>
      </c>
      <c r="R105" s="22" t="s">
        <v>5</v>
      </c>
      <c r="S105" s="23" t="s">
        <v>7</v>
      </c>
      <c r="T105" s="24" t="s">
        <v>9</v>
      </c>
      <c r="U105" s="22" t="s">
        <v>5</v>
      </c>
      <c r="V105" s="22" t="s">
        <v>5</v>
      </c>
      <c r="W105" s="22" t="s">
        <v>5</v>
      </c>
      <c r="X105" s="22" t="s">
        <v>5</v>
      </c>
      <c r="Y105" s="22" t="s">
        <v>5</v>
      </c>
      <c r="Z105" s="23" t="s">
        <v>7</v>
      </c>
      <c r="AA105" s="24" t="s">
        <v>9</v>
      </c>
      <c r="AB105" s="22" t="s">
        <v>5</v>
      </c>
      <c r="AC105" s="22" t="s">
        <v>5</v>
      </c>
      <c r="AD105" s="22" t="s">
        <v>5</v>
      </c>
      <c r="AE105" s="22" t="s">
        <v>5</v>
      </c>
      <c r="AF105" s="22" t="s">
        <v>5</v>
      </c>
      <c r="AG105" s="23" t="s">
        <v>7</v>
      </c>
      <c r="AH105" s="24" t="s">
        <v>9</v>
      </c>
      <c r="AI105" s="8">
        <f t="shared" si="32"/>
        <v>0</v>
      </c>
      <c r="AJ105" s="25">
        <f t="shared" si="33"/>
        <v>21</v>
      </c>
      <c r="AK105" s="8">
        <f t="shared" si="34"/>
        <v>0</v>
      </c>
      <c r="AL105" s="62">
        <v>0</v>
      </c>
      <c r="AM105" s="33">
        <f t="shared" si="35"/>
        <v>0</v>
      </c>
      <c r="AN105" s="63">
        <f t="shared" si="36"/>
        <v>168</v>
      </c>
      <c r="AO105" s="63">
        <f t="shared" si="37"/>
        <v>0</v>
      </c>
      <c r="AP105" s="63">
        <f t="shared" si="38"/>
        <v>0</v>
      </c>
      <c r="AQ105" s="53">
        <f t="shared" si="39"/>
        <v>0</v>
      </c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</row>
    <row r="106" spans="1:56" ht="22" customHeight="1" x14ac:dyDescent="0.35">
      <c r="A106" s="8" t="s">
        <v>231</v>
      </c>
      <c r="B106" s="8" t="s">
        <v>232</v>
      </c>
      <c r="C106" s="8" t="s">
        <v>216</v>
      </c>
      <c r="D106" s="26" t="s">
        <v>3</v>
      </c>
      <c r="E106" s="23" t="s">
        <v>7</v>
      </c>
      <c r="F106" s="24" t="s">
        <v>9</v>
      </c>
      <c r="G106" s="26" t="s">
        <v>3</v>
      </c>
      <c r="H106" s="26" t="s">
        <v>3</v>
      </c>
      <c r="I106" s="26" t="s">
        <v>3</v>
      </c>
      <c r="J106" s="26" t="s">
        <v>3</v>
      </c>
      <c r="K106" s="26" t="s">
        <v>3</v>
      </c>
      <c r="L106" s="23" t="s">
        <v>7</v>
      </c>
      <c r="M106" s="24" t="s">
        <v>9</v>
      </c>
      <c r="N106" s="26" t="s">
        <v>3</v>
      </c>
      <c r="O106" s="26" t="s">
        <v>3</v>
      </c>
      <c r="P106" s="26" t="s">
        <v>3</v>
      </c>
      <c r="Q106" s="26" t="s">
        <v>3</v>
      </c>
      <c r="R106" s="26" t="s">
        <v>3</v>
      </c>
      <c r="S106" s="23" t="s">
        <v>7</v>
      </c>
      <c r="T106" s="28" t="s">
        <v>11</v>
      </c>
      <c r="U106" s="26" t="s">
        <v>3</v>
      </c>
      <c r="V106" s="26" t="s">
        <v>3</v>
      </c>
      <c r="W106" s="26" t="s">
        <v>3</v>
      </c>
      <c r="X106" s="22" t="s">
        <v>5</v>
      </c>
      <c r="Y106" s="26" t="s">
        <v>3</v>
      </c>
      <c r="Z106" s="23" t="s">
        <v>7</v>
      </c>
      <c r="AA106" s="28" t="s">
        <v>11</v>
      </c>
      <c r="AB106" s="26" t="s">
        <v>3</v>
      </c>
      <c r="AC106" s="26" t="s">
        <v>3</v>
      </c>
      <c r="AD106" s="26" t="s">
        <v>3</v>
      </c>
      <c r="AE106" s="26" t="s">
        <v>3</v>
      </c>
      <c r="AF106" s="26" t="s">
        <v>3</v>
      </c>
      <c r="AG106" s="23" t="s">
        <v>7</v>
      </c>
      <c r="AH106" s="28" t="s">
        <v>11</v>
      </c>
      <c r="AI106" s="8">
        <f t="shared" si="32"/>
        <v>20</v>
      </c>
      <c r="AJ106" s="8">
        <f t="shared" si="33"/>
        <v>1</v>
      </c>
      <c r="AK106" s="29">
        <f t="shared" si="34"/>
        <v>3</v>
      </c>
      <c r="AL106" s="62">
        <v>0</v>
      </c>
      <c r="AM106" s="33">
        <f t="shared" si="35"/>
        <v>23</v>
      </c>
      <c r="AN106" s="63">
        <f t="shared" si="36"/>
        <v>168</v>
      </c>
      <c r="AO106" s="63">
        <f t="shared" si="37"/>
        <v>5</v>
      </c>
      <c r="AP106" s="63">
        <f t="shared" si="38"/>
        <v>20</v>
      </c>
      <c r="AQ106" s="53">
        <f t="shared" si="39"/>
        <v>20.5</v>
      </c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</row>
    <row r="107" spans="1:56" ht="22" customHeight="1" x14ac:dyDescent="0.35">
      <c r="A107" s="8" t="s">
        <v>233</v>
      </c>
      <c r="B107" s="8" t="s">
        <v>234</v>
      </c>
      <c r="C107" s="8" t="s">
        <v>216</v>
      </c>
      <c r="D107" s="26" t="s">
        <v>3</v>
      </c>
      <c r="E107" s="27" t="s">
        <v>7</v>
      </c>
      <c r="F107" s="24" t="s">
        <v>9</v>
      </c>
      <c r="G107" s="26" t="s">
        <v>3</v>
      </c>
      <c r="H107" s="26" t="s">
        <v>3</v>
      </c>
      <c r="I107" s="26" t="s">
        <v>3</v>
      </c>
      <c r="J107" s="26" t="s">
        <v>3</v>
      </c>
      <c r="K107" s="26" t="s">
        <v>3</v>
      </c>
      <c r="L107" s="23" t="s">
        <v>7</v>
      </c>
      <c r="M107" s="24" t="s">
        <v>9</v>
      </c>
      <c r="N107" s="26" t="s">
        <v>3</v>
      </c>
      <c r="O107" s="26" t="s">
        <v>3</v>
      </c>
      <c r="P107" s="26" t="s">
        <v>3</v>
      </c>
      <c r="Q107" s="26" t="s">
        <v>3</v>
      </c>
      <c r="R107" s="26" t="s">
        <v>3</v>
      </c>
      <c r="S107" s="27" t="s">
        <v>7</v>
      </c>
      <c r="T107" s="24" t="s">
        <v>9</v>
      </c>
      <c r="U107" s="26" t="s">
        <v>3</v>
      </c>
      <c r="V107" s="26" t="s">
        <v>3</v>
      </c>
      <c r="W107" s="26" t="s">
        <v>3</v>
      </c>
      <c r="X107" s="26" t="s">
        <v>3</v>
      </c>
      <c r="Y107" s="26" t="s">
        <v>3</v>
      </c>
      <c r="Z107" s="23" t="s">
        <v>7</v>
      </c>
      <c r="AA107" s="24" t="s">
        <v>9</v>
      </c>
      <c r="AB107" s="26" t="s">
        <v>3</v>
      </c>
      <c r="AC107" s="26" t="s">
        <v>3</v>
      </c>
      <c r="AD107" s="26" t="s">
        <v>3</v>
      </c>
      <c r="AE107" s="26" t="s">
        <v>3</v>
      </c>
      <c r="AF107" s="26" t="s">
        <v>3</v>
      </c>
      <c r="AG107" s="27" t="s">
        <v>7</v>
      </c>
      <c r="AH107" s="24" t="s">
        <v>9</v>
      </c>
      <c r="AI107" s="8">
        <f t="shared" si="32"/>
        <v>21</v>
      </c>
      <c r="AJ107" s="8">
        <f t="shared" si="33"/>
        <v>0</v>
      </c>
      <c r="AK107" s="8">
        <f t="shared" si="34"/>
        <v>0</v>
      </c>
      <c r="AL107" s="62">
        <v>3</v>
      </c>
      <c r="AM107" s="33">
        <f t="shared" si="35"/>
        <v>22.5</v>
      </c>
      <c r="AN107" s="63">
        <f t="shared" si="36"/>
        <v>168</v>
      </c>
      <c r="AO107" s="63">
        <f t="shared" si="37"/>
        <v>2</v>
      </c>
      <c r="AP107" s="63">
        <f t="shared" si="38"/>
        <v>8</v>
      </c>
      <c r="AQ107" s="53">
        <f t="shared" si="39"/>
        <v>21.5</v>
      </c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</row>
    <row r="108" spans="1:56" ht="22" customHeight="1" x14ac:dyDescent="0.35">
      <c r="A108" s="8" t="s">
        <v>235</v>
      </c>
      <c r="B108" s="8" t="s">
        <v>236</v>
      </c>
      <c r="C108" s="8" t="s">
        <v>216</v>
      </c>
      <c r="D108" s="26" t="s">
        <v>3</v>
      </c>
      <c r="E108" s="23" t="s">
        <v>7</v>
      </c>
      <c r="F108" s="24" t="s">
        <v>9</v>
      </c>
      <c r="G108" s="26" t="s">
        <v>3</v>
      </c>
      <c r="H108" s="26" t="s">
        <v>3</v>
      </c>
      <c r="I108" s="26" t="s">
        <v>3</v>
      </c>
      <c r="J108" s="26" t="s">
        <v>3</v>
      </c>
      <c r="K108" s="26" t="s">
        <v>3</v>
      </c>
      <c r="L108" s="23" t="s">
        <v>7</v>
      </c>
      <c r="M108" s="24" t="s">
        <v>9</v>
      </c>
      <c r="N108" s="26" t="s">
        <v>3</v>
      </c>
      <c r="O108" s="26" t="s">
        <v>3</v>
      </c>
      <c r="P108" s="22" t="s">
        <v>5</v>
      </c>
      <c r="Q108" s="26" t="s">
        <v>3</v>
      </c>
      <c r="R108" s="26" t="s">
        <v>3</v>
      </c>
      <c r="S108" s="27" t="s">
        <v>7</v>
      </c>
      <c r="T108" s="24" t="s">
        <v>9</v>
      </c>
      <c r="U108" s="26" t="s">
        <v>3</v>
      </c>
      <c r="V108" s="26" t="s">
        <v>3</v>
      </c>
      <c r="W108" s="26" t="s">
        <v>3</v>
      </c>
      <c r="X108" s="26" t="s">
        <v>3</v>
      </c>
      <c r="Y108" s="26" t="s">
        <v>3</v>
      </c>
      <c r="Z108" s="27" t="s">
        <v>7</v>
      </c>
      <c r="AA108" s="24" t="s">
        <v>9</v>
      </c>
      <c r="AB108" s="26" t="s">
        <v>3</v>
      </c>
      <c r="AC108" s="26" t="s">
        <v>3</v>
      </c>
      <c r="AD108" s="26" t="s">
        <v>3</v>
      </c>
      <c r="AE108" s="26" t="s">
        <v>3</v>
      </c>
      <c r="AF108" s="26" t="s">
        <v>3</v>
      </c>
      <c r="AG108" s="23" t="s">
        <v>7</v>
      </c>
      <c r="AH108" s="24" t="s">
        <v>9</v>
      </c>
      <c r="AI108" s="8">
        <f t="shared" si="32"/>
        <v>20</v>
      </c>
      <c r="AJ108" s="8">
        <f t="shared" si="33"/>
        <v>1</v>
      </c>
      <c r="AK108" s="8">
        <f t="shared" si="34"/>
        <v>0</v>
      </c>
      <c r="AL108" s="62">
        <v>2</v>
      </c>
      <c r="AM108" s="33">
        <f t="shared" si="35"/>
        <v>21</v>
      </c>
      <c r="AN108" s="63">
        <f t="shared" si="36"/>
        <v>168</v>
      </c>
      <c r="AO108" s="63">
        <f t="shared" si="37"/>
        <v>3</v>
      </c>
      <c r="AP108" s="63">
        <f t="shared" si="38"/>
        <v>12</v>
      </c>
      <c r="AQ108" s="53">
        <f t="shared" si="39"/>
        <v>19.5</v>
      </c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</row>
    <row r="109" spans="1:56" ht="22" customHeight="1" x14ac:dyDescent="0.35">
      <c r="A109" s="8" t="s">
        <v>237</v>
      </c>
      <c r="B109" s="8" t="s">
        <v>238</v>
      </c>
      <c r="C109" s="8" t="s">
        <v>216</v>
      </c>
      <c r="D109" s="26" t="s">
        <v>3</v>
      </c>
      <c r="E109" s="23" t="s">
        <v>7</v>
      </c>
      <c r="F109" s="24" t="s">
        <v>9</v>
      </c>
      <c r="G109" s="22" t="s">
        <v>5</v>
      </c>
      <c r="H109" s="26" t="s">
        <v>3</v>
      </c>
      <c r="I109" s="26" t="s">
        <v>3</v>
      </c>
      <c r="J109" s="26" t="s">
        <v>3</v>
      </c>
      <c r="K109" s="26" t="s">
        <v>3</v>
      </c>
      <c r="L109" s="23" t="s">
        <v>7</v>
      </c>
      <c r="M109" s="24" t="s">
        <v>9</v>
      </c>
      <c r="N109" s="26" t="s">
        <v>3</v>
      </c>
      <c r="O109" s="26" t="s">
        <v>3</v>
      </c>
      <c r="P109" s="26" t="s">
        <v>3</v>
      </c>
      <c r="Q109" s="26" t="s">
        <v>3</v>
      </c>
      <c r="R109" s="26" t="s">
        <v>3</v>
      </c>
      <c r="S109" s="27" t="s">
        <v>7</v>
      </c>
      <c r="T109" s="24" t="s">
        <v>9</v>
      </c>
      <c r="U109" s="26" t="s">
        <v>3</v>
      </c>
      <c r="V109" s="26" t="s">
        <v>3</v>
      </c>
      <c r="W109" s="26" t="s">
        <v>3</v>
      </c>
      <c r="X109" s="26" t="s">
        <v>3</v>
      </c>
      <c r="Y109" s="26" t="s">
        <v>3</v>
      </c>
      <c r="Z109" s="23" t="s">
        <v>7</v>
      </c>
      <c r="AA109" s="24" t="s">
        <v>9</v>
      </c>
      <c r="AB109" s="26" t="s">
        <v>3</v>
      </c>
      <c r="AC109" s="26" t="s">
        <v>3</v>
      </c>
      <c r="AD109" s="26" t="s">
        <v>3</v>
      </c>
      <c r="AE109" s="26" t="s">
        <v>3</v>
      </c>
      <c r="AF109" s="26" t="s">
        <v>3</v>
      </c>
      <c r="AG109" s="27" t="s">
        <v>7</v>
      </c>
      <c r="AH109" s="24" t="s">
        <v>9</v>
      </c>
      <c r="AI109" s="8">
        <f t="shared" si="32"/>
        <v>20</v>
      </c>
      <c r="AJ109" s="8">
        <f t="shared" si="33"/>
        <v>1</v>
      </c>
      <c r="AK109" s="8">
        <f t="shared" si="34"/>
        <v>0</v>
      </c>
      <c r="AL109" s="62">
        <v>2</v>
      </c>
      <c r="AM109" s="33">
        <f t="shared" si="35"/>
        <v>21</v>
      </c>
      <c r="AN109" s="63">
        <f t="shared" si="36"/>
        <v>168</v>
      </c>
      <c r="AO109" s="63">
        <f t="shared" si="37"/>
        <v>3</v>
      </c>
      <c r="AP109" s="63">
        <f t="shared" si="38"/>
        <v>12</v>
      </c>
      <c r="AQ109" s="53">
        <f t="shared" si="39"/>
        <v>19.5</v>
      </c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</row>
    <row r="110" spans="1:56" ht="22" customHeight="1" x14ac:dyDescent="0.35">
      <c r="A110" s="8" t="s">
        <v>239</v>
      </c>
      <c r="B110" s="8" t="s">
        <v>240</v>
      </c>
      <c r="C110" s="8" t="s">
        <v>216</v>
      </c>
      <c r="D110" s="26" t="s">
        <v>3</v>
      </c>
      <c r="E110" s="27" t="s">
        <v>7</v>
      </c>
      <c r="F110" s="24" t="s">
        <v>9</v>
      </c>
      <c r="G110" s="26" t="s">
        <v>3</v>
      </c>
      <c r="H110" s="26" t="s">
        <v>3</v>
      </c>
      <c r="I110" s="26" t="s">
        <v>3</v>
      </c>
      <c r="J110" s="26" t="s">
        <v>3</v>
      </c>
      <c r="K110" s="26" t="s">
        <v>3</v>
      </c>
      <c r="L110" s="23" t="s">
        <v>7</v>
      </c>
      <c r="M110" s="24" t="s">
        <v>9</v>
      </c>
      <c r="N110" s="26" t="s">
        <v>3</v>
      </c>
      <c r="O110" s="26" t="s">
        <v>3</v>
      </c>
      <c r="P110" s="22" t="s">
        <v>5</v>
      </c>
      <c r="Q110" s="26" t="s">
        <v>3</v>
      </c>
      <c r="R110" s="26" t="s">
        <v>3</v>
      </c>
      <c r="S110" s="23" t="s">
        <v>7</v>
      </c>
      <c r="T110" s="28" t="s">
        <v>11</v>
      </c>
      <c r="U110" s="26" t="s">
        <v>3</v>
      </c>
      <c r="V110" s="26" t="s">
        <v>3</v>
      </c>
      <c r="W110" s="26" t="s">
        <v>3</v>
      </c>
      <c r="X110" s="26" t="s">
        <v>3</v>
      </c>
      <c r="Y110" s="26" t="s">
        <v>3</v>
      </c>
      <c r="Z110" s="27" t="s">
        <v>7</v>
      </c>
      <c r="AA110" s="24" t="s">
        <v>9</v>
      </c>
      <c r="AB110" s="26" t="s">
        <v>3</v>
      </c>
      <c r="AC110" s="26" t="s">
        <v>3</v>
      </c>
      <c r="AD110" s="26" t="s">
        <v>3</v>
      </c>
      <c r="AE110" s="26" t="s">
        <v>3</v>
      </c>
      <c r="AF110" s="26" t="s">
        <v>3</v>
      </c>
      <c r="AG110" s="23" t="s">
        <v>7</v>
      </c>
      <c r="AH110" s="28" t="s">
        <v>11</v>
      </c>
      <c r="AI110" s="8">
        <f t="shared" si="32"/>
        <v>20</v>
      </c>
      <c r="AJ110" s="8">
        <f t="shared" si="33"/>
        <v>1</v>
      </c>
      <c r="AK110" s="29">
        <f t="shared" si="34"/>
        <v>2</v>
      </c>
      <c r="AL110" s="62">
        <v>2</v>
      </c>
      <c r="AM110" s="33">
        <f t="shared" si="35"/>
        <v>23</v>
      </c>
      <c r="AN110" s="63">
        <f t="shared" si="36"/>
        <v>168</v>
      </c>
      <c r="AO110" s="63">
        <f t="shared" si="37"/>
        <v>3</v>
      </c>
      <c r="AP110" s="63">
        <f t="shared" si="38"/>
        <v>12</v>
      </c>
      <c r="AQ110" s="53">
        <f t="shared" si="39"/>
        <v>21.5</v>
      </c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</row>
    <row r="111" spans="1:56" ht="22" customHeight="1" x14ac:dyDescent="0.35">
      <c r="A111" s="8" t="s">
        <v>241</v>
      </c>
      <c r="B111" s="8" t="s">
        <v>242</v>
      </c>
      <c r="C111" s="8" t="s">
        <v>216</v>
      </c>
      <c r="D111" s="26" t="s">
        <v>3</v>
      </c>
      <c r="E111" s="23" t="s">
        <v>7</v>
      </c>
      <c r="F111" s="24" t="s">
        <v>9</v>
      </c>
      <c r="G111" s="26" t="s">
        <v>3</v>
      </c>
      <c r="H111" s="26" t="s">
        <v>3</v>
      </c>
      <c r="I111" s="26" t="s">
        <v>3</v>
      </c>
      <c r="J111" s="26" t="s">
        <v>3</v>
      </c>
      <c r="K111" s="26" t="s">
        <v>3</v>
      </c>
      <c r="L111" s="23" t="s">
        <v>7</v>
      </c>
      <c r="M111" s="24" t="s">
        <v>9</v>
      </c>
      <c r="N111" s="26" t="s">
        <v>3</v>
      </c>
      <c r="O111" s="26" t="s">
        <v>3</v>
      </c>
      <c r="P111" s="26" t="s">
        <v>3</v>
      </c>
      <c r="Q111" s="26" t="s">
        <v>3</v>
      </c>
      <c r="R111" s="26" t="s">
        <v>3</v>
      </c>
      <c r="S111" s="23" t="s">
        <v>7</v>
      </c>
      <c r="T111" s="24" t="s">
        <v>9</v>
      </c>
      <c r="U111" s="26" t="s">
        <v>3</v>
      </c>
      <c r="V111" s="26" t="s">
        <v>3</v>
      </c>
      <c r="W111" s="26" t="s">
        <v>3</v>
      </c>
      <c r="X111" s="26" t="s">
        <v>3</v>
      </c>
      <c r="Y111" s="26" t="s">
        <v>3</v>
      </c>
      <c r="Z111" s="23" t="s">
        <v>7</v>
      </c>
      <c r="AA111" s="24" t="s">
        <v>9</v>
      </c>
      <c r="AB111" s="26" t="s">
        <v>3</v>
      </c>
      <c r="AC111" s="26" t="s">
        <v>3</v>
      </c>
      <c r="AD111" s="22" t="s">
        <v>5</v>
      </c>
      <c r="AE111" s="26" t="s">
        <v>3</v>
      </c>
      <c r="AF111" s="26" t="s">
        <v>3</v>
      </c>
      <c r="AG111" s="23" t="s">
        <v>7</v>
      </c>
      <c r="AH111" s="24" t="s">
        <v>9</v>
      </c>
      <c r="AI111" s="8">
        <f t="shared" si="32"/>
        <v>20</v>
      </c>
      <c r="AJ111" s="8">
        <f t="shared" si="33"/>
        <v>1</v>
      </c>
      <c r="AK111" s="8">
        <f t="shared" si="34"/>
        <v>0</v>
      </c>
      <c r="AL111" s="62">
        <v>0</v>
      </c>
      <c r="AM111" s="33">
        <f t="shared" si="35"/>
        <v>20</v>
      </c>
      <c r="AN111" s="63">
        <f t="shared" si="36"/>
        <v>168</v>
      </c>
      <c r="AO111" s="63">
        <f t="shared" si="37"/>
        <v>5</v>
      </c>
      <c r="AP111" s="63">
        <f t="shared" si="38"/>
        <v>20</v>
      </c>
      <c r="AQ111" s="53">
        <f t="shared" si="39"/>
        <v>17.5</v>
      </c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</row>
    <row r="112" spans="1:56" x14ac:dyDescent="0.35"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</row>
    <row r="113" spans="1:56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</row>
    <row r="114" spans="1:56" ht="22" customHeight="1" x14ac:dyDescent="0.35">
      <c r="A114" s="8" t="s">
        <v>244</v>
      </c>
      <c r="B114" s="8" t="s">
        <v>245</v>
      </c>
      <c r="C114" s="8" t="s">
        <v>354</v>
      </c>
      <c r="D114" s="26" t="s">
        <v>3</v>
      </c>
      <c r="E114" s="27" t="s">
        <v>7</v>
      </c>
      <c r="F114" s="28" t="s">
        <v>11</v>
      </c>
      <c r="G114" s="26" t="s">
        <v>3</v>
      </c>
      <c r="H114" s="26" t="s">
        <v>3</v>
      </c>
      <c r="I114" s="26" t="s">
        <v>3</v>
      </c>
      <c r="J114" s="26" t="s">
        <v>3</v>
      </c>
      <c r="K114" s="26" t="s">
        <v>3</v>
      </c>
      <c r="L114" s="27" t="s">
        <v>7</v>
      </c>
      <c r="M114" s="28" t="s">
        <v>11</v>
      </c>
      <c r="N114" s="26" t="s">
        <v>3</v>
      </c>
      <c r="O114" s="26" t="s">
        <v>3</v>
      </c>
      <c r="P114" s="26" t="s">
        <v>3</v>
      </c>
      <c r="Q114" s="26" t="s">
        <v>3</v>
      </c>
      <c r="R114" s="26" t="s">
        <v>3</v>
      </c>
      <c r="S114" s="27" t="s">
        <v>7</v>
      </c>
      <c r="T114" s="28" t="s">
        <v>11</v>
      </c>
      <c r="U114" s="26" t="s">
        <v>3</v>
      </c>
      <c r="V114" s="26" t="s">
        <v>3</v>
      </c>
      <c r="W114" s="26" t="s">
        <v>3</v>
      </c>
      <c r="X114" s="26" t="s">
        <v>3</v>
      </c>
      <c r="Y114" s="26" t="s">
        <v>3</v>
      </c>
      <c r="Z114" s="27" t="s">
        <v>7</v>
      </c>
      <c r="AA114" s="28" t="s">
        <v>11</v>
      </c>
      <c r="AB114" s="22" t="s">
        <v>5</v>
      </c>
      <c r="AC114" s="26" t="s">
        <v>3</v>
      </c>
      <c r="AD114" s="26" t="s">
        <v>3</v>
      </c>
      <c r="AE114" s="26" t="s">
        <v>3</v>
      </c>
      <c r="AF114" s="26" t="s">
        <v>3</v>
      </c>
      <c r="AG114" s="27" t="s">
        <v>7</v>
      </c>
      <c r="AH114" s="28" t="s">
        <v>11</v>
      </c>
      <c r="AI114" s="8">
        <f>COUNTIF(D114:AH114,"ON")</f>
        <v>20</v>
      </c>
      <c r="AJ114" s="8">
        <f>COUNTIF(D114:AH114,"OFF")</f>
        <v>1</v>
      </c>
      <c r="AK114" s="29">
        <f>COUNTIF(D114:AH114,"OT")</f>
        <v>5</v>
      </c>
      <c r="AL114" s="62">
        <v>5</v>
      </c>
      <c r="AM114" s="33">
        <f>AI114+AK114+AL114*0.5</f>
        <v>27.5</v>
      </c>
      <c r="AN114" s="63">
        <f>NETWORKDAYS(DATE(2025,8,1),EOMONTH(DATE(2025,8,1),0))*8</f>
        <v>168</v>
      </c>
      <c r="AO114" s="63">
        <f>MAX(0,COUNTIF(D114,"ON")+COUNTIF(K114,"ON")+COUNTIF(R114,"ON")+COUNTIF(Y114,"ON")+COUNTIF(AF114,"ON")-AL114)</f>
        <v>0</v>
      </c>
      <c r="AP114" s="63">
        <f>AO114*$AP$2</f>
        <v>0</v>
      </c>
      <c r="AQ114" s="53">
        <f>AM114-AP114/8</f>
        <v>27.5</v>
      </c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</row>
    <row r="115" spans="1:56" ht="22" customHeight="1" x14ac:dyDescent="0.35">
      <c r="A115" s="8" t="s">
        <v>247</v>
      </c>
      <c r="B115" s="8" t="s">
        <v>248</v>
      </c>
      <c r="C115" s="8" t="s">
        <v>354</v>
      </c>
      <c r="D115" s="26" t="s">
        <v>3</v>
      </c>
      <c r="E115" s="27" t="s">
        <v>7</v>
      </c>
      <c r="F115" s="24" t="s">
        <v>9</v>
      </c>
      <c r="G115" s="26" t="s">
        <v>3</v>
      </c>
      <c r="H115" s="26" t="s">
        <v>3</v>
      </c>
      <c r="I115" s="26" t="s">
        <v>3</v>
      </c>
      <c r="J115" s="26" t="s">
        <v>3</v>
      </c>
      <c r="K115" s="26" t="s">
        <v>3</v>
      </c>
      <c r="L115" s="27" t="s">
        <v>7</v>
      </c>
      <c r="M115" s="28" t="s">
        <v>11</v>
      </c>
      <c r="N115" s="26" t="s">
        <v>3</v>
      </c>
      <c r="O115" s="26" t="s">
        <v>3</v>
      </c>
      <c r="P115" s="26" t="s">
        <v>3</v>
      </c>
      <c r="Q115" s="26" t="s">
        <v>3</v>
      </c>
      <c r="R115" s="26" t="s">
        <v>3</v>
      </c>
      <c r="S115" s="27" t="s">
        <v>7</v>
      </c>
      <c r="T115" s="28" t="s">
        <v>11</v>
      </c>
      <c r="U115" s="26" t="s">
        <v>3</v>
      </c>
      <c r="V115" s="26" t="s">
        <v>3</v>
      </c>
      <c r="W115" s="22" t="s">
        <v>5</v>
      </c>
      <c r="X115" s="26" t="s">
        <v>3</v>
      </c>
      <c r="Y115" s="26" t="s">
        <v>3</v>
      </c>
      <c r="Z115" s="27" t="s">
        <v>7</v>
      </c>
      <c r="AA115" s="28" t="s">
        <v>11</v>
      </c>
      <c r="AB115" s="26" t="s">
        <v>3</v>
      </c>
      <c r="AC115" s="26" t="s">
        <v>3</v>
      </c>
      <c r="AD115" s="26" t="s">
        <v>3</v>
      </c>
      <c r="AE115" s="26" t="s">
        <v>3</v>
      </c>
      <c r="AF115" s="26" t="s">
        <v>3</v>
      </c>
      <c r="AG115" s="27" t="s">
        <v>7</v>
      </c>
      <c r="AH115" s="28" t="s">
        <v>11</v>
      </c>
      <c r="AI115" s="8">
        <f>COUNTIF(D115:AH115,"ON")</f>
        <v>20</v>
      </c>
      <c r="AJ115" s="8">
        <f>COUNTIF(D115:AH115,"OFF")</f>
        <v>1</v>
      </c>
      <c r="AK115" s="29">
        <f>COUNTIF(D115:AH115,"OT")</f>
        <v>4</v>
      </c>
      <c r="AL115" s="62">
        <v>5</v>
      </c>
      <c r="AM115" s="33">
        <f>AI115+AK115+AL115*0.5</f>
        <v>26.5</v>
      </c>
      <c r="AN115" s="63">
        <f>NETWORKDAYS(DATE(2025,8,1),EOMONTH(DATE(2025,8,1),0))*8</f>
        <v>168</v>
      </c>
      <c r="AO115" s="63">
        <f>MAX(0,COUNTIF(D115,"ON")+COUNTIF(K115,"ON")+COUNTIF(R115,"ON")+COUNTIF(Y115,"ON")+COUNTIF(AF115,"ON")-AL115)</f>
        <v>0</v>
      </c>
      <c r="AP115" s="63">
        <f>AO115*$AP$2</f>
        <v>0</v>
      </c>
      <c r="AQ115" s="53">
        <f>AM115-AP115/8</f>
        <v>26.5</v>
      </c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</row>
    <row r="116" spans="1:56" ht="22" customHeight="1" x14ac:dyDescent="0.35">
      <c r="A116" s="8" t="s">
        <v>249</v>
      </c>
      <c r="B116" s="8" t="s">
        <v>250</v>
      </c>
      <c r="C116" s="8" t="s">
        <v>354</v>
      </c>
      <c r="D116" s="26" t="s">
        <v>3</v>
      </c>
      <c r="E116" s="27" t="s">
        <v>7</v>
      </c>
      <c r="F116" s="28" t="s">
        <v>11</v>
      </c>
      <c r="G116" s="26" t="s">
        <v>3</v>
      </c>
      <c r="H116" s="26" t="s">
        <v>3</v>
      </c>
      <c r="I116" s="26" t="s">
        <v>3</v>
      </c>
      <c r="J116" s="26" t="s">
        <v>3</v>
      </c>
      <c r="K116" s="26" t="s">
        <v>3</v>
      </c>
      <c r="L116" s="27" t="s">
        <v>7</v>
      </c>
      <c r="M116" s="28" t="s">
        <v>11</v>
      </c>
      <c r="N116" s="26" t="s">
        <v>3</v>
      </c>
      <c r="O116" s="26" t="s">
        <v>3</v>
      </c>
      <c r="P116" s="26" t="s">
        <v>3</v>
      </c>
      <c r="Q116" s="26" t="s">
        <v>3</v>
      </c>
      <c r="R116" s="26" t="s">
        <v>3</v>
      </c>
      <c r="S116" s="23" t="s">
        <v>7</v>
      </c>
      <c r="T116" s="28" t="s">
        <v>11</v>
      </c>
      <c r="U116" s="26" t="s">
        <v>3</v>
      </c>
      <c r="V116" s="26" t="s">
        <v>3</v>
      </c>
      <c r="W116" s="26" t="s">
        <v>3</v>
      </c>
      <c r="X116" s="26" t="s">
        <v>3</v>
      </c>
      <c r="Y116" s="26" t="s">
        <v>3</v>
      </c>
      <c r="Z116" s="27" t="s">
        <v>7</v>
      </c>
      <c r="AA116" s="28" t="s">
        <v>11</v>
      </c>
      <c r="AB116" s="26" t="s">
        <v>3</v>
      </c>
      <c r="AC116" s="22" t="s">
        <v>5</v>
      </c>
      <c r="AD116" s="22" t="s">
        <v>5</v>
      </c>
      <c r="AE116" s="22" t="s">
        <v>5</v>
      </c>
      <c r="AF116" s="22" t="s">
        <v>5</v>
      </c>
      <c r="AG116" s="23" t="s">
        <v>7</v>
      </c>
      <c r="AH116" s="24" t="s">
        <v>9</v>
      </c>
      <c r="AI116" s="8">
        <f>COUNTIF(D116:AH116,"ON")</f>
        <v>17</v>
      </c>
      <c r="AJ116" s="8">
        <f>COUNTIF(D116:AH116,"OFF")</f>
        <v>4</v>
      </c>
      <c r="AK116" s="29">
        <f>COUNTIF(D116:AH116,"OT")</f>
        <v>4</v>
      </c>
      <c r="AL116" s="62">
        <v>3</v>
      </c>
      <c r="AM116" s="33">
        <f>AI116+AK116+AL116*0.5</f>
        <v>22.5</v>
      </c>
      <c r="AN116" s="63">
        <f>NETWORKDAYS(DATE(2025,8,1),EOMONTH(DATE(2025,8,1),0))*8</f>
        <v>168</v>
      </c>
      <c r="AO116" s="63">
        <f>MAX(0,COUNTIF(D116,"ON")+COUNTIF(K116,"ON")+COUNTIF(R116,"ON")+COUNTIF(Y116,"ON")+COUNTIF(AF116,"ON")-AL116)</f>
        <v>1</v>
      </c>
      <c r="AP116" s="63">
        <f>AO116*$AP$2</f>
        <v>4</v>
      </c>
      <c r="AQ116" s="53">
        <f>AM116-AP116/8</f>
        <v>22</v>
      </c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</row>
    <row r="117" spans="1:56" x14ac:dyDescent="0.35"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</row>
    <row r="118" spans="1:56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</row>
    <row r="119" spans="1:56" ht="22" customHeight="1" x14ac:dyDescent="0.35">
      <c r="A119" s="8" t="s">
        <v>252</v>
      </c>
      <c r="B119" s="8" t="s">
        <v>253</v>
      </c>
      <c r="C119" s="8" t="s">
        <v>254</v>
      </c>
      <c r="D119" s="22" t="s">
        <v>5</v>
      </c>
      <c r="E119" s="23" t="s">
        <v>7</v>
      </c>
      <c r="F119" s="24" t="s">
        <v>9</v>
      </c>
      <c r="G119" s="22" t="s">
        <v>5</v>
      </c>
      <c r="H119" s="22" t="s">
        <v>5</v>
      </c>
      <c r="I119" s="22" t="s">
        <v>5</v>
      </c>
      <c r="J119" s="22" t="s">
        <v>5</v>
      </c>
      <c r="K119" s="22" t="s">
        <v>5</v>
      </c>
      <c r="L119" s="23" t="s">
        <v>7</v>
      </c>
      <c r="M119" s="24" t="s">
        <v>9</v>
      </c>
      <c r="N119" s="22" t="s">
        <v>5</v>
      </c>
      <c r="O119" s="22" t="s">
        <v>5</v>
      </c>
      <c r="P119" s="22" t="s">
        <v>5</v>
      </c>
      <c r="Q119" s="22" t="s">
        <v>5</v>
      </c>
      <c r="R119" s="22" t="s">
        <v>5</v>
      </c>
      <c r="S119" s="23" t="s">
        <v>7</v>
      </c>
      <c r="T119" s="24" t="s">
        <v>9</v>
      </c>
      <c r="U119" s="22" t="s">
        <v>5</v>
      </c>
      <c r="V119" s="22" t="s">
        <v>5</v>
      </c>
      <c r="W119" s="22" t="s">
        <v>5</v>
      </c>
      <c r="X119" s="22" t="s">
        <v>5</v>
      </c>
      <c r="Y119" s="22" t="s">
        <v>5</v>
      </c>
      <c r="Z119" s="23" t="s">
        <v>7</v>
      </c>
      <c r="AA119" s="24" t="s">
        <v>9</v>
      </c>
      <c r="AB119" s="22" t="s">
        <v>5</v>
      </c>
      <c r="AC119" s="22" t="s">
        <v>5</v>
      </c>
      <c r="AD119" s="22" t="s">
        <v>5</v>
      </c>
      <c r="AE119" s="22" t="s">
        <v>5</v>
      </c>
      <c r="AF119" s="22" t="s">
        <v>5</v>
      </c>
      <c r="AG119" s="23" t="s">
        <v>7</v>
      </c>
      <c r="AH119" s="24" t="s">
        <v>9</v>
      </c>
      <c r="AI119" s="8">
        <f t="shared" ref="AI119:AI129" si="40">COUNTIF(D119:AH119,"ON")</f>
        <v>0</v>
      </c>
      <c r="AJ119" s="25">
        <f t="shared" ref="AJ119:AJ129" si="41">COUNTIF(D119:AH119,"OFF")</f>
        <v>21</v>
      </c>
      <c r="AK119" s="8">
        <f t="shared" ref="AK119:AK129" si="42">COUNTIF(D119:AH119,"OT")</f>
        <v>0</v>
      </c>
      <c r="AL119" s="62">
        <v>0</v>
      </c>
      <c r="AM119" s="33">
        <f t="shared" ref="AM119:AM129" si="43">AI119+AK119+AL119*0.5</f>
        <v>0</v>
      </c>
      <c r="AN119" s="63">
        <f t="shared" ref="AN119:AN129" si="44">NETWORKDAYS(DATE(2025,8,1),EOMONTH(DATE(2025,8,1),0))*8</f>
        <v>168</v>
      </c>
      <c r="AO119" s="63">
        <f t="shared" ref="AO119:AO129" si="45">MAX(0,COUNTIF(D119,"ON")+COUNTIF(K119,"ON")+COUNTIF(R119,"ON")+COUNTIF(Y119,"ON")+COUNTIF(AF119,"ON")-AL119)</f>
        <v>0</v>
      </c>
      <c r="AP119" s="63">
        <f t="shared" ref="AP119:AP129" si="46">AO119*$AP$2</f>
        <v>0</v>
      </c>
      <c r="AQ119" s="53">
        <f t="shared" ref="AQ119:AQ129" si="47">AM119-AP119/8</f>
        <v>0</v>
      </c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</row>
    <row r="120" spans="1:56" ht="22" customHeight="1" x14ac:dyDescent="0.35">
      <c r="A120" s="8" t="s">
        <v>255</v>
      </c>
      <c r="B120" s="8" t="s">
        <v>256</v>
      </c>
      <c r="C120" s="8" t="s">
        <v>254</v>
      </c>
      <c r="D120" s="22" t="s">
        <v>5</v>
      </c>
      <c r="E120" s="23" t="s">
        <v>7</v>
      </c>
      <c r="F120" s="24" t="s">
        <v>9</v>
      </c>
      <c r="G120" s="22" t="s">
        <v>5</v>
      </c>
      <c r="H120" s="22" t="s">
        <v>5</v>
      </c>
      <c r="I120" s="22" t="s">
        <v>5</v>
      </c>
      <c r="J120" s="22" t="s">
        <v>5</v>
      </c>
      <c r="K120" s="22" t="s">
        <v>5</v>
      </c>
      <c r="L120" s="23" t="s">
        <v>7</v>
      </c>
      <c r="M120" s="24" t="s">
        <v>9</v>
      </c>
      <c r="N120" s="22" t="s">
        <v>5</v>
      </c>
      <c r="O120" s="22" t="s">
        <v>5</v>
      </c>
      <c r="P120" s="22" t="s">
        <v>5</v>
      </c>
      <c r="Q120" s="22" t="s">
        <v>5</v>
      </c>
      <c r="R120" s="22" t="s">
        <v>5</v>
      </c>
      <c r="S120" s="23" t="s">
        <v>7</v>
      </c>
      <c r="T120" s="24" t="s">
        <v>9</v>
      </c>
      <c r="U120" s="22" t="s">
        <v>5</v>
      </c>
      <c r="V120" s="22" t="s">
        <v>5</v>
      </c>
      <c r="W120" s="22" t="s">
        <v>5</v>
      </c>
      <c r="X120" s="22" t="s">
        <v>5</v>
      </c>
      <c r="Y120" s="22" t="s">
        <v>5</v>
      </c>
      <c r="Z120" s="23" t="s">
        <v>7</v>
      </c>
      <c r="AA120" s="24" t="s">
        <v>9</v>
      </c>
      <c r="AB120" s="22" t="s">
        <v>5</v>
      </c>
      <c r="AC120" s="22" t="s">
        <v>5</v>
      </c>
      <c r="AD120" s="22" t="s">
        <v>5</v>
      </c>
      <c r="AE120" s="22" t="s">
        <v>5</v>
      </c>
      <c r="AF120" s="22" t="s">
        <v>5</v>
      </c>
      <c r="AG120" s="23" t="s">
        <v>7</v>
      </c>
      <c r="AH120" s="24" t="s">
        <v>9</v>
      </c>
      <c r="AI120" s="8">
        <f t="shared" si="40"/>
        <v>0</v>
      </c>
      <c r="AJ120" s="25">
        <f t="shared" si="41"/>
        <v>21</v>
      </c>
      <c r="AK120" s="8">
        <f t="shared" si="42"/>
        <v>0</v>
      </c>
      <c r="AL120" s="62">
        <v>0</v>
      </c>
      <c r="AM120" s="33">
        <f t="shared" si="43"/>
        <v>0</v>
      </c>
      <c r="AN120" s="63">
        <f t="shared" si="44"/>
        <v>168</v>
      </c>
      <c r="AO120" s="63">
        <f t="shared" si="45"/>
        <v>0</v>
      </c>
      <c r="AP120" s="63">
        <f t="shared" si="46"/>
        <v>0</v>
      </c>
      <c r="AQ120" s="53">
        <f t="shared" si="47"/>
        <v>0</v>
      </c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</row>
    <row r="121" spans="1:56" ht="22" customHeight="1" x14ac:dyDescent="0.35">
      <c r="A121" s="8" t="s">
        <v>257</v>
      </c>
      <c r="B121" s="8" t="s">
        <v>258</v>
      </c>
      <c r="C121" s="8" t="s">
        <v>254</v>
      </c>
      <c r="D121" s="22" t="s">
        <v>5</v>
      </c>
      <c r="E121" s="23" t="s">
        <v>7</v>
      </c>
      <c r="F121" s="24" t="s">
        <v>9</v>
      </c>
      <c r="G121" s="22" t="s">
        <v>5</v>
      </c>
      <c r="H121" s="22" t="s">
        <v>5</v>
      </c>
      <c r="I121" s="22" t="s">
        <v>5</v>
      </c>
      <c r="J121" s="22" t="s">
        <v>5</v>
      </c>
      <c r="K121" s="22" t="s">
        <v>5</v>
      </c>
      <c r="L121" s="23" t="s">
        <v>7</v>
      </c>
      <c r="M121" s="24" t="s">
        <v>9</v>
      </c>
      <c r="N121" s="22" t="s">
        <v>5</v>
      </c>
      <c r="O121" s="22" t="s">
        <v>5</v>
      </c>
      <c r="P121" s="22" t="s">
        <v>5</v>
      </c>
      <c r="Q121" s="22" t="s">
        <v>5</v>
      </c>
      <c r="R121" s="22" t="s">
        <v>5</v>
      </c>
      <c r="S121" s="23" t="s">
        <v>7</v>
      </c>
      <c r="T121" s="24" t="s">
        <v>9</v>
      </c>
      <c r="U121" s="22" t="s">
        <v>5</v>
      </c>
      <c r="V121" s="22" t="s">
        <v>5</v>
      </c>
      <c r="W121" s="22" t="s">
        <v>5</v>
      </c>
      <c r="X121" s="22" t="s">
        <v>5</v>
      </c>
      <c r="Y121" s="22" t="s">
        <v>5</v>
      </c>
      <c r="Z121" s="23" t="s">
        <v>7</v>
      </c>
      <c r="AA121" s="24" t="s">
        <v>9</v>
      </c>
      <c r="AB121" s="22" t="s">
        <v>5</v>
      </c>
      <c r="AC121" s="22" t="s">
        <v>5</v>
      </c>
      <c r="AD121" s="22" t="s">
        <v>5</v>
      </c>
      <c r="AE121" s="22" t="s">
        <v>5</v>
      </c>
      <c r="AF121" s="22" t="s">
        <v>5</v>
      </c>
      <c r="AG121" s="23" t="s">
        <v>7</v>
      </c>
      <c r="AH121" s="24" t="s">
        <v>9</v>
      </c>
      <c r="AI121" s="8">
        <f t="shared" si="40"/>
        <v>0</v>
      </c>
      <c r="AJ121" s="25">
        <f t="shared" si="41"/>
        <v>21</v>
      </c>
      <c r="AK121" s="8">
        <f t="shared" si="42"/>
        <v>0</v>
      </c>
      <c r="AL121" s="62">
        <v>0</v>
      </c>
      <c r="AM121" s="33">
        <f t="shared" si="43"/>
        <v>0</v>
      </c>
      <c r="AN121" s="63">
        <f t="shared" si="44"/>
        <v>168</v>
      </c>
      <c r="AO121" s="63">
        <f t="shared" si="45"/>
        <v>0</v>
      </c>
      <c r="AP121" s="63">
        <f t="shared" si="46"/>
        <v>0</v>
      </c>
      <c r="AQ121" s="53">
        <f t="shared" si="47"/>
        <v>0</v>
      </c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</row>
    <row r="122" spans="1:56" ht="22" customHeight="1" x14ac:dyDescent="0.35">
      <c r="A122" s="8" t="s">
        <v>259</v>
      </c>
      <c r="B122" s="8" t="s">
        <v>260</v>
      </c>
      <c r="C122" s="8" t="s">
        <v>254</v>
      </c>
      <c r="D122" s="22" t="s">
        <v>5</v>
      </c>
      <c r="E122" s="23" t="s">
        <v>7</v>
      </c>
      <c r="F122" s="24" t="s">
        <v>9</v>
      </c>
      <c r="G122" s="22" t="s">
        <v>5</v>
      </c>
      <c r="H122" s="22" t="s">
        <v>5</v>
      </c>
      <c r="I122" s="22" t="s">
        <v>5</v>
      </c>
      <c r="J122" s="22" t="s">
        <v>5</v>
      </c>
      <c r="K122" s="22" t="s">
        <v>5</v>
      </c>
      <c r="L122" s="23" t="s">
        <v>7</v>
      </c>
      <c r="M122" s="24" t="s">
        <v>9</v>
      </c>
      <c r="N122" s="22" t="s">
        <v>5</v>
      </c>
      <c r="O122" s="22" t="s">
        <v>5</v>
      </c>
      <c r="P122" s="22" t="s">
        <v>5</v>
      </c>
      <c r="Q122" s="22" t="s">
        <v>5</v>
      </c>
      <c r="R122" s="22" t="s">
        <v>5</v>
      </c>
      <c r="S122" s="23" t="s">
        <v>7</v>
      </c>
      <c r="T122" s="24" t="s">
        <v>9</v>
      </c>
      <c r="U122" s="22" t="s">
        <v>5</v>
      </c>
      <c r="V122" s="22" t="s">
        <v>5</v>
      </c>
      <c r="W122" s="22" t="s">
        <v>5</v>
      </c>
      <c r="X122" s="22" t="s">
        <v>5</v>
      </c>
      <c r="Y122" s="22" t="s">
        <v>5</v>
      </c>
      <c r="Z122" s="23" t="s">
        <v>7</v>
      </c>
      <c r="AA122" s="24" t="s">
        <v>9</v>
      </c>
      <c r="AB122" s="22" t="s">
        <v>5</v>
      </c>
      <c r="AC122" s="22" t="s">
        <v>5</v>
      </c>
      <c r="AD122" s="22" t="s">
        <v>5</v>
      </c>
      <c r="AE122" s="22" t="s">
        <v>5</v>
      </c>
      <c r="AF122" s="22" t="s">
        <v>5</v>
      </c>
      <c r="AG122" s="23" t="s">
        <v>7</v>
      </c>
      <c r="AH122" s="24" t="s">
        <v>9</v>
      </c>
      <c r="AI122" s="8">
        <f t="shared" si="40"/>
        <v>0</v>
      </c>
      <c r="AJ122" s="25">
        <f t="shared" si="41"/>
        <v>21</v>
      </c>
      <c r="AK122" s="8">
        <f t="shared" si="42"/>
        <v>0</v>
      </c>
      <c r="AL122" s="62">
        <v>0</v>
      </c>
      <c r="AM122" s="33">
        <f t="shared" si="43"/>
        <v>0</v>
      </c>
      <c r="AN122" s="63">
        <f t="shared" si="44"/>
        <v>168</v>
      </c>
      <c r="AO122" s="63">
        <f t="shared" si="45"/>
        <v>0</v>
      </c>
      <c r="AP122" s="63">
        <f t="shared" si="46"/>
        <v>0</v>
      </c>
      <c r="AQ122" s="53">
        <f t="shared" si="47"/>
        <v>0</v>
      </c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</row>
    <row r="123" spans="1:56" ht="22" customHeight="1" x14ac:dyDescent="0.35">
      <c r="A123" s="8" t="s">
        <v>261</v>
      </c>
      <c r="B123" s="8" t="s">
        <v>262</v>
      </c>
      <c r="C123" s="8" t="s">
        <v>254</v>
      </c>
      <c r="D123" s="22" t="s">
        <v>5</v>
      </c>
      <c r="E123" s="23" t="s">
        <v>7</v>
      </c>
      <c r="F123" s="24" t="s">
        <v>9</v>
      </c>
      <c r="G123" s="22" t="s">
        <v>5</v>
      </c>
      <c r="H123" s="22" t="s">
        <v>5</v>
      </c>
      <c r="I123" s="22" t="s">
        <v>5</v>
      </c>
      <c r="J123" s="22" t="s">
        <v>5</v>
      </c>
      <c r="K123" s="22" t="s">
        <v>5</v>
      </c>
      <c r="L123" s="23" t="s">
        <v>7</v>
      </c>
      <c r="M123" s="24" t="s">
        <v>9</v>
      </c>
      <c r="N123" s="22" t="s">
        <v>5</v>
      </c>
      <c r="O123" s="22" t="s">
        <v>5</v>
      </c>
      <c r="P123" s="22" t="s">
        <v>5</v>
      </c>
      <c r="Q123" s="22" t="s">
        <v>5</v>
      </c>
      <c r="R123" s="22" t="s">
        <v>5</v>
      </c>
      <c r="S123" s="23" t="s">
        <v>7</v>
      </c>
      <c r="T123" s="24" t="s">
        <v>9</v>
      </c>
      <c r="U123" s="22" t="s">
        <v>5</v>
      </c>
      <c r="V123" s="22" t="s">
        <v>5</v>
      </c>
      <c r="W123" s="22" t="s">
        <v>5</v>
      </c>
      <c r="X123" s="22" t="s">
        <v>5</v>
      </c>
      <c r="Y123" s="22" t="s">
        <v>5</v>
      </c>
      <c r="Z123" s="23" t="s">
        <v>7</v>
      </c>
      <c r="AA123" s="24" t="s">
        <v>9</v>
      </c>
      <c r="AB123" s="22" t="s">
        <v>5</v>
      </c>
      <c r="AC123" s="22" t="s">
        <v>5</v>
      </c>
      <c r="AD123" s="22" t="s">
        <v>5</v>
      </c>
      <c r="AE123" s="22" t="s">
        <v>5</v>
      </c>
      <c r="AF123" s="22" t="s">
        <v>5</v>
      </c>
      <c r="AG123" s="23" t="s">
        <v>7</v>
      </c>
      <c r="AH123" s="24" t="s">
        <v>9</v>
      </c>
      <c r="AI123" s="8">
        <f t="shared" si="40"/>
        <v>0</v>
      </c>
      <c r="AJ123" s="25">
        <f t="shared" si="41"/>
        <v>21</v>
      </c>
      <c r="AK123" s="8">
        <f t="shared" si="42"/>
        <v>0</v>
      </c>
      <c r="AL123" s="62">
        <v>0</v>
      </c>
      <c r="AM123" s="33">
        <f t="shared" si="43"/>
        <v>0</v>
      </c>
      <c r="AN123" s="63">
        <f t="shared" si="44"/>
        <v>168</v>
      </c>
      <c r="AO123" s="63">
        <f t="shared" si="45"/>
        <v>0</v>
      </c>
      <c r="AP123" s="63">
        <f t="shared" si="46"/>
        <v>0</v>
      </c>
      <c r="AQ123" s="53">
        <f t="shared" si="47"/>
        <v>0</v>
      </c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</row>
    <row r="124" spans="1:56" ht="22" customHeight="1" x14ac:dyDescent="0.35">
      <c r="A124" s="8" t="s">
        <v>263</v>
      </c>
      <c r="B124" s="8" t="s">
        <v>264</v>
      </c>
      <c r="C124" s="8" t="s">
        <v>254</v>
      </c>
      <c r="D124" s="22" t="s">
        <v>5</v>
      </c>
      <c r="E124" s="23" t="s">
        <v>7</v>
      </c>
      <c r="F124" s="24" t="s">
        <v>9</v>
      </c>
      <c r="G124" s="22" t="s">
        <v>5</v>
      </c>
      <c r="H124" s="22" t="s">
        <v>5</v>
      </c>
      <c r="I124" s="22" t="s">
        <v>5</v>
      </c>
      <c r="J124" s="22" t="s">
        <v>5</v>
      </c>
      <c r="K124" s="22" t="s">
        <v>5</v>
      </c>
      <c r="L124" s="23" t="s">
        <v>7</v>
      </c>
      <c r="M124" s="24" t="s">
        <v>9</v>
      </c>
      <c r="N124" s="22" t="s">
        <v>5</v>
      </c>
      <c r="O124" s="22" t="s">
        <v>5</v>
      </c>
      <c r="P124" s="22" t="s">
        <v>5</v>
      </c>
      <c r="Q124" s="22" t="s">
        <v>5</v>
      </c>
      <c r="R124" s="22" t="s">
        <v>5</v>
      </c>
      <c r="S124" s="23" t="s">
        <v>7</v>
      </c>
      <c r="T124" s="24" t="s">
        <v>9</v>
      </c>
      <c r="U124" s="22" t="s">
        <v>5</v>
      </c>
      <c r="V124" s="22" t="s">
        <v>5</v>
      </c>
      <c r="W124" s="22" t="s">
        <v>5</v>
      </c>
      <c r="X124" s="22" t="s">
        <v>5</v>
      </c>
      <c r="Y124" s="22" t="s">
        <v>5</v>
      </c>
      <c r="Z124" s="23" t="s">
        <v>7</v>
      </c>
      <c r="AA124" s="24" t="s">
        <v>9</v>
      </c>
      <c r="AB124" s="22" t="s">
        <v>5</v>
      </c>
      <c r="AC124" s="22" t="s">
        <v>5</v>
      </c>
      <c r="AD124" s="22" t="s">
        <v>5</v>
      </c>
      <c r="AE124" s="22" t="s">
        <v>5</v>
      </c>
      <c r="AF124" s="22" t="s">
        <v>5</v>
      </c>
      <c r="AG124" s="23" t="s">
        <v>7</v>
      </c>
      <c r="AH124" s="24" t="s">
        <v>9</v>
      </c>
      <c r="AI124" s="8">
        <f t="shared" si="40"/>
        <v>0</v>
      </c>
      <c r="AJ124" s="25">
        <f t="shared" si="41"/>
        <v>21</v>
      </c>
      <c r="AK124" s="8">
        <f t="shared" si="42"/>
        <v>0</v>
      </c>
      <c r="AL124" s="62">
        <v>0</v>
      </c>
      <c r="AM124" s="33">
        <f t="shared" si="43"/>
        <v>0</v>
      </c>
      <c r="AN124" s="63">
        <f t="shared" si="44"/>
        <v>168</v>
      </c>
      <c r="AO124" s="63">
        <f t="shared" si="45"/>
        <v>0</v>
      </c>
      <c r="AP124" s="63">
        <f t="shared" si="46"/>
        <v>0</v>
      </c>
      <c r="AQ124" s="53">
        <f t="shared" si="47"/>
        <v>0</v>
      </c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</row>
    <row r="125" spans="1:56" ht="22" customHeight="1" x14ac:dyDescent="0.35">
      <c r="A125" s="8" t="s">
        <v>265</v>
      </c>
      <c r="B125" s="8" t="s">
        <v>266</v>
      </c>
      <c r="C125" s="8" t="s">
        <v>254</v>
      </c>
      <c r="D125" s="22" t="s">
        <v>5</v>
      </c>
      <c r="E125" s="23" t="s">
        <v>7</v>
      </c>
      <c r="F125" s="24" t="s">
        <v>9</v>
      </c>
      <c r="G125" s="22" t="s">
        <v>5</v>
      </c>
      <c r="H125" s="22" t="s">
        <v>5</v>
      </c>
      <c r="I125" s="22" t="s">
        <v>5</v>
      </c>
      <c r="J125" s="22" t="s">
        <v>5</v>
      </c>
      <c r="K125" s="22" t="s">
        <v>5</v>
      </c>
      <c r="L125" s="23" t="s">
        <v>7</v>
      </c>
      <c r="M125" s="24" t="s">
        <v>9</v>
      </c>
      <c r="N125" s="22" t="s">
        <v>5</v>
      </c>
      <c r="O125" s="22" t="s">
        <v>5</v>
      </c>
      <c r="P125" s="22" t="s">
        <v>5</v>
      </c>
      <c r="Q125" s="22" t="s">
        <v>5</v>
      </c>
      <c r="R125" s="22" t="s">
        <v>5</v>
      </c>
      <c r="S125" s="23" t="s">
        <v>7</v>
      </c>
      <c r="T125" s="24" t="s">
        <v>9</v>
      </c>
      <c r="U125" s="22" t="s">
        <v>5</v>
      </c>
      <c r="V125" s="22" t="s">
        <v>5</v>
      </c>
      <c r="W125" s="22" t="s">
        <v>5</v>
      </c>
      <c r="X125" s="22" t="s">
        <v>5</v>
      </c>
      <c r="Y125" s="22" t="s">
        <v>5</v>
      </c>
      <c r="Z125" s="23" t="s">
        <v>7</v>
      </c>
      <c r="AA125" s="24" t="s">
        <v>9</v>
      </c>
      <c r="AB125" s="22" t="s">
        <v>5</v>
      </c>
      <c r="AC125" s="22" t="s">
        <v>5</v>
      </c>
      <c r="AD125" s="22" t="s">
        <v>5</v>
      </c>
      <c r="AE125" s="22" t="s">
        <v>5</v>
      </c>
      <c r="AF125" s="22" t="s">
        <v>5</v>
      </c>
      <c r="AG125" s="23" t="s">
        <v>7</v>
      </c>
      <c r="AH125" s="24" t="s">
        <v>9</v>
      </c>
      <c r="AI125" s="8">
        <f t="shared" si="40"/>
        <v>0</v>
      </c>
      <c r="AJ125" s="25">
        <f t="shared" si="41"/>
        <v>21</v>
      </c>
      <c r="AK125" s="8">
        <f t="shared" si="42"/>
        <v>0</v>
      </c>
      <c r="AL125" s="62">
        <v>0</v>
      </c>
      <c r="AM125" s="33">
        <f t="shared" si="43"/>
        <v>0</v>
      </c>
      <c r="AN125" s="63">
        <f t="shared" si="44"/>
        <v>168</v>
      </c>
      <c r="AO125" s="63">
        <f t="shared" si="45"/>
        <v>0</v>
      </c>
      <c r="AP125" s="63">
        <f t="shared" si="46"/>
        <v>0</v>
      </c>
      <c r="AQ125" s="53">
        <f t="shared" si="47"/>
        <v>0</v>
      </c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</row>
    <row r="126" spans="1:56" ht="22" customHeight="1" x14ac:dyDescent="0.35">
      <c r="A126" s="8" t="s">
        <v>267</v>
      </c>
      <c r="B126" s="8" t="s">
        <v>268</v>
      </c>
      <c r="C126" s="8" t="s">
        <v>254</v>
      </c>
      <c r="D126" s="22" t="s">
        <v>5</v>
      </c>
      <c r="E126" s="23" t="s">
        <v>7</v>
      </c>
      <c r="F126" s="24" t="s">
        <v>9</v>
      </c>
      <c r="G126" s="22" t="s">
        <v>5</v>
      </c>
      <c r="H126" s="22" t="s">
        <v>5</v>
      </c>
      <c r="I126" s="22" t="s">
        <v>5</v>
      </c>
      <c r="J126" s="22" t="s">
        <v>5</v>
      </c>
      <c r="K126" s="22" t="s">
        <v>5</v>
      </c>
      <c r="L126" s="23" t="s">
        <v>7</v>
      </c>
      <c r="M126" s="24" t="s">
        <v>9</v>
      </c>
      <c r="N126" s="22" t="s">
        <v>5</v>
      </c>
      <c r="O126" s="22" t="s">
        <v>5</v>
      </c>
      <c r="P126" s="22" t="s">
        <v>5</v>
      </c>
      <c r="Q126" s="22" t="s">
        <v>5</v>
      </c>
      <c r="R126" s="22" t="s">
        <v>5</v>
      </c>
      <c r="S126" s="23" t="s">
        <v>7</v>
      </c>
      <c r="T126" s="24" t="s">
        <v>9</v>
      </c>
      <c r="U126" s="22" t="s">
        <v>5</v>
      </c>
      <c r="V126" s="22" t="s">
        <v>5</v>
      </c>
      <c r="W126" s="22" t="s">
        <v>5</v>
      </c>
      <c r="X126" s="22" t="s">
        <v>5</v>
      </c>
      <c r="Y126" s="22" t="s">
        <v>5</v>
      </c>
      <c r="Z126" s="23" t="s">
        <v>7</v>
      </c>
      <c r="AA126" s="24" t="s">
        <v>9</v>
      </c>
      <c r="AB126" s="22" t="s">
        <v>5</v>
      </c>
      <c r="AC126" s="22" t="s">
        <v>5</v>
      </c>
      <c r="AD126" s="22" t="s">
        <v>5</v>
      </c>
      <c r="AE126" s="22" t="s">
        <v>5</v>
      </c>
      <c r="AF126" s="22" t="s">
        <v>5</v>
      </c>
      <c r="AG126" s="23" t="s">
        <v>7</v>
      </c>
      <c r="AH126" s="24" t="s">
        <v>9</v>
      </c>
      <c r="AI126" s="8">
        <f t="shared" si="40"/>
        <v>0</v>
      </c>
      <c r="AJ126" s="25">
        <f t="shared" si="41"/>
        <v>21</v>
      </c>
      <c r="AK126" s="8">
        <f t="shared" si="42"/>
        <v>0</v>
      </c>
      <c r="AL126" s="62">
        <v>0</v>
      </c>
      <c r="AM126" s="33">
        <f t="shared" si="43"/>
        <v>0</v>
      </c>
      <c r="AN126" s="63">
        <f t="shared" si="44"/>
        <v>168</v>
      </c>
      <c r="AO126" s="63">
        <f t="shared" si="45"/>
        <v>0</v>
      </c>
      <c r="AP126" s="63">
        <f t="shared" si="46"/>
        <v>0</v>
      </c>
      <c r="AQ126" s="53">
        <f t="shared" si="47"/>
        <v>0</v>
      </c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</row>
    <row r="127" spans="1:56" ht="22" customHeight="1" x14ac:dyDescent="0.35">
      <c r="A127" s="8" t="s">
        <v>269</v>
      </c>
      <c r="B127" s="8" t="s">
        <v>270</v>
      </c>
      <c r="C127" s="8" t="s">
        <v>254</v>
      </c>
      <c r="D127" s="22" t="s">
        <v>5</v>
      </c>
      <c r="E127" s="23" t="s">
        <v>7</v>
      </c>
      <c r="F127" s="24" t="s">
        <v>9</v>
      </c>
      <c r="G127" s="22" t="s">
        <v>5</v>
      </c>
      <c r="H127" s="22" t="s">
        <v>5</v>
      </c>
      <c r="I127" s="22" t="s">
        <v>5</v>
      </c>
      <c r="J127" s="22" t="s">
        <v>5</v>
      </c>
      <c r="K127" s="22" t="s">
        <v>5</v>
      </c>
      <c r="L127" s="23" t="s">
        <v>7</v>
      </c>
      <c r="M127" s="24" t="s">
        <v>9</v>
      </c>
      <c r="N127" s="22" t="s">
        <v>5</v>
      </c>
      <c r="O127" s="22" t="s">
        <v>5</v>
      </c>
      <c r="P127" s="22" t="s">
        <v>5</v>
      </c>
      <c r="Q127" s="22" t="s">
        <v>5</v>
      </c>
      <c r="R127" s="22" t="s">
        <v>5</v>
      </c>
      <c r="S127" s="23" t="s">
        <v>7</v>
      </c>
      <c r="T127" s="24" t="s">
        <v>9</v>
      </c>
      <c r="U127" s="22" t="s">
        <v>5</v>
      </c>
      <c r="V127" s="22" t="s">
        <v>5</v>
      </c>
      <c r="W127" s="22" t="s">
        <v>5</v>
      </c>
      <c r="X127" s="22" t="s">
        <v>5</v>
      </c>
      <c r="Y127" s="22" t="s">
        <v>5</v>
      </c>
      <c r="Z127" s="23" t="s">
        <v>7</v>
      </c>
      <c r="AA127" s="24" t="s">
        <v>9</v>
      </c>
      <c r="AB127" s="22" t="s">
        <v>5</v>
      </c>
      <c r="AC127" s="22" t="s">
        <v>5</v>
      </c>
      <c r="AD127" s="22" t="s">
        <v>5</v>
      </c>
      <c r="AE127" s="22" t="s">
        <v>5</v>
      </c>
      <c r="AF127" s="22" t="s">
        <v>5</v>
      </c>
      <c r="AG127" s="23" t="s">
        <v>7</v>
      </c>
      <c r="AH127" s="24" t="s">
        <v>9</v>
      </c>
      <c r="AI127" s="8">
        <f t="shared" si="40"/>
        <v>0</v>
      </c>
      <c r="AJ127" s="25">
        <f t="shared" si="41"/>
        <v>21</v>
      </c>
      <c r="AK127" s="8">
        <f t="shared" si="42"/>
        <v>0</v>
      </c>
      <c r="AL127" s="62">
        <v>0</v>
      </c>
      <c r="AM127" s="33">
        <f t="shared" si="43"/>
        <v>0</v>
      </c>
      <c r="AN127" s="63">
        <f t="shared" si="44"/>
        <v>168</v>
      </c>
      <c r="AO127" s="63">
        <f t="shared" si="45"/>
        <v>0</v>
      </c>
      <c r="AP127" s="63">
        <f t="shared" si="46"/>
        <v>0</v>
      </c>
      <c r="AQ127" s="53">
        <f t="shared" si="47"/>
        <v>0</v>
      </c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</row>
    <row r="128" spans="1:56" ht="22" customHeight="1" x14ac:dyDescent="0.35">
      <c r="A128" s="8" t="s">
        <v>271</v>
      </c>
      <c r="B128" s="8" t="s">
        <v>272</v>
      </c>
      <c r="C128" s="8" t="s">
        <v>254</v>
      </c>
      <c r="D128" s="22" t="s">
        <v>5</v>
      </c>
      <c r="E128" s="23" t="s">
        <v>7</v>
      </c>
      <c r="F128" s="24" t="s">
        <v>9</v>
      </c>
      <c r="G128" s="22" t="s">
        <v>5</v>
      </c>
      <c r="H128" s="22" t="s">
        <v>5</v>
      </c>
      <c r="I128" s="22" t="s">
        <v>5</v>
      </c>
      <c r="J128" s="22" t="s">
        <v>5</v>
      </c>
      <c r="K128" s="22" t="s">
        <v>5</v>
      </c>
      <c r="L128" s="23" t="s">
        <v>7</v>
      </c>
      <c r="M128" s="24" t="s">
        <v>9</v>
      </c>
      <c r="N128" s="22" t="s">
        <v>5</v>
      </c>
      <c r="O128" s="22" t="s">
        <v>5</v>
      </c>
      <c r="P128" s="22" t="s">
        <v>5</v>
      </c>
      <c r="Q128" s="22" t="s">
        <v>5</v>
      </c>
      <c r="R128" s="22" t="s">
        <v>5</v>
      </c>
      <c r="S128" s="23" t="s">
        <v>7</v>
      </c>
      <c r="T128" s="24" t="s">
        <v>9</v>
      </c>
      <c r="U128" s="22" t="s">
        <v>5</v>
      </c>
      <c r="V128" s="22" t="s">
        <v>5</v>
      </c>
      <c r="W128" s="22" t="s">
        <v>5</v>
      </c>
      <c r="X128" s="22" t="s">
        <v>5</v>
      </c>
      <c r="Y128" s="22" t="s">
        <v>5</v>
      </c>
      <c r="Z128" s="23" t="s">
        <v>7</v>
      </c>
      <c r="AA128" s="24" t="s">
        <v>9</v>
      </c>
      <c r="AB128" s="22" t="s">
        <v>5</v>
      </c>
      <c r="AC128" s="22" t="s">
        <v>5</v>
      </c>
      <c r="AD128" s="22" t="s">
        <v>5</v>
      </c>
      <c r="AE128" s="22" t="s">
        <v>5</v>
      </c>
      <c r="AF128" s="22" t="s">
        <v>5</v>
      </c>
      <c r="AG128" s="23" t="s">
        <v>7</v>
      </c>
      <c r="AH128" s="24" t="s">
        <v>9</v>
      </c>
      <c r="AI128" s="8">
        <f t="shared" si="40"/>
        <v>0</v>
      </c>
      <c r="AJ128" s="25">
        <f t="shared" si="41"/>
        <v>21</v>
      </c>
      <c r="AK128" s="8">
        <f t="shared" si="42"/>
        <v>0</v>
      </c>
      <c r="AL128" s="62">
        <v>0</v>
      </c>
      <c r="AM128" s="33">
        <f t="shared" si="43"/>
        <v>0</v>
      </c>
      <c r="AN128" s="63">
        <f t="shared" si="44"/>
        <v>168</v>
      </c>
      <c r="AO128" s="63">
        <f t="shared" si="45"/>
        <v>0</v>
      </c>
      <c r="AP128" s="63">
        <f t="shared" si="46"/>
        <v>0</v>
      </c>
      <c r="AQ128" s="53">
        <f t="shared" si="47"/>
        <v>0</v>
      </c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</row>
    <row r="129" spans="1:56" ht="22" customHeight="1" x14ac:dyDescent="0.35">
      <c r="A129" s="8" t="s">
        <v>273</v>
      </c>
      <c r="B129" s="8" t="s">
        <v>274</v>
      </c>
      <c r="C129" s="8" t="s">
        <v>254</v>
      </c>
      <c r="D129" s="22" t="s">
        <v>5</v>
      </c>
      <c r="E129" s="23" t="s">
        <v>7</v>
      </c>
      <c r="F129" s="24" t="s">
        <v>9</v>
      </c>
      <c r="G129" s="22" t="s">
        <v>5</v>
      </c>
      <c r="H129" s="22" t="s">
        <v>5</v>
      </c>
      <c r="I129" s="22" t="s">
        <v>5</v>
      </c>
      <c r="J129" s="22" t="s">
        <v>5</v>
      </c>
      <c r="K129" s="22" t="s">
        <v>5</v>
      </c>
      <c r="L129" s="23" t="s">
        <v>7</v>
      </c>
      <c r="M129" s="24" t="s">
        <v>9</v>
      </c>
      <c r="N129" s="22" t="s">
        <v>5</v>
      </c>
      <c r="O129" s="22" t="s">
        <v>5</v>
      </c>
      <c r="P129" s="22" t="s">
        <v>5</v>
      </c>
      <c r="Q129" s="22" t="s">
        <v>5</v>
      </c>
      <c r="R129" s="22" t="s">
        <v>5</v>
      </c>
      <c r="S129" s="23" t="s">
        <v>7</v>
      </c>
      <c r="T129" s="24" t="s">
        <v>9</v>
      </c>
      <c r="U129" s="22" t="s">
        <v>5</v>
      </c>
      <c r="V129" s="22" t="s">
        <v>5</v>
      </c>
      <c r="W129" s="22" t="s">
        <v>5</v>
      </c>
      <c r="X129" s="22" t="s">
        <v>5</v>
      </c>
      <c r="Y129" s="22" t="s">
        <v>5</v>
      </c>
      <c r="Z129" s="23" t="s">
        <v>7</v>
      </c>
      <c r="AA129" s="24" t="s">
        <v>9</v>
      </c>
      <c r="AB129" s="22" t="s">
        <v>5</v>
      </c>
      <c r="AC129" s="22" t="s">
        <v>5</v>
      </c>
      <c r="AD129" s="22" t="s">
        <v>5</v>
      </c>
      <c r="AE129" s="22" t="s">
        <v>5</v>
      </c>
      <c r="AF129" s="22" t="s">
        <v>5</v>
      </c>
      <c r="AG129" s="23" t="s">
        <v>7</v>
      </c>
      <c r="AH129" s="24" t="s">
        <v>9</v>
      </c>
      <c r="AI129" s="8">
        <f t="shared" si="40"/>
        <v>0</v>
      </c>
      <c r="AJ129" s="25">
        <f t="shared" si="41"/>
        <v>21</v>
      </c>
      <c r="AK129" s="8">
        <f t="shared" si="42"/>
        <v>0</v>
      </c>
      <c r="AL129" s="62">
        <v>0</v>
      </c>
      <c r="AM129" s="33">
        <f t="shared" si="43"/>
        <v>0</v>
      </c>
      <c r="AN129" s="63">
        <f t="shared" si="44"/>
        <v>168</v>
      </c>
      <c r="AO129" s="63">
        <f t="shared" si="45"/>
        <v>0</v>
      </c>
      <c r="AP129" s="63">
        <f t="shared" si="46"/>
        <v>0</v>
      </c>
      <c r="AQ129" s="53">
        <f t="shared" si="47"/>
        <v>0</v>
      </c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</row>
  </sheetData>
  <mergeCells count="11">
    <mergeCell ref="A118:AK118"/>
    <mergeCell ref="A37:AK37"/>
    <mergeCell ref="A1:AK1"/>
    <mergeCell ref="A91:AK91"/>
    <mergeCell ref="A4:AK4"/>
    <mergeCell ref="A97:AK97"/>
    <mergeCell ref="A21:AK21"/>
    <mergeCell ref="A113:AK113"/>
    <mergeCell ref="A2:AK2"/>
    <mergeCell ref="A76:AK76"/>
    <mergeCell ref="A84:AK8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C129"/>
  <sheetViews>
    <sheetView workbookViewId="0">
      <pane xSplit="3" ySplit="3" topLeftCell="S25" activePane="bottomRight" state="frozen"/>
      <selection pane="topRight"/>
      <selection pane="bottomLeft"/>
      <selection pane="bottomRight" activeCell="A28" sqref="A28:XFD28"/>
    </sheetView>
  </sheetViews>
  <sheetFormatPr defaultRowHeight="14.5" x14ac:dyDescent="0.35"/>
  <cols>
    <col min="1" max="1" width="7" customWidth="1"/>
    <col min="2" max="2" width="24" customWidth="1"/>
    <col min="3" max="3" width="13.6328125" bestFit="1" customWidth="1"/>
    <col min="4" max="36" width="5" customWidth="1"/>
    <col min="37" max="37" width="7" customWidth="1"/>
    <col min="38" max="38" width="8" customWidth="1"/>
    <col min="39" max="39" width="9" customWidth="1"/>
    <col min="40" max="40" width="8" customWidth="1"/>
    <col min="41" max="42" width="9" customWidth="1"/>
  </cols>
  <sheetData>
    <row r="1" spans="1:55" ht="30" customHeight="1" x14ac:dyDescent="0.35">
      <c r="A1" s="78" t="s">
        <v>472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</row>
    <row r="2" spans="1:55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M2" s="38"/>
      <c r="AN2" s="59" t="s">
        <v>311</v>
      </c>
      <c r="AO2" s="60">
        <v>4</v>
      </c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</row>
    <row r="3" spans="1:55" ht="35.15" customHeight="1" x14ac:dyDescent="0.35">
      <c r="A3" s="18" t="s">
        <v>14</v>
      </c>
      <c r="B3" s="18" t="s">
        <v>15</v>
      </c>
      <c r="C3" s="18" t="s">
        <v>312</v>
      </c>
      <c r="D3" s="19" t="s">
        <v>473</v>
      </c>
      <c r="E3" s="19" t="s">
        <v>314</v>
      </c>
      <c r="F3" s="19" t="s">
        <v>474</v>
      </c>
      <c r="G3" s="19" t="s">
        <v>359</v>
      </c>
      <c r="H3" s="19" t="s">
        <v>475</v>
      </c>
      <c r="I3" s="20" t="s">
        <v>393</v>
      </c>
      <c r="J3" s="21" t="s">
        <v>439</v>
      </c>
      <c r="K3" s="19" t="s">
        <v>476</v>
      </c>
      <c r="L3" s="19" t="s">
        <v>321</v>
      </c>
      <c r="M3" s="19" t="s">
        <v>477</v>
      </c>
      <c r="N3" s="19" t="s">
        <v>366</v>
      </c>
      <c r="O3" s="19" t="s">
        <v>478</v>
      </c>
      <c r="P3" s="20" t="s">
        <v>399</v>
      </c>
      <c r="Q3" s="21" t="s">
        <v>444</v>
      </c>
      <c r="R3" s="19" t="s">
        <v>479</v>
      </c>
      <c r="S3" s="19" t="s">
        <v>328</v>
      </c>
      <c r="T3" s="19" t="s">
        <v>480</v>
      </c>
      <c r="U3" s="19" t="s">
        <v>373</v>
      </c>
      <c r="V3" s="19" t="s">
        <v>481</v>
      </c>
      <c r="W3" s="20" t="s">
        <v>405</v>
      </c>
      <c r="X3" s="21" t="s">
        <v>449</v>
      </c>
      <c r="Y3" s="19" t="s">
        <v>482</v>
      </c>
      <c r="Z3" s="19" t="s">
        <v>335</v>
      </c>
      <c r="AA3" s="19" t="s">
        <v>483</v>
      </c>
      <c r="AB3" s="19" t="s">
        <v>380</v>
      </c>
      <c r="AC3" s="19" t="s">
        <v>484</v>
      </c>
      <c r="AD3" s="20" t="s">
        <v>411</v>
      </c>
      <c r="AE3" s="21" t="s">
        <v>454</v>
      </c>
      <c r="AF3" s="19" t="s">
        <v>485</v>
      </c>
      <c r="AG3" s="19" t="s">
        <v>342</v>
      </c>
      <c r="AH3" s="7" t="s">
        <v>344</v>
      </c>
      <c r="AI3" s="7" t="s">
        <v>345</v>
      </c>
      <c r="AJ3" s="7" t="s">
        <v>29</v>
      </c>
      <c r="AK3" s="34" t="s">
        <v>346</v>
      </c>
      <c r="AL3" s="34" t="s">
        <v>347</v>
      </c>
      <c r="AM3" s="61" t="s">
        <v>348</v>
      </c>
      <c r="AN3" s="42" t="s">
        <v>349</v>
      </c>
      <c r="AO3" s="43" t="s">
        <v>350</v>
      </c>
      <c r="AP3" s="40" t="s">
        <v>351</v>
      </c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</row>
    <row r="4" spans="1:55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</row>
    <row r="5" spans="1:55" ht="22" customHeight="1" x14ac:dyDescent="0.35">
      <c r="A5" s="8" t="s">
        <v>43</v>
      </c>
      <c r="B5" s="8" t="s">
        <v>44</v>
      </c>
      <c r="C5" s="8" t="s">
        <v>45</v>
      </c>
      <c r="D5" s="22" t="s">
        <v>5</v>
      </c>
      <c r="E5" s="26" t="s">
        <v>3</v>
      </c>
      <c r="F5" s="26" t="s">
        <v>3</v>
      </c>
      <c r="G5" s="26" t="s">
        <v>3</v>
      </c>
      <c r="H5" s="26" t="s">
        <v>3</v>
      </c>
      <c r="I5" s="27" t="s">
        <v>7</v>
      </c>
      <c r="J5" s="28" t="s">
        <v>11</v>
      </c>
      <c r="K5" s="26" t="s">
        <v>3</v>
      </c>
      <c r="L5" s="26" t="s">
        <v>3</v>
      </c>
      <c r="M5" s="26" t="s">
        <v>3</v>
      </c>
      <c r="N5" s="26" t="s">
        <v>3</v>
      </c>
      <c r="O5" s="26" t="s">
        <v>3</v>
      </c>
      <c r="P5" s="27" t="s">
        <v>7</v>
      </c>
      <c r="Q5" s="28" t="s">
        <v>11</v>
      </c>
      <c r="R5" s="26" t="s">
        <v>3</v>
      </c>
      <c r="S5" s="26" t="s">
        <v>3</v>
      </c>
      <c r="T5" s="26" t="s">
        <v>3</v>
      </c>
      <c r="U5" s="26" t="s">
        <v>3</v>
      </c>
      <c r="V5" s="26" t="s">
        <v>3</v>
      </c>
      <c r="W5" s="27" t="s">
        <v>7</v>
      </c>
      <c r="X5" s="28" t="s">
        <v>11</v>
      </c>
      <c r="Y5" s="26" t="s">
        <v>3</v>
      </c>
      <c r="Z5" s="26" t="s">
        <v>3</v>
      </c>
      <c r="AA5" s="26" t="s">
        <v>3</v>
      </c>
      <c r="AB5" s="26" t="s">
        <v>3</v>
      </c>
      <c r="AC5" s="26" t="s">
        <v>3</v>
      </c>
      <c r="AD5" s="23" t="s">
        <v>7</v>
      </c>
      <c r="AE5" s="24" t="s">
        <v>9</v>
      </c>
      <c r="AF5" s="26" t="s">
        <v>3</v>
      </c>
      <c r="AG5" s="26" t="s">
        <v>3</v>
      </c>
      <c r="AH5" s="8">
        <f t="shared" ref="AH5:AH19" si="0">COUNTIF(D5:AG5,"ON")</f>
        <v>21</v>
      </c>
      <c r="AI5" s="8">
        <f t="shared" ref="AI5:AI19" si="1">COUNTIF(D5:AG5,"OFF")</f>
        <v>1</v>
      </c>
      <c r="AJ5" s="29">
        <f t="shared" ref="AJ5:AJ19" si="2">COUNTIF(D5:AG5,"OT")</f>
        <v>3</v>
      </c>
      <c r="AK5" s="62">
        <v>3</v>
      </c>
      <c r="AL5" s="33">
        <f t="shared" ref="AL5:AL19" si="3">AH5+AJ5+AK5*0.5</f>
        <v>25.5</v>
      </c>
      <c r="AM5" s="63">
        <f t="shared" ref="AM5:AM19" si="4">NETWORKDAYS(DATE(2025,9,1),EOMONTH(DATE(2025,9,1),0))*8</f>
        <v>176</v>
      </c>
      <c r="AN5" s="63">
        <f t="shared" ref="AN5:AN19" si="5">MAX(0,COUNTIF(H5,"ON")+COUNTIF(O5,"ON")+COUNTIF(V5,"ON")+COUNTIF(AC5,"ON")-AK5)</f>
        <v>1</v>
      </c>
      <c r="AO5" s="63">
        <f t="shared" ref="AO5:AO19" si="6">AN5*$AO$2</f>
        <v>4</v>
      </c>
      <c r="AP5" s="53">
        <f t="shared" ref="AP5:AP19" si="7">AL5-AO5/8</f>
        <v>25</v>
      </c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</row>
    <row r="6" spans="1:55" ht="22" customHeight="1" x14ac:dyDescent="0.35">
      <c r="A6" s="8" t="s">
        <v>46</v>
      </c>
      <c r="B6" s="8" t="s">
        <v>47</v>
      </c>
      <c r="C6" s="8" t="s">
        <v>45</v>
      </c>
      <c r="D6" s="26" t="s">
        <v>3</v>
      </c>
      <c r="E6" s="26" t="s">
        <v>3</v>
      </c>
      <c r="F6" s="26" t="s">
        <v>3</v>
      </c>
      <c r="G6" s="26" t="s">
        <v>3</v>
      </c>
      <c r="H6" s="26" t="s">
        <v>3</v>
      </c>
      <c r="I6" s="27" t="s">
        <v>7</v>
      </c>
      <c r="J6" s="28" t="s">
        <v>11</v>
      </c>
      <c r="K6" s="26" t="s">
        <v>3</v>
      </c>
      <c r="L6" s="26" t="s">
        <v>3</v>
      </c>
      <c r="M6" s="26" t="s">
        <v>3</v>
      </c>
      <c r="N6" s="26" t="s">
        <v>3</v>
      </c>
      <c r="O6" s="26" t="s">
        <v>3</v>
      </c>
      <c r="P6" s="23" t="s">
        <v>7</v>
      </c>
      <c r="Q6" s="24" t="s">
        <v>9</v>
      </c>
      <c r="R6" s="26" t="s">
        <v>3</v>
      </c>
      <c r="S6" s="26" t="s">
        <v>3</v>
      </c>
      <c r="T6" s="26" t="s">
        <v>3</v>
      </c>
      <c r="U6" s="26" t="s">
        <v>3</v>
      </c>
      <c r="V6" s="26" t="s">
        <v>3</v>
      </c>
      <c r="W6" s="27" t="s">
        <v>7</v>
      </c>
      <c r="X6" s="28" t="s">
        <v>11</v>
      </c>
      <c r="Y6" s="26" t="s">
        <v>3</v>
      </c>
      <c r="Z6" s="26" t="s">
        <v>3</v>
      </c>
      <c r="AA6" s="26" t="s">
        <v>3</v>
      </c>
      <c r="AB6" s="26" t="s">
        <v>3</v>
      </c>
      <c r="AC6" s="26" t="s">
        <v>3</v>
      </c>
      <c r="AD6" s="27" t="s">
        <v>7</v>
      </c>
      <c r="AE6" s="28" t="s">
        <v>11</v>
      </c>
      <c r="AF6" s="22" t="s">
        <v>5</v>
      </c>
      <c r="AG6" s="22" t="s">
        <v>5</v>
      </c>
      <c r="AH6" s="8">
        <f t="shared" si="0"/>
        <v>20</v>
      </c>
      <c r="AI6" s="8">
        <f t="shared" si="1"/>
        <v>2</v>
      </c>
      <c r="AJ6" s="29">
        <f t="shared" si="2"/>
        <v>3</v>
      </c>
      <c r="AK6" s="62">
        <v>3</v>
      </c>
      <c r="AL6" s="33">
        <f t="shared" si="3"/>
        <v>24.5</v>
      </c>
      <c r="AM6" s="63">
        <f t="shared" si="4"/>
        <v>176</v>
      </c>
      <c r="AN6" s="63">
        <f t="shared" si="5"/>
        <v>1</v>
      </c>
      <c r="AO6" s="63">
        <f t="shared" si="6"/>
        <v>4</v>
      </c>
      <c r="AP6" s="53">
        <f t="shared" si="7"/>
        <v>24</v>
      </c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ht="22" customHeight="1" x14ac:dyDescent="0.35">
      <c r="A7" s="8" t="s">
        <v>48</v>
      </c>
      <c r="B7" s="8" t="s">
        <v>49</v>
      </c>
      <c r="C7" s="8" t="s">
        <v>45</v>
      </c>
      <c r="D7" s="26" t="s">
        <v>3</v>
      </c>
      <c r="E7" s="26" t="s">
        <v>3</v>
      </c>
      <c r="F7" s="26" t="s">
        <v>3</v>
      </c>
      <c r="G7" s="26" t="s">
        <v>3</v>
      </c>
      <c r="H7" s="26" t="s">
        <v>3</v>
      </c>
      <c r="I7" s="27" t="s">
        <v>7</v>
      </c>
      <c r="J7" s="28" t="s">
        <v>11</v>
      </c>
      <c r="K7" s="26" t="s">
        <v>3</v>
      </c>
      <c r="L7" s="26" t="s">
        <v>3</v>
      </c>
      <c r="M7" s="26" t="s">
        <v>3</v>
      </c>
      <c r="N7" s="26" t="s">
        <v>3</v>
      </c>
      <c r="O7" s="26" t="s">
        <v>3</v>
      </c>
      <c r="P7" s="23" t="s">
        <v>7</v>
      </c>
      <c r="Q7" s="24" t="s">
        <v>9</v>
      </c>
      <c r="R7" s="26" t="s">
        <v>3</v>
      </c>
      <c r="S7" s="26" t="s">
        <v>3</v>
      </c>
      <c r="T7" s="26" t="s">
        <v>3</v>
      </c>
      <c r="U7" s="26" t="s">
        <v>3</v>
      </c>
      <c r="V7" s="26" t="s">
        <v>3</v>
      </c>
      <c r="W7" s="27" t="s">
        <v>7</v>
      </c>
      <c r="X7" s="28" t="s">
        <v>11</v>
      </c>
      <c r="Y7" s="26" t="s">
        <v>3</v>
      </c>
      <c r="Z7" s="26" t="s">
        <v>3</v>
      </c>
      <c r="AA7" s="26" t="s">
        <v>3</v>
      </c>
      <c r="AB7" s="26" t="s">
        <v>3</v>
      </c>
      <c r="AC7" s="26" t="s">
        <v>3</v>
      </c>
      <c r="AD7" s="23" t="s">
        <v>7</v>
      </c>
      <c r="AE7" s="24" t="s">
        <v>9</v>
      </c>
      <c r="AF7" s="26" t="s">
        <v>3</v>
      </c>
      <c r="AG7" s="26" t="s">
        <v>3</v>
      </c>
      <c r="AH7" s="8">
        <f t="shared" si="0"/>
        <v>22</v>
      </c>
      <c r="AI7" s="8">
        <f t="shared" si="1"/>
        <v>0</v>
      </c>
      <c r="AJ7" s="29">
        <f t="shared" si="2"/>
        <v>2</v>
      </c>
      <c r="AK7" s="62">
        <v>2</v>
      </c>
      <c r="AL7" s="33">
        <f t="shared" si="3"/>
        <v>25</v>
      </c>
      <c r="AM7" s="63">
        <f t="shared" si="4"/>
        <v>176</v>
      </c>
      <c r="AN7" s="63">
        <f t="shared" si="5"/>
        <v>2</v>
      </c>
      <c r="AO7" s="63">
        <f t="shared" si="6"/>
        <v>8</v>
      </c>
      <c r="AP7" s="53">
        <f t="shared" si="7"/>
        <v>24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ht="22" customHeight="1" x14ac:dyDescent="0.35">
      <c r="A8" s="8" t="s">
        <v>50</v>
      </c>
      <c r="B8" s="8" t="s">
        <v>51</v>
      </c>
      <c r="C8" s="8" t="s">
        <v>45</v>
      </c>
      <c r="D8" s="26" t="s">
        <v>3</v>
      </c>
      <c r="E8" s="26" t="s">
        <v>3</v>
      </c>
      <c r="F8" s="26" t="s">
        <v>3</v>
      </c>
      <c r="G8" s="26" t="s">
        <v>3</v>
      </c>
      <c r="H8" s="26" t="s">
        <v>3</v>
      </c>
      <c r="I8" s="27" t="s">
        <v>7</v>
      </c>
      <c r="J8" s="28" t="s">
        <v>11</v>
      </c>
      <c r="K8" s="26" t="s">
        <v>3</v>
      </c>
      <c r="L8" s="26" t="s">
        <v>3</v>
      </c>
      <c r="M8" s="26" t="s">
        <v>3</v>
      </c>
      <c r="N8" s="26" t="s">
        <v>3</v>
      </c>
      <c r="O8" s="26" t="s">
        <v>3</v>
      </c>
      <c r="P8" s="23" t="s">
        <v>7</v>
      </c>
      <c r="Q8" s="24" t="s">
        <v>9</v>
      </c>
      <c r="R8" s="26" t="s">
        <v>3</v>
      </c>
      <c r="S8" s="26" t="s">
        <v>3</v>
      </c>
      <c r="T8" s="26" t="s">
        <v>3</v>
      </c>
      <c r="U8" s="26" t="s">
        <v>3</v>
      </c>
      <c r="V8" s="26" t="s">
        <v>3</v>
      </c>
      <c r="W8" s="27" t="s">
        <v>7</v>
      </c>
      <c r="X8" s="28" t="s">
        <v>11</v>
      </c>
      <c r="Y8" s="26" t="s">
        <v>3</v>
      </c>
      <c r="Z8" s="26" t="s">
        <v>3</v>
      </c>
      <c r="AA8" s="26" t="s">
        <v>3</v>
      </c>
      <c r="AB8" s="26" t="s">
        <v>3</v>
      </c>
      <c r="AC8" s="26" t="s">
        <v>3</v>
      </c>
      <c r="AD8" s="27" t="s">
        <v>7</v>
      </c>
      <c r="AE8" s="24" t="s">
        <v>9</v>
      </c>
      <c r="AF8" s="22" t="s">
        <v>5</v>
      </c>
      <c r="AG8" s="22" t="s">
        <v>5</v>
      </c>
      <c r="AH8" s="8">
        <f t="shared" si="0"/>
        <v>20</v>
      </c>
      <c r="AI8" s="8">
        <f t="shared" si="1"/>
        <v>2</v>
      </c>
      <c r="AJ8" s="29">
        <f t="shared" si="2"/>
        <v>2</v>
      </c>
      <c r="AK8" s="62">
        <v>3</v>
      </c>
      <c r="AL8" s="33">
        <f t="shared" si="3"/>
        <v>23.5</v>
      </c>
      <c r="AM8" s="63">
        <f t="shared" si="4"/>
        <v>176</v>
      </c>
      <c r="AN8" s="63">
        <f t="shared" si="5"/>
        <v>1</v>
      </c>
      <c r="AO8" s="63">
        <f t="shared" si="6"/>
        <v>4</v>
      </c>
      <c r="AP8" s="53">
        <f t="shared" si="7"/>
        <v>23</v>
      </c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ht="22" customHeight="1" x14ac:dyDescent="0.35">
      <c r="A9" s="8" t="s">
        <v>52</v>
      </c>
      <c r="B9" s="8" t="s">
        <v>53</v>
      </c>
      <c r="C9" s="8" t="s">
        <v>45</v>
      </c>
      <c r="D9" s="26" t="s">
        <v>3</v>
      </c>
      <c r="E9" s="26" t="s">
        <v>3</v>
      </c>
      <c r="F9" s="26" t="s">
        <v>3</v>
      </c>
      <c r="G9" s="26" t="s">
        <v>3</v>
      </c>
      <c r="H9" s="26" t="s">
        <v>3</v>
      </c>
      <c r="I9" s="23" t="s">
        <v>7</v>
      </c>
      <c r="J9" s="24" t="s">
        <v>9</v>
      </c>
      <c r="K9" s="26" t="s">
        <v>3</v>
      </c>
      <c r="L9" s="26" t="s">
        <v>3</v>
      </c>
      <c r="M9" s="26" t="s">
        <v>3</v>
      </c>
      <c r="N9" s="26" t="s">
        <v>3</v>
      </c>
      <c r="O9" s="26" t="s">
        <v>3</v>
      </c>
      <c r="P9" s="27" t="s">
        <v>7</v>
      </c>
      <c r="Q9" s="28" t="s">
        <v>11</v>
      </c>
      <c r="R9" s="26" t="s">
        <v>3</v>
      </c>
      <c r="S9" s="26" t="s">
        <v>3</v>
      </c>
      <c r="T9" s="26" t="s">
        <v>3</v>
      </c>
      <c r="U9" s="26" t="s">
        <v>3</v>
      </c>
      <c r="V9" s="26" t="s">
        <v>3</v>
      </c>
      <c r="W9" s="27" t="s">
        <v>7</v>
      </c>
      <c r="X9" s="28" t="s">
        <v>11</v>
      </c>
      <c r="Y9" s="26" t="s">
        <v>3</v>
      </c>
      <c r="Z9" s="26" t="s">
        <v>3</v>
      </c>
      <c r="AA9" s="26" t="s">
        <v>3</v>
      </c>
      <c r="AB9" s="26" t="s">
        <v>3</v>
      </c>
      <c r="AC9" s="26" t="s">
        <v>3</v>
      </c>
      <c r="AD9" s="27" t="s">
        <v>7</v>
      </c>
      <c r="AE9" s="28" t="s">
        <v>11</v>
      </c>
      <c r="AF9" s="26" t="s">
        <v>3</v>
      </c>
      <c r="AG9" s="26" t="s">
        <v>3</v>
      </c>
      <c r="AH9" s="8">
        <f t="shared" si="0"/>
        <v>22</v>
      </c>
      <c r="AI9" s="8">
        <f t="shared" si="1"/>
        <v>0</v>
      </c>
      <c r="AJ9" s="29">
        <f t="shared" si="2"/>
        <v>3</v>
      </c>
      <c r="AK9" s="62">
        <v>3</v>
      </c>
      <c r="AL9" s="33">
        <f t="shared" si="3"/>
        <v>26.5</v>
      </c>
      <c r="AM9" s="63">
        <f t="shared" si="4"/>
        <v>176</v>
      </c>
      <c r="AN9" s="63">
        <f t="shared" si="5"/>
        <v>1</v>
      </c>
      <c r="AO9" s="63">
        <f t="shared" si="6"/>
        <v>4</v>
      </c>
      <c r="AP9" s="53">
        <f t="shared" si="7"/>
        <v>26</v>
      </c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ht="22" customHeight="1" x14ac:dyDescent="0.35">
      <c r="A10" s="8" t="s">
        <v>54</v>
      </c>
      <c r="B10" s="8" t="s">
        <v>55</v>
      </c>
      <c r="C10" s="8" t="s">
        <v>45</v>
      </c>
      <c r="D10" s="26" t="s">
        <v>3</v>
      </c>
      <c r="E10" s="26" t="s">
        <v>3</v>
      </c>
      <c r="F10" s="26" t="s">
        <v>3</v>
      </c>
      <c r="G10" s="26" t="s">
        <v>3</v>
      </c>
      <c r="H10" s="26" t="s">
        <v>3</v>
      </c>
      <c r="I10" s="23" t="s">
        <v>7</v>
      </c>
      <c r="J10" s="24" t="s">
        <v>9</v>
      </c>
      <c r="K10" s="26" t="s">
        <v>3</v>
      </c>
      <c r="L10" s="26" t="s">
        <v>3</v>
      </c>
      <c r="M10" s="26" t="s">
        <v>3</v>
      </c>
      <c r="N10" s="26" t="s">
        <v>3</v>
      </c>
      <c r="O10" s="26" t="s">
        <v>3</v>
      </c>
      <c r="P10" s="27" t="s">
        <v>7</v>
      </c>
      <c r="Q10" s="24" t="s">
        <v>9</v>
      </c>
      <c r="R10" s="26" t="s">
        <v>3</v>
      </c>
      <c r="S10" s="26" t="s">
        <v>3</v>
      </c>
      <c r="T10" s="26" t="s">
        <v>3</v>
      </c>
      <c r="U10" s="26" t="s">
        <v>3</v>
      </c>
      <c r="V10" s="26" t="s">
        <v>3</v>
      </c>
      <c r="W10" s="23" t="s">
        <v>7</v>
      </c>
      <c r="X10" s="24" t="s">
        <v>9</v>
      </c>
      <c r="Y10" s="26" t="s">
        <v>3</v>
      </c>
      <c r="Z10" s="26" t="s">
        <v>3</v>
      </c>
      <c r="AA10" s="26" t="s">
        <v>3</v>
      </c>
      <c r="AB10" s="26" t="s">
        <v>3</v>
      </c>
      <c r="AC10" s="26" t="s">
        <v>3</v>
      </c>
      <c r="AD10" s="27" t="s">
        <v>7</v>
      </c>
      <c r="AE10" s="24" t="s">
        <v>9</v>
      </c>
      <c r="AF10" s="26" t="s">
        <v>3</v>
      </c>
      <c r="AG10" s="26" t="s">
        <v>3</v>
      </c>
      <c r="AH10" s="8">
        <f t="shared" si="0"/>
        <v>22</v>
      </c>
      <c r="AI10" s="8">
        <f t="shared" si="1"/>
        <v>0</v>
      </c>
      <c r="AJ10" s="8">
        <f t="shared" si="2"/>
        <v>0</v>
      </c>
      <c r="AK10" s="62">
        <v>2</v>
      </c>
      <c r="AL10" s="33">
        <f t="shared" si="3"/>
        <v>23</v>
      </c>
      <c r="AM10" s="63">
        <f t="shared" si="4"/>
        <v>176</v>
      </c>
      <c r="AN10" s="63">
        <f t="shared" si="5"/>
        <v>2</v>
      </c>
      <c r="AO10" s="63">
        <f t="shared" si="6"/>
        <v>8</v>
      </c>
      <c r="AP10" s="53">
        <f t="shared" si="7"/>
        <v>22</v>
      </c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ht="22" customHeight="1" x14ac:dyDescent="0.35">
      <c r="A11" s="8" t="s">
        <v>56</v>
      </c>
      <c r="B11" s="8" t="s">
        <v>57</v>
      </c>
      <c r="C11" s="8" t="s">
        <v>45</v>
      </c>
      <c r="D11" s="26" t="s">
        <v>3</v>
      </c>
      <c r="E11" s="26" t="s">
        <v>3</v>
      </c>
      <c r="F11" s="26" t="s">
        <v>3</v>
      </c>
      <c r="G11" s="26" t="s">
        <v>3</v>
      </c>
      <c r="H11" s="26" t="s">
        <v>3</v>
      </c>
      <c r="I11" s="27" t="s">
        <v>7</v>
      </c>
      <c r="J11" s="28" t="s">
        <v>11</v>
      </c>
      <c r="K11" s="26" t="s">
        <v>3</v>
      </c>
      <c r="L11" s="26" t="s">
        <v>3</v>
      </c>
      <c r="M11" s="26" t="s">
        <v>3</v>
      </c>
      <c r="N11" s="26" t="s">
        <v>3</v>
      </c>
      <c r="O11" s="26" t="s">
        <v>3</v>
      </c>
      <c r="P11" s="23" t="s">
        <v>7</v>
      </c>
      <c r="Q11" s="24" t="s">
        <v>9</v>
      </c>
      <c r="R11" s="26" t="s">
        <v>3</v>
      </c>
      <c r="S11" s="26" t="s">
        <v>3</v>
      </c>
      <c r="T11" s="26" t="s">
        <v>3</v>
      </c>
      <c r="U11" s="26" t="s">
        <v>3</v>
      </c>
      <c r="V11" s="26" t="s">
        <v>3</v>
      </c>
      <c r="W11" s="27" t="s">
        <v>7</v>
      </c>
      <c r="X11" s="28" t="s">
        <v>11</v>
      </c>
      <c r="Y11" s="26" t="s">
        <v>3</v>
      </c>
      <c r="Z11" s="26" t="s">
        <v>3</v>
      </c>
      <c r="AA11" s="26" t="s">
        <v>3</v>
      </c>
      <c r="AB11" s="26" t="s">
        <v>3</v>
      </c>
      <c r="AC11" s="26" t="s">
        <v>3</v>
      </c>
      <c r="AD11" s="23" t="s">
        <v>7</v>
      </c>
      <c r="AE11" s="24" t="s">
        <v>9</v>
      </c>
      <c r="AF11" s="26" t="s">
        <v>3</v>
      </c>
      <c r="AG11" s="26" t="s">
        <v>3</v>
      </c>
      <c r="AH11" s="8">
        <f t="shared" si="0"/>
        <v>22</v>
      </c>
      <c r="AI11" s="8">
        <f t="shared" si="1"/>
        <v>0</v>
      </c>
      <c r="AJ11" s="29">
        <f t="shared" si="2"/>
        <v>2</v>
      </c>
      <c r="AK11" s="62">
        <v>2</v>
      </c>
      <c r="AL11" s="33">
        <f t="shared" si="3"/>
        <v>25</v>
      </c>
      <c r="AM11" s="63">
        <f t="shared" si="4"/>
        <v>176</v>
      </c>
      <c r="AN11" s="63">
        <f t="shared" si="5"/>
        <v>2</v>
      </c>
      <c r="AO11" s="63">
        <f t="shared" si="6"/>
        <v>8</v>
      </c>
      <c r="AP11" s="53">
        <f t="shared" si="7"/>
        <v>24</v>
      </c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</row>
    <row r="12" spans="1:55" ht="22" customHeight="1" x14ac:dyDescent="0.35">
      <c r="A12" s="8" t="s">
        <v>58</v>
      </c>
      <c r="B12" s="8" t="s">
        <v>59</v>
      </c>
      <c r="C12" s="8" t="s">
        <v>45</v>
      </c>
      <c r="D12" s="26" t="s">
        <v>3</v>
      </c>
      <c r="E12" s="26" t="s">
        <v>3</v>
      </c>
      <c r="F12" s="26" t="s">
        <v>3</v>
      </c>
      <c r="G12" s="26" t="s">
        <v>3</v>
      </c>
      <c r="H12" s="26" t="s">
        <v>3</v>
      </c>
      <c r="I12" s="23" t="s">
        <v>7</v>
      </c>
      <c r="J12" s="24" t="s">
        <v>9</v>
      </c>
      <c r="K12" s="26" t="s">
        <v>3</v>
      </c>
      <c r="L12" s="26" t="s">
        <v>3</v>
      </c>
      <c r="M12" s="26" t="s">
        <v>3</v>
      </c>
      <c r="N12" s="26" t="s">
        <v>3</v>
      </c>
      <c r="O12" s="26" t="s">
        <v>3</v>
      </c>
      <c r="P12" s="27" t="s">
        <v>7</v>
      </c>
      <c r="Q12" s="28" t="s">
        <v>11</v>
      </c>
      <c r="R12" s="26" t="s">
        <v>3</v>
      </c>
      <c r="S12" s="26" t="s">
        <v>3</v>
      </c>
      <c r="T12" s="26" t="s">
        <v>3</v>
      </c>
      <c r="U12" s="26" t="s">
        <v>3</v>
      </c>
      <c r="V12" s="26" t="s">
        <v>3</v>
      </c>
      <c r="W12" s="27" t="s">
        <v>7</v>
      </c>
      <c r="X12" s="28" t="s">
        <v>11</v>
      </c>
      <c r="Y12" s="26" t="s">
        <v>3</v>
      </c>
      <c r="Z12" s="26" t="s">
        <v>3</v>
      </c>
      <c r="AA12" s="26" t="s">
        <v>3</v>
      </c>
      <c r="AB12" s="26" t="s">
        <v>3</v>
      </c>
      <c r="AC12" s="26" t="s">
        <v>3</v>
      </c>
      <c r="AD12" s="23" t="s">
        <v>7</v>
      </c>
      <c r="AE12" s="24" t="s">
        <v>9</v>
      </c>
      <c r="AF12" s="26" t="s">
        <v>3</v>
      </c>
      <c r="AG12" s="26" t="s">
        <v>3</v>
      </c>
      <c r="AH12" s="8">
        <f t="shared" si="0"/>
        <v>22</v>
      </c>
      <c r="AI12" s="8">
        <f t="shared" si="1"/>
        <v>0</v>
      </c>
      <c r="AJ12" s="29">
        <f t="shared" si="2"/>
        <v>2</v>
      </c>
      <c r="AK12" s="62">
        <v>2</v>
      </c>
      <c r="AL12" s="33">
        <f t="shared" si="3"/>
        <v>25</v>
      </c>
      <c r="AM12" s="63">
        <f t="shared" si="4"/>
        <v>176</v>
      </c>
      <c r="AN12" s="63">
        <f t="shared" si="5"/>
        <v>2</v>
      </c>
      <c r="AO12" s="63">
        <f t="shared" si="6"/>
        <v>8</v>
      </c>
      <c r="AP12" s="53">
        <f t="shared" si="7"/>
        <v>24</v>
      </c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</row>
    <row r="13" spans="1:55" ht="22" customHeight="1" x14ac:dyDescent="0.35">
      <c r="A13" s="8" t="s">
        <v>60</v>
      </c>
      <c r="B13" s="8" t="s">
        <v>61</v>
      </c>
      <c r="C13" s="8" t="s">
        <v>45</v>
      </c>
      <c r="D13" s="26" t="s">
        <v>3</v>
      </c>
      <c r="E13" s="26" t="s">
        <v>3</v>
      </c>
      <c r="F13" s="26" t="s">
        <v>3</v>
      </c>
      <c r="G13" s="26" t="s">
        <v>3</v>
      </c>
      <c r="H13" s="26" t="s">
        <v>3</v>
      </c>
      <c r="I13" s="27" t="s">
        <v>7</v>
      </c>
      <c r="J13" s="28" t="s">
        <v>11</v>
      </c>
      <c r="K13" s="26" t="s">
        <v>3</v>
      </c>
      <c r="L13" s="26" t="s">
        <v>3</v>
      </c>
      <c r="M13" s="26" t="s">
        <v>3</v>
      </c>
      <c r="N13" s="26" t="s">
        <v>3</v>
      </c>
      <c r="O13" s="26" t="s">
        <v>3</v>
      </c>
      <c r="P13" s="23" t="s">
        <v>7</v>
      </c>
      <c r="Q13" s="24" t="s">
        <v>9</v>
      </c>
      <c r="R13" s="26" t="s">
        <v>3</v>
      </c>
      <c r="S13" s="26" t="s">
        <v>3</v>
      </c>
      <c r="T13" s="26" t="s">
        <v>3</v>
      </c>
      <c r="U13" s="26" t="s">
        <v>3</v>
      </c>
      <c r="V13" s="26" t="s">
        <v>3</v>
      </c>
      <c r="W13" s="27" t="s">
        <v>7</v>
      </c>
      <c r="X13" s="28" t="s">
        <v>11</v>
      </c>
      <c r="Y13" s="26" t="s">
        <v>3</v>
      </c>
      <c r="Z13" s="26" t="s">
        <v>3</v>
      </c>
      <c r="AA13" s="26" t="s">
        <v>3</v>
      </c>
      <c r="AB13" s="26" t="s">
        <v>3</v>
      </c>
      <c r="AC13" s="26" t="s">
        <v>3</v>
      </c>
      <c r="AD13" s="27" t="s">
        <v>7</v>
      </c>
      <c r="AE13" s="28" t="s">
        <v>11</v>
      </c>
      <c r="AF13" s="26" t="s">
        <v>3</v>
      </c>
      <c r="AG13" s="26" t="s">
        <v>3</v>
      </c>
      <c r="AH13" s="8">
        <f t="shared" si="0"/>
        <v>22</v>
      </c>
      <c r="AI13" s="8">
        <f t="shared" si="1"/>
        <v>0</v>
      </c>
      <c r="AJ13" s="29">
        <f t="shared" si="2"/>
        <v>3</v>
      </c>
      <c r="AK13" s="62">
        <v>3</v>
      </c>
      <c r="AL13" s="33">
        <f t="shared" si="3"/>
        <v>26.5</v>
      </c>
      <c r="AM13" s="63">
        <f t="shared" si="4"/>
        <v>176</v>
      </c>
      <c r="AN13" s="63">
        <f t="shared" si="5"/>
        <v>1</v>
      </c>
      <c r="AO13" s="63">
        <f t="shared" si="6"/>
        <v>4</v>
      </c>
      <c r="AP13" s="53">
        <f t="shared" si="7"/>
        <v>26</v>
      </c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</row>
    <row r="14" spans="1:55" ht="22" customHeight="1" x14ac:dyDescent="0.35">
      <c r="A14" s="8" t="s">
        <v>352</v>
      </c>
      <c r="B14" s="8" t="s">
        <v>353</v>
      </c>
      <c r="C14" s="8" t="s">
        <v>45</v>
      </c>
      <c r="D14" s="26" t="s">
        <v>3</v>
      </c>
      <c r="E14" s="26" t="s">
        <v>3</v>
      </c>
      <c r="F14" s="26" t="s">
        <v>3</v>
      </c>
      <c r="G14" s="26" t="s">
        <v>3</v>
      </c>
      <c r="H14" s="26" t="s">
        <v>3</v>
      </c>
      <c r="I14" s="23" t="s">
        <v>7</v>
      </c>
      <c r="J14" s="24" t="s">
        <v>9</v>
      </c>
      <c r="K14" s="26" t="s">
        <v>3</v>
      </c>
      <c r="L14" s="26" t="s">
        <v>3</v>
      </c>
      <c r="M14" s="26" t="s">
        <v>3</v>
      </c>
      <c r="N14" s="26" t="s">
        <v>3</v>
      </c>
      <c r="O14" s="26" t="s">
        <v>3</v>
      </c>
      <c r="P14" s="27" t="s">
        <v>7</v>
      </c>
      <c r="Q14" s="28" t="s">
        <v>11</v>
      </c>
      <c r="R14" s="26" t="s">
        <v>3</v>
      </c>
      <c r="S14" s="26" t="s">
        <v>3</v>
      </c>
      <c r="T14" s="26" t="s">
        <v>3</v>
      </c>
      <c r="U14" s="26" t="s">
        <v>3</v>
      </c>
      <c r="V14" s="26" t="s">
        <v>3</v>
      </c>
      <c r="W14" s="23" t="s">
        <v>7</v>
      </c>
      <c r="X14" s="24" t="s">
        <v>9</v>
      </c>
      <c r="Y14" s="26" t="s">
        <v>3</v>
      </c>
      <c r="Z14" s="26" t="s">
        <v>3</v>
      </c>
      <c r="AA14" s="26" t="s">
        <v>3</v>
      </c>
      <c r="AB14" s="26" t="s">
        <v>3</v>
      </c>
      <c r="AC14" s="26" t="s">
        <v>3</v>
      </c>
      <c r="AD14" s="27" t="s">
        <v>7</v>
      </c>
      <c r="AE14" s="28" t="s">
        <v>11</v>
      </c>
      <c r="AF14" s="26" t="s">
        <v>3</v>
      </c>
      <c r="AG14" s="26" t="s">
        <v>3</v>
      </c>
      <c r="AH14" s="8">
        <f t="shared" si="0"/>
        <v>22</v>
      </c>
      <c r="AI14" s="8">
        <f t="shared" si="1"/>
        <v>0</v>
      </c>
      <c r="AJ14" s="29">
        <f t="shared" si="2"/>
        <v>2</v>
      </c>
      <c r="AK14" s="62">
        <v>2</v>
      </c>
      <c r="AL14" s="33">
        <f t="shared" si="3"/>
        <v>25</v>
      </c>
      <c r="AM14" s="63">
        <f t="shared" si="4"/>
        <v>176</v>
      </c>
      <c r="AN14" s="63">
        <f t="shared" si="5"/>
        <v>2</v>
      </c>
      <c r="AO14" s="63">
        <f t="shared" si="6"/>
        <v>8</v>
      </c>
      <c r="AP14" s="53">
        <f t="shared" si="7"/>
        <v>24</v>
      </c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</row>
    <row r="15" spans="1:55" ht="22" customHeight="1" x14ac:dyDescent="0.35">
      <c r="A15" s="8" t="s">
        <v>62</v>
      </c>
      <c r="B15" s="8" t="s">
        <v>63</v>
      </c>
      <c r="C15" s="8" t="s">
        <v>45</v>
      </c>
      <c r="D15" s="22" t="s">
        <v>5</v>
      </c>
      <c r="E15" s="22" t="s">
        <v>5</v>
      </c>
      <c r="F15" s="26" t="s">
        <v>3</v>
      </c>
      <c r="G15" s="26" t="s">
        <v>3</v>
      </c>
      <c r="H15" s="26" t="s">
        <v>3</v>
      </c>
      <c r="I15" s="27" t="s">
        <v>7</v>
      </c>
      <c r="J15" s="28" t="s">
        <v>11</v>
      </c>
      <c r="K15" s="26" t="s">
        <v>3</v>
      </c>
      <c r="L15" s="22" t="s">
        <v>5</v>
      </c>
      <c r="M15" s="26" t="s">
        <v>3</v>
      </c>
      <c r="N15" s="22" t="s">
        <v>5</v>
      </c>
      <c r="O15" s="26" t="s">
        <v>3</v>
      </c>
      <c r="P15" s="27" t="s">
        <v>7</v>
      </c>
      <c r="Q15" s="24" t="s">
        <v>9</v>
      </c>
      <c r="R15" s="26" t="s">
        <v>3</v>
      </c>
      <c r="S15" s="26" t="s">
        <v>3</v>
      </c>
      <c r="T15" s="26" t="s">
        <v>3</v>
      </c>
      <c r="U15" s="22" t="s">
        <v>5</v>
      </c>
      <c r="V15" s="26" t="s">
        <v>3</v>
      </c>
      <c r="W15" s="23" t="s">
        <v>7</v>
      </c>
      <c r="X15" s="24" t="s">
        <v>9</v>
      </c>
      <c r="Y15" s="22" t="s">
        <v>5</v>
      </c>
      <c r="Z15" s="26" t="s">
        <v>3</v>
      </c>
      <c r="AA15" s="26" t="s">
        <v>3</v>
      </c>
      <c r="AB15" s="26" t="s">
        <v>3</v>
      </c>
      <c r="AC15" s="26" t="s">
        <v>3</v>
      </c>
      <c r="AD15" s="27" t="s">
        <v>7</v>
      </c>
      <c r="AE15" s="24" t="s">
        <v>9</v>
      </c>
      <c r="AF15" s="26" t="s">
        <v>3</v>
      </c>
      <c r="AG15" s="26" t="s">
        <v>3</v>
      </c>
      <c r="AH15" s="8">
        <f t="shared" si="0"/>
        <v>16</v>
      </c>
      <c r="AI15" s="8">
        <f t="shared" si="1"/>
        <v>6</v>
      </c>
      <c r="AJ15" s="29">
        <f t="shared" si="2"/>
        <v>1</v>
      </c>
      <c r="AK15" s="62">
        <v>3</v>
      </c>
      <c r="AL15" s="33">
        <f t="shared" si="3"/>
        <v>18.5</v>
      </c>
      <c r="AM15" s="63">
        <f t="shared" si="4"/>
        <v>176</v>
      </c>
      <c r="AN15" s="63">
        <f t="shared" si="5"/>
        <v>1</v>
      </c>
      <c r="AO15" s="63">
        <f t="shared" si="6"/>
        <v>4</v>
      </c>
      <c r="AP15" s="53">
        <f t="shared" si="7"/>
        <v>18</v>
      </c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</row>
    <row r="16" spans="1:55" ht="22" customHeight="1" x14ac:dyDescent="0.35">
      <c r="A16" s="8" t="s">
        <v>64</v>
      </c>
      <c r="B16" s="8" t="s">
        <v>63</v>
      </c>
      <c r="C16" s="8" t="s">
        <v>45</v>
      </c>
      <c r="D16" s="26" t="s">
        <v>3</v>
      </c>
      <c r="E16" s="26" t="s">
        <v>3</v>
      </c>
      <c r="F16" s="26" t="s">
        <v>3</v>
      </c>
      <c r="G16" s="26" t="s">
        <v>3</v>
      </c>
      <c r="H16" s="22" t="s">
        <v>5</v>
      </c>
      <c r="I16" s="27" t="s">
        <v>7</v>
      </c>
      <c r="J16" s="28" t="s">
        <v>11</v>
      </c>
      <c r="K16" s="26" t="s">
        <v>3</v>
      </c>
      <c r="L16" s="26" t="s">
        <v>3</v>
      </c>
      <c r="M16" s="26" t="s">
        <v>3</v>
      </c>
      <c r="N16" s="26" t="s">
        <v>3</v>
      </c>
      <c r="O16" s="22" t="s">
        <v>5</v>
      </c>
      <c r="P16" s="27" t="s">
        <v>7</v>
      </c>
      <c r="Q16" s="28" t="s">
        <v>11</v>
      </c>
      <c r="R16" s="26" t="s">
        <v>3</v>
      </c>
      <c r="S16" s="26" t="s">
        <v>3</v>
      </c>
      <c r="T16" s="22" t="s">
        <v>5</v>
      </c>
      <c r="U16" s="26" t="s">
        <v>3</v>
      </c>
      <c r="V16" s="26" t="s">
        <v>3</v>
      </c>
      <c r="W16" s="23" t="s">
        <v>7</v>
      </c>
      <c r="X16" s="24" t="s">
        <v>9</v>
      </c>
      <c r="Y16" s="26" t="s">
        <v>3</v>
      </c>
      <c r="Z16" s="26" t="s">
        <v>3</v>
      </c>
      <c r="AA16" s="26" t="s">
        <v>3</v>
      </c>
      <c r="AB16" s="26" t="s">
        <v>3</v>
      </c>
      <c r="AC16" s="26" t="s">
        <v>3</v>
      </c>
      <c r="AD16" s="23" t="s">
        <v>7</v>
      </c>
      <c r="AE16" s="28" t="s">
        <v>11</v>
      </c>
      <c r="AF16" s="22" t="s">
        <v>5</v>
      </c>
      <c r="AG16" s="22" t="s">
        <v>5</v>
      </c>
      <c r="AH16" s="8">
        <f t="shared" si="0"/>
        <v>17</v>
      </c>
      <c r="AI16" s="8">
        <f t="shared" si="1"/>
        <v>5</v>
      </c>
      <c r="AJ16" s="29">
        <f t="shared" si="2"/>
        <v>3</v>
      </c>
      <c r="AK16" s="62">
        <v>2</v>
      </c>
      <c r="AL16" s="33">
        <f t="shared" si="3"/>
        <v>21</v>
      </c>
      <c r="AM16" s="63">
        <f t="shared" si="4"/>
        <v>176</v>
      </c>
      <c r="AN16" s="63">
        <f t="shared" si="5"/>
        <v>0</v>
      </c>
      <c r="AO16" s="63">
        <f t="shared" si="6"/>
        <v>0</v>
      </c>
      <c r="AP16" s="53">
        <f t="shared" si="7"/>
        <v>21</v>
      </c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</row>
    <row r="17" spans="1:55" ht="22" customHeight="1" x14ac:dyDescent="0.35">
      <c r="A17" s="8" t="s">
        <v>65</v>
      </c>
      <c r="B17" s="8" t="s">
        <v>66</v>
      </c>
      <c r="C17" s="8" t="s">
        <v>45</v>
      </c>
      <c r="D17" s="26" t="s">
        <v>3</v>
      </c>
      <c r="E17" s="26" t="s">
        <v>3</v>
      </c>
      <c r="F17" s="26" t="s">
        <v>3</v>
      </c>
      <c r="G17" s="22" t="s">
        <v>5</v>
      </c>
      <c r="H17" s="22" t="s">
        <v>5</v>
      </c>
      <c r="I17" s="23" t="s">
        <v>7</v>
      </c>
      <c r="J17" s="24" t="s">
        <v>9</v>
      </c>
      <c r="K17" s="22" t="s">
        <v>5</v>
      </c>
      <c r="L17" s="26" t="s">
        <v>3</v>
      </c>
      <c r="M17" s="26" t="s">
        <v>3</v>
      </c>
      <c r="N17" s="26" t="s">
        <v>3</v>
      </c>
      <c r="O17" s="26" t="s">
        <v>3</v>
      </c>
      <c r="P17" s="27" t="s">
        <v>7</v>
      </c>
      <c r="Q17" s="28" t="s">
        <v>11</v>
      </c>
      <c r="R17" s="22" t="s">
        <v>5</v>
      </c>
      <c r="S17" s="22" t="s">
        <v>5</v>
      </c>
      <c r="T17" s="22" t="s">
        <v>5</v>
      </c>
      <c r="U17" s="22" t="s">
        <v>5</v>
      </c>
      <c r="V17" s="22" t="s">
        <v>5</v>
      </c>
      <c r="W17" s="27" t="s">
        <v>7</v>
      </c>
      <c r="X17" s="28" t="s">
        <v>11</v>
      </c>
      <c r="Y17" s="26" t="s">
        <v>3</v>
      </c>
      <c r="Z17" s="26" t="s">
        <v>3</v>
      </c>
      <c r="AA17" s="26" t="s">
        <v>3</v>
      </c>
      <c r="AB17" s="26" t="s">
        <v>3</v>
      </c>
      <c r="AC17" s="26" t="s">
        <v>3</v>
      </c>
      <c r="AD17" s="27" t="s">
        <v>7</v>
      </c>
      <c r="AE17" s="28" t="s">
        <v>11</v>
      </c>
      <c r="AF17" s="26" t="s">
        <v>3</v>
      </c>
      <c r="AG17" s="26" t="s">
        <v>3</v>
      </c>
      <c r="AH17" s="8">
        <f t="shared" si="0"/>
        <v>14</v>
      </c>
      <c r="AI17" s="8">
        <f t="shared" si="1"/>
        <v>8</v>
      </c>
      <c r="AJ17" s="29">
        <f t="shared" si="2"/>
        <v>3</v>
      </c>
      <c r="AK17" s="62">
        <v>3</v>
      </c>
      <c r="AL17" s="33">
        <f t="shared" si="3"/>
        <v>18.5</v>
      </c>
      <c r="AM17" s="63">
        <f t="shared" si="4"/>
        <v>176</v>
      </c>
      <c r="AN17" s="63">
        <f t="shared" si="5"/>
        <v>0</v>
      </c>
      <c r="AO17" s="63">
        <f t="shared" si="6"/>
        <v>0</v>
      </c>
      <c r="AP17" s="53">
        <f t="shared" si="7"/>
        <v>18.5</v>
      </c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</row>
    <row r="18" spans="1:55" ht="22" customHeight="1" x14ac:dyDescent="0.35">
      <c r="A18" s="8" t="s">
        <v>67</v>
      </c>
      <c r="B18" s="8" t="s">
        <v>68</v>
      </c>
      <c r="C18" s="8" t="s">
        <v>45</v>
      </c>
      <c r="D18" s="26" t="s">
        <v>3</v>
      </c>
      <c r="E18" s="26" t="s">
        <v>3</v>
      </c>
      <c r="F18" s="26" t="s">
        <v>3</v>
      </c>
      <c r="G18" s="26" t="s">
        <v>3</v>
      </c>
      <c r="H18" s="26" t="s">
        <v>3</v>
      </c>
      <c r="I18" s="23" t="s">
        <v>7</v>
      </c>
      <c r="J18" s="24" t="s">
        <v>9</v>
      </c>
      <c r="K18" s="26" t="s">
        <v>3</v>
      </c>
      <c r="L18" s="26" t="s">
        <v>3</v>
      </c>
      <c r="M18" s="26" t="s">
        <v>3</v>
      </c>
      <c r="N18" s="26" t="s">
        <v>3</v>
      </c>
      <c r="O18" s="26" t="s">
        <v>3</v>
      </c>
      <c r="P18" s="23" t="s">
        <v>7</v>
      </c>
      <c r="Q18" s="24" t="s">
        <v>9</v>
      </c>
      <c r="R18" s="26" t="s">
        <v>3</v>
      </c>
      <c r="S18" s="26" t="s">
        <v>3</v>
      </c>
      <c r="T18" s="26" t="s">
        <v>3</v>
      </c>
      <c r="U18" s="26" t="s">
        <v>3</v>
      </c>
      <c r="V18" s="26" t="s">
        <v>3</v>
      </c>
      <c r="W18" s="27" t="s">
        <v>7</v>
      </c>
      <c r="X18" s="24" t="s">
        <v>9</v>
      </c>
      <c r="Y18" s="26" t="s">
        <v>3</v>
      </c>
      <c r="Z18" s="26" t="s">
        <v>3</v>
      </c>
      <c r="AA18" s="26" t="s">
        <v>3</v>
      </c>
      <c r="AB18" s="26" t="s">
        <v>3</v>
      </c>
      <c r="AC18" s="26" t="s">
        <v>3</v>
      </c>
      <c r="AD18" s="23" t="s">
        <v>7</v>
      </c>
      <c r="AE18" s="24" t="s">
        <v>9</v>
      </c>
      <c r="AF18" s="26" t="s">
        <v>3</v>
      </c>
      <c r="AG18" s="26" t="s">
        <v>3</v>
      </c>
      <c r="AH18" s="8">
        <f t="shared" si="0"/>
        <v>22</v>
      </c>
      <c r="AI18" s="8">
        <f t="shared" si="1"/>
        <v>0</v>
      </c>
      <c r="AJ18" s="8">
        <f t="shared" si="2"/>
        <v>0</v>
      </c>
      <c r="AK18" s="62">
        <v>1</v>
      </c>
      <c r="AL18" s="33">
        <f t="shared" si="3"/>
        <v>22.5</v>
      </c>
      <c r="AM18" s="63">
        <f t="shared" si="4"/>
        <v>176</v>
      </c>
      <c r="AN18" s="63">
        <f t="shared" si="5"/>
        <v>3</v>
      </c>
      <c r="AO18" s="63">
        <f t="shared" si="6"/>
        <v>12</v>
      </c>
      <c r="AP18" s="53">
        <f t="shared" si="7"/>
        <v>21</v>
      </c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</row>
    <row r="19" spans="1:55" ht="22" customHeight="1" x14ac:dyDescent="0.35">
      <c r="A19" s="8" t="s">
        <v>69</v>
      </c>
      <c r="B19" s="8" t="s">
        <v>70</v>
      </c>
      <c r="C19" s="8" t="s">
        <v>45</v>
      </c>
      <c r="D19" s="26" t="s">
        <v>3</v>
      </c>
      <c r="E19" s="26" t="s">
        <v>3</v>
      </c>
      <c r="F19" s="26" t="s">
        <v>3</v>
      </c>
      <c r="G19" s="26" t="s">
        <v>3</v>
      </c>
      <c r="H19" s="26" t="s">
        <v>3</v>
      </c>
      <c r="I19" s="27" t="s">
        <v>7</v>
      </c>
      <c r="J19" s="28" t="s">
        <v>11</v>
      </c>
      <c r="K19" s="26" t="s">
        <v>3</v>
      </c>
      <c r="L19" s="26" t="s">
        <v>3</v>
      </c>
      <c r="M19" s="26" t="s">
        <v>3</v>
      </c>
      <c r="N19" s="26" t="s">
        <v>3</v>
      </c>
      <c r="O19" s="26" t="s">
        <v>3</v>
      </c>
      <c r="P19" s="23" t="s">
        <v>7</v>
      </c>
      <c r="Q19" s="24" t="s">
        <v>9</v>
      </c>
      <c r="R19" s="26" t="s">
        <v>3</v>
      </c>
      <c r="S19" s="26" t="s">
        <v>3</v>
      </c>
      <c r="T19" s="26" t="s">
        <v>3</v>
      </c>
      <c r="U19" s="26" t="s">
        <v>3</v>
      </c>
      <c r="V19" s="26" t="s">
        <v>3</v>
      </c>
      <c r="W19" s="23" t="s">
        <v>7</v>
      </c>
      <c r="X19" s="24" t="s">
        <v>9</v>
      </c>
      <c r="Y19" s="26" t="s">
        <v>3</v>
      </c>
      <c r="Z19" s="26" t="s">
        <v>3</v>
      </c>
      <c r="AA19" s="26" t="s">
        <v>3</v>
      </c>
      <c r="AB19" s="26" t="s">
        <v>3</v>
      </c>
      <c r="AC19" s="26" t="s">
        <v>3</v>
      </c>
      <c r="AD19" s="27" t="s">
        <v>7</v>
      </c>
      <c r="AE19" s="24" t="s">
        <v>9</v>
      </c>
      <c r="AF19" s="26" t="s">
        <v>3</v>
      </c>
      <c r="AG19" s="26" t="s">
        <v>3</v>
      </c>
      <c r="AH19" s="8">
        <f t="shared" si="0"/>
        <v>22</v>
      </c>
      <c r="AI19" s="8">
        <f t="shared" si="1"/>
        <v>0</v>
      </c>
      <c r="AJ19" s="29">
        <f t="shared" si="2"/>
        <v>1</v>
      </c>
      <c r="AK19" s="62">
        <v>2</v>
      </c>
      <c r="AL19" s="33">
        <f t="shared" si="3"/>
        <v>24</v>
      </c>
      <c r="AM19" s="63">
        <f t="shared" si="4"/>
        <v>176</v>
      </c>
      <c r="AN19" s="63">
        <f t="shared" si="5"/>
        <v>2</v>
      </c>
      <c r="AO19" s="63">
        <f t="shared" si="6"/>
        <v>8</v>
      </c>
      <c r="AP19" s="53">
        <f t="shared" si="7"/>
        <v>23</v>
      </c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</row>
    <row r="20" spans="1:55" x14ac:dyDescent="0.35"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</row>
    <row r="21" spans="1:55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</row>
    <row r="22" spans="1:55" ht="22" customHeight="1" x14ac:dyDescent="0.35">
      <c r="A22" s="8" t="s">
        <v>72</v>
      </c>
      <c r="B22" s="8" t="s">
        <v>73</v>
      </c>
      <c r="C22" s="8" t="s">
        <v>74</v>
      </c>
      <c r="D22" s="26" t="s">
        <v>3</v>
      </c>
      <c r="E22" s="26" t="s">
        <v>3</v>
      </c>
      <c r="F22" s="26" t="s">
        <v>3</v>
      </c>
      <c r="G22" s="26" t="s">
        <v>3</v>
      </c>
      <c r="H22" s="26" t="s">
        <v>3</v>
      </c>
      <c r="I22" s="23" t="s">
        <v>7</v>
      </c>
      <c r="J22" s="24" t="s">
        <v>9</v>
      </c>
      <c r="K22" s="26" t="s">
        <v>3</v>
      </c>
      <c r="L22" s="26" t="s">
        <v>3</v>
      </c>
      <c r="M22" s="26" t="s">
        <v>3</v>
      </c>
      <c r="N22" s="26" t="s">
        <v>3</v>
      </c>
      <c r="O22" s="26" t="s">
        <v>3</v>
      </c>
      <c r="P22" s="27" t="s">
        <v>7</v>
      </c>
      <c r="Q22" s="28" t="s">
        <v>11</v>
      </c>
      <c r="R22" s="26" t="s">
        <v>3</v>
      </c>
      <c r="S22" s="26" t="s">
        <v>3</v>
      </c>
      <c r="T22" s="26" t="s">
        <v>3</v>
      </c>
      <c r="U22" s="26" t="s">
        <v>3</v>
      </c>
      <c r="V22" s="26" t="s">
        <v>3</v>
      </c>
      <c r="W22" s="23" t="s">
        <v>7</v>
      </c>
      <c r="X22" s="24" t="s">
        <v>9</v>
      </c>
      <c r="Y22" s="26" t="s">
        <v>3</v>
      </c>
      <c r="Z22" s="26" t="s">
        <v>3</v>
      </c>
      <c r="AA22" s="26" t="s">
        <v>3</v>
      </c>
      <c r="AB22" s="26" t="s">
        <v>3</v>
      </c>
      <c r="AC22" s="26" t="s">
        <v>3</v>
      </c>
      <c r="AD22" s="27" t="s">
        <v>7</v>
      </c>
      <c r="AE22" s="28" t="s">
        <v>11</v>
      </c>
      <c r="AF22" s="26" t="s">
        <v>3</v>
      </c>
      <c r="AG22" s="26" t="s">
        <v>3</v>
      </c>
      <c r="AH22" s="8">
        <f t="shared" ref="AH22:AH35" si="8">COUNTIF(D22:AG22,"ON")</f>
        <v>22</v>
      </c>
      <c r="AI22" s="8">
        <f t="shared" ref="AI22:AI35" si="9">COUNTIF(D22:AG22,"OFF")</f>
        <v>0</v>
      </c>
      <c r="AJ22" s="29">
        <f t="shared" ref="AJ22:AJ35" si="10">COUNTIF(D22:AG22,"OT")</f>
        <v>2</v>
      </c>
      <c r="AK22" s="62">
        <v>2</v>
      </c>
      <c r="AL22" s="33">
        <f t="shared" ref="AL22:AL35" si="11">AH22+AJ22+AK22*0.5</f>
        <v>25</v>
      </c>
      <c r="AM22" s="63">
        <f t="shared" ref="AM22:AM35" si="12">NETWORKDAYS(DATE(2025,9,1),EOMONTH(DATE(2025,9,1),0))*8</f>
        <v>176</v>
      </c>
      <c r="AN22" s="63">
        <f t="shared" ref="AN22:AN35" si="13">MAX(0,COUNTIF(H22,"ON")+COUNTIF(O22,"ON")+COUNTIF(V22,"ON")+COUNTIF(AC22,"ON")-AK22)</f>
        <v>2</v>
      </c>
      <c r="AO22" s="63">
        <f t="shared" ref="AO22:AO35" si="14">AN22*$AO$2</f>
        <v>8</v>
      </c>
      <c r="AP22" s="53">
        <f t="shared" ref="AP22:AP35" si="15">AL22-AO22/8</f>
        <v>24</v>
      </c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</row>
    <row r="23" spans="1:55" ht="22" customHeight="1" x14ac:dyDescent="0.35">
      <c r="A23" s="8" t="s">
        <v>75</v>
      </c>
      <c r="B23" s="8" t="s">
        <v>76</v>
      </c>
      <c r="C23" s="8" t="s">
        <v>74</v>
      </c>
      <c r="D23" s="26" t="s">
        <v>3</v>
      </c>
      <c r="E23" s="26" t="s">
        <v>3</v>
      </c>
      <c r="F23" s="26" t="s">
        <v>3</v>
      </c>
      <c r="G23" s="26" t="s">
        <v>3</v>
      </c>
      <c r="H23" s="26" t="s">
        <v>3</v>
      </c>
      <c r="I23" s="27" t="s">
        <v>7</v>
      </c>
      <c r="J23" s="28" t="s">
        <v>11</v>
      </c>
      <c r="K23" s="26" t="s">
        <v>3</v>
      </c>
      <c r="L23" s="26" t="s">
        <v>3</v>
      </c>
      <c r="M23" s="26" t="s">
        <v>3</v>
      </c>
      <c r="N23" s="26" t="s">
        <v>3</v>
      </c>
      <c r="O23" s="26" t="s">
        <v>3</v>
      </c>
      <c r="P23" s="27" t="s">
        <v>7</v>
      </c>
      <c r="Q23" s="28" t="s">
        <v>11</v>
      </c>
      <c r="R23" s="26" t="s">
        <v>3</v>
      </c>
      <c r="S23" s="26" t="s">
        <v>3</v>
      </c>
      <c r="T23" s="26" t="s">
        <v>3</v>
      </c>
      <c r="U23" s="26" t="s">
        <v>3</v>
      </c>
      <c r="V23" s="26" t="s">
        <v>3</v>
      </c>
      <c r="W23" s="23" t="s">
        <v>7</v>
      </c>
      <c r="X23" s="24" t="s">
        <v>9</v>
      </c>
      <c r="Y23" s="26" t="s">
        <v>3</v>
      </c>
      <c r="Z23" s="26" t="s">
        <v>3</v>
      </c>
      <c r="AA23" s="26" t="s">
        <v>3</v>
      </c>
      <c r="AB23" s="26" t="s">
        <v>3</v>
      </c>
      <c r="AC23" s="26" t="s">
        <v>3</v>
      </c>
      <c r="AD23" s="27" t="s">
        <v>7</v>
      </c>
      <c r="AE23" s="28" t="s">
        <v>11</v>
      </c>
      <c r="AF23" s="26" t="s">
        <v>3</v>
      </c>
      <c r="AG23" s="26" t="s">
        <v>3</v>
      </c>
      <c r="AH23" s="8">
        <f t="shared" si="8"/>
        <v>22</v>
      </c>
      <c r="AI23" s="8">
        <f t="shared" si="9"/>
        <v>0</v>
      </c>
      <c r="AJ23" s="29">
        <f t="shared" si="10"/>
        <v>3</v>
      </c>
      <c r="AK23" s="62">
        <v>3</v>
      </c>
      <c r="AL23" s="33">
        <f t="shared" si="11"/>
        <v>26.5</v>
      </c>
      <c r="AM23" s="63">
        <f t="shared" si="12"/>
        <v>176</v>
      </c>
      <c r="AN23" s="63">
        <f t="shared" si="13"/>
        <v>1</v>
      </c>
      <c r="AO23" s="63">
        <f t="shared" si="14"/>
        <v>4</v>
      </c>
      <c r="AP23" s="53">
        <f t="shared" si="15"/>
        <v>26</v>
      </c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</row>
    <row r="24" spans="1:55" ht="22" customHeight="1" x14ac:dyDescent="0.35">
      <c r="A24" s="8" t="s">
        <v>77</v>
      </c>
      <c r="B24" s="8" t="s">
        <v>78</v>
      </c>
      <c r="C24" s="8" t="s">
        <v>74</v>
      </c>
      <c r="D24" s="26" t="s">
        <v>3</v>
      </c>
      <c r="E24" s="26" t="s">
        <v>3</v>
      </c>
      <c r="F24" s="26" t="s">
        <v>3</v>
      </c>
      <c r="G24" s="26" t="s">
        <v>3</v>
      </c>
      <c r="H24" s="26" t="s">
        <v>3</v>
      </c>
      <c r="I24" s="27" t="s">
        <v>7</v>
      </c>
      <c r="J24" s="28" t="s">
        <v>11</v>
      </c>
      <c r="K24" s="26" t="s">
        <v>3</v>
      </c>
      <c r="L24" s="26" t="s">
        <v>3</v>
      </c>
      <c r="M24" s="26" t="s">
        <v>3</v>
      </c>
      <c r="N24" s="26" t="s">
        <v>3</v>
      </c>
      <c r="O24" s="26" t="s">
        <v>3</v>
      </c>
      <c r="P24" s="23" t="s">
        <v>7</v>
      </c>
      <c r="Q24" s="24" t="s">
        <v>9</v>
      </c>
      <c r="R24" s="26" t="s">
        <v>3</v>
      </c>
      <c r="S24" s="26" t="s">
        <v>3</v>
      </c>
      <c r="T24" s="26" t="s">
        <v>3</v>
      </c>
      <c r="U24" s="26" t="s">
        <v>3</v>
      </c>
      <c r="V24" s="26" t="s">
        <v>3</v>
      </c>
      <c r="W24" s="23" t="s">
        <v>7</v>
      </c>
      <c r="X24" s="24" t="s">
        <v>9</v>
      </c>
      <c r="Y24" s="26" t="s">
        <v>3</v>
      </c>
      <c r="Z24" s="26" t="s">
        <v>3</v>
      </c>
      <c r="AA24" s="26" t="s">
        <v>3</v>
      </c>
      <c r="AB24" s="26" t="s">
        <v>3</v>
      </c>
      <c r="AC24" s="26" t="s">
        <v>3</v>
      </c>
      <c r="AD24" s="27" t="s">
        <v>7</v>
      </c>
      <c r="AE24" s="24" t="s">
        <v>9</v>
      </c>
      <c r="AF24" s="26" t="s">
        <v>3</v>
      </c>
      <c r="AG24" s="26" t="s">
        <v>3</v>
      </c>
      <c r="AH24" s="8">
        <f t="shared" si="8"/>
        <v>22</v>
      </c>
      <c r="AI24" s="8">
        <f t="shared" si="9"/>
        <v>0</v>
      </c>
      <c r="AJ24" s="29">
        <f t="shared" si="10"/>
        <v>1</v>
      </c>
      <c r="AK24" s="62">
        <v>2</v>
      </c>
      <c r="AL24" s="33">
        <f t="shared" si="11"/>
        <v>24</v>
      </c>
      <c r="AM24" s="63">
        <f t="shared" si="12"/>
        <v>176</v>
      </c>
      <c r="AN24" s="63">
        <f t="shared" si="13"/>
        <v>2</v>
      </c>
      <c r="AO24" s="63">
        <f t="shared" si="14"/>
        <v>8</v>
      </c>
      <c r="AP24" s="53">
        <f t="shared" si="15"/>
        <v>23</v>
      </c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</row>
    <row r="25" spans="1:55" ht="22" customHeight="1" x14ac:dyDescent="0.35">
      <c r="A25" s="8" t="s">
        <v>79</v>
      </c>
      <c r="B25" s="8" t="s">
        <v>80</v>
      </c>
      <c r="C25" s="8" t="s">
        <v>74</v>
      </c>
      <c r="D25" s="26" t="s">
        <v>3</v>
      </c>
      <c r="E25" s="26" t="s">
        <v>3</v>
      </c>
      <c r="F25" s="26" t="s">
        <v>3</v>
      </c>
      <c r="G25" s="26" t="s">
        <v>3</v>
      </c>
      <c r="H25" s="26" t="s">
        <v>3</v>
      </c>
      <c r="I25" s="23" t="s">
        <v>7</v>
      </c>
      <c r="J25" s="24" t="s">
        <v>9</v>
      </c>
      <c r="K25" s="26" t="s">
        <v>3</v>
      </c>
      <c r="L25" s="26" t="s">
        <v>3</v>
      </c>
      <c r="M25" s="26" t="s">
        <v>3</v>
      </c>
      <c r="N25" s="26" t="s">
        <v>3</v>
      </c>
      <c r="O25" s="26" t="s">
        <v>3</v>
      </c>
      <c r="P25" s="27" t="s">
        <v>7</v>
      </c>
      <c r="Q25" s="28" t="s">
        <v>11</v>
      </c>
      <c r="R25" s="26" t="s">
        <v>3</v>
      </c>
      <c r="S25" s="26" t="s">
        <v>3</v>
      </c>
      <c r="T25" s="26" t="s">
        <v>3</v>
      </c>
      <c r="U25" s="26" t="s">
        <v>3</v>
      </c>
      <c r="V25" s="26" t="s">
        <v>3</v>
      </c>
      <c r="W25" s="27" t="s">
        <v>7</v>
      </c>
      <c r="X25" s="28" t="s">
        <v>11</v>
      </c>
      <c r="Y25" s="26" t="s">
        <v>3</v>
      </c>
      <c r="Z25" s="26" t="s">
        <v>3</v>
      </c>
      <c r="AA25" s="26" t="s">
        <v>3</v>
      </c>
      <c r="AB25" s="26" t="s">
        <v>3</v>
      </c>
      <c r="AC25" s="26" t="s">
        <v>3</v>
      </c>
      <c r="AD25" s="27" t="s">
        <v>7</v>
      </c>
      <c r="AE25" s="28" t="s">
        <v>11</v>
      </c>
      <c r="AF25" s="26" t="s">
        <v>3</v>
      </c>
      <c r="AG25" s="26" t="s">
        <v>3</v>
      </c>
      <c r="AH25" s="8">
        <f t="shared" si="8"/>
        <v>22</v>
      </c>
      <c r="AI25" s="8">
        <f t="shared" si="9"/>
        <v>0</v>
      </c>
      <c r="AJ25" s="29">
        <f t="shared" si="10"/>
        <v>3</v>
      </c>
      <c r="AK25" s="62">
        <v>3</v>
      </c>
      <c r="AL25" s="33">
        <f t="shared" si="11"/>
        <v>26.5</v>
      </c>
      <c r="AM25" s="63">
        <f t="shared" si="12"/>
        <v>176</v>
      </c>
      <c r="AN25" s="63">
        <f t="shared" si="13"/>
        <v>1</v>
      </c>
      <c r="AO25" s="63">
        <f t="shared" si="14"/>
        <v>4</v>
      </c>
      <c r="AP25" s="53">
        <f t="shared" si="15"/>
        <v>26</v>
      </c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</row>
    <row r="26" spans="1:55" ht="22" customHeight="1" x14ac:dyDescent="0.35">
      <c r="A26" s="8" t="s">
        <v>81</v>
      </c>
      <c r="B26" s="8" t="s">
        <v>82</v>
      </c>
      <c r="C26" s="8" t="s">
        <v>74</v>
      </c>
      <c r="D26" s="26" t="s">
        <v>3</v>
      </c>
      <c r="E26" s="26" t="s">
        <v>3</v>
      </c>
      <c r="F26" s="26" t="s">
        <v>3</v>
      </c>
      <c r="G26" s="26" t="s">
        <v>3</v>
      </c>
      <c r="H26" s="26" t="s">
        <v>3</v>
      </c>
      <c r="I26" s="27" t="s">
        <v>7</v>
      </c>
      <c r="J26" s="28" t="s">
        <v>11</v>
      </c>
      <c r="K26" s="26" t="s">
        <v>3</v>
      </c>
      <c r="L26" s="26" t="s">
        <v>3</v>
      </c>
      <c r="M26" s="26" t="s">
        <v>3</v>
      </c>
      <c r="N26" s="26" t="s">
        <v>3</v>
      </c>
      <c r="O26" s="26" t="s">
        <v>3</v>
      </c>
      <c r="P26" s="23" t="s">
        <v>7</v>
      </c>
      <c r="Q26" s="24" t="s">
        <v>9</v>
      </c>
      <c r="R26" s="26" t="s">
        <v>3</v>
      </c>
      <c r="S26" s="26" t="s">
        <v>3</v>
      </c>
      <c r="T26" s="26" t="s">
        <v>3</v>
      </c>
      <c r="U26" s="26" t="s">
        <v>3</v>
      </c>
      <c r="V26" s="26" t="s">
        <v>3</v>
      </c>
      <c r="W26" s="27" t="s">
        <v>7</v>
      </c>
      <c r="X26" s="28" t="s">
        <v>11</v>
      </c>
      <c r="Y26" s="26" t="s">
        <v>3</v>
      </c>
      <c r="Z26" s="26" t="s">
        <v>3</v>
      </c>
      <c r="AA26" s="26" t="s">
        <v>3</v>
      </c>
      <c r="AB26" s="26" t="s">
        <v>3</v>
      </c>
      <c r="AC26" s="26" t="s">
        <v>3</v>
      </c>
      <c r="AD26" s="27" t="s">
        <v>7</v>
      </c>
      <c r="AE26" s="28" t="s">
        <v>11</v>
      </c>
      <c r="AF26" s="26" t="s">
        <v>3</v>
      </c>
      <c r="AG26" s="26" t="s">
        <v>3</v>
      </c>
      <c r="AH26" s="8">
        <f t="shared" si="8"/>
        <v>22</v>
      </c>
      <c r="AI26" s="8">
        <f t="shared" si="9"/>
        <v>0</v>
      </c>
      <c r="AJ26" s="29">
        <f t="shared" si="10"/>
        <v>3</v>
      </c>
      <c r="AK26" s="62">
        <v>3</v>
      </c>
      <c r="AL26" s="33">
        <f t="shared" si="11"/>
        <v>26.5</v>
      </c>
      <c r="AM26" s="63">
        <f t="shared" si="12"/>
        <v>176</v>
      </c>
      <c r="AN26" s="63">
        <f t="shared" si="13"/>
        <v>1</v>
      </c>
      <c r="AO26" s="63">
        <f t="shared" si="14"/>
        <v>4</v>
      </c>
      <c r="AP26" s="53">
        <f t="shared" si="15"/>
        <v>26</v>
      </c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</row>
    <row r="27" spans="1:55" ht="22" customHeight="1" x14ac:dyDescent="0.35">
      <c r="A27" s="8" t="s">
        <v>83</v>
      </c>
      <c r="B27" s="8" t="s">
        <v>84</v>
      </c>
      <c r="C27" s="8" t="s">
        <v>74</v>
      </c>
      <c r="D27" s="26" t="s">
        <v>3</v>
      </c>
      <c r="E27" s="26" t="s">
        <v>3</v>
      </c>
      <c r="F27" s="26" t="s">
        <v>3</v>
      </c>
      <c r="G27" s="26" t="s">
        <v>3</v>
      </c>
      <c r="H27" s="26" t="s">
        <v>3</v>
      </c>
      <c r="I27" s="27" t="s">
        <v>7</v>
      </c>
      <c r="J27" s="28" t="s">
        <v>11</v>
      </c>
      <c r="K27" s="26" t="s">
        <v>3</v>
      </c>
      <c r="L27" s="26" t="s">
        <v>3</v>
      </c>
      <c r="M27" s="26" t="s">
        <v>3</v>
      </c>
      <c r="N27" s="26" t="s">
        <v>3</v>
      </c>
      <c r="O27" s="26" t="s">
        <v>3</v>
      </c>
      <c r="P27" s="23" t="s">
        <v>7</v>
      </c>
      <c r="Q27" s="24" t="s">
        <v>9</v>
      </c>
      <c r="R27" s="26" t="s">
        <v>3</v>
      </c>
      <c r="S27" s="26" t="s">
        <v>3</v>
      </c>
      <c r="T27" s="26" t="s">
        <v>3</v>
      </c>
      <c r="U27" s="26" t="s">
        <v>3</v>
      </c>
      <c r="V27" s="26" t="s">
        <v>3</v>
      </c>
      <c r="W27" s="27" t="s">
        <v>7</v>
      </c>
      <c r="X27" s="28" t="s">
        <v>11</v>
      </c>
      <c r="Y27" s="26" t="s">
        <v>3</v>
      </c>
      <c r="Z27" s="26" t="s">
        <v>3</v>
      </c>
      <c r="AA27" s="26" t="s">
        <v>3</v>
      </c>
      <c r="AB27" s="26" t="s">
        <v>3</v>
      </c>
      <c r="AC27" s="26" t="s">
        <v>3</v>
      </c>
      <c r="AD27" s="27" t="s">
        <v>7</v>
      </c>
      <c r="AE27" s="28" t="s">
        <v>11</v>
      </c>
      <c r="AF27" s="26" t="s">
        <v>3</v>
      </c>
      <c r="AG27" s="26" t="s">
        <v>3</v>
      </c>
      <c r="AH27" s="8">
        <f t="shared" si="8"/>
        <v>22</v>
      </c>
      <c r="AI27" s="8">
        <f t="shared" si="9"/>
        <v>0</v>
      </c>
      <c r="AJ27" s="29">
        <f t="shared" si="10"/>
        <v>3</v>
      </c>
      <c r="AK27" s="62">
        <v>3</v>
      </c>
      <c r="AL27" s="33">
        <f t="shared" si="11"/>
        <v>26.5</v>
      </c>
      <c r="AM27" s="63">
        <f t="shared" si="12"/>
        <v>176</v>
      </c>
      <c r="AN27" s="63">
        <f t="shared" si="13"/>
        <v>1</v>
      </c>
      <c r="AO27" s="63">
        <f t="shared" si="14"/>
        <v>4</v>
      </c>
      <c r="AP27" s="53">
        <f t="shared" si="15"/>
        <v>26</v>
      </c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</row>
    <row r="28" spans="1:55" ht="22" customHeight="1" x14ac:dyDescent="0.35">
      <c r="A28" s="8" t="s">
        <v>85</v>
      </c>
      <c r="B28" s="8" t="s">
        <v>86</v>
      </c>
      <c r="C28" s="8" t="s">
        <v>74</v>
      </c>
      <c r="D28" s="26" t="s">
        <v>3</v>
      </c>
      <c r="E28" s="26" t="s">
        <v>3</v>
      </c>
      <c r="F28" s="26" t="s">
        <v>3</v>
      </c>
      <c r="G28" s="26" t="s">
        <v>3</v>
      </c>
      <c r="H28" s="26" t="s">
        <v>3</v>
      </c>
      <c r="I28" s="23" t="s">
        <v>7</v>
      </c>
      <c r="J28" s="24" t="s">
        <v>9</v>
      </c>
      <c r="K28" s="26" t="s">
        <v>3</v>
      </c>
      <c r="L28" s="26" t="s">
        <v>3</v>
      </c>
      <c r="M28" s="26" t="s">
        <v>3</v>
      </c>
      <c r="N28" s="26" t="s">
        <v>3</v>
      </c>
      <c r="O28" s="26" t="s">
        <v>3</v>
      </c>
      <c r="P28" s="27" t="s">
        <v>7</v>
      </c>
      <c r="Q28" s="28" t="s">
        <v>11</v>
      </c>
      <c r="R28" s="26" t="s">
        <v>3</v>
      </c>
      <c r="S28" s="26" t="s">
        <v>3</v>
      </c>
      <c r="T28" s="26" t="s">
        <v>3</v>
      </c>
      <c r="U28" s="22" t="s">
        <v>5</v>
      </c>
      <c r="V28" s="22" t="s">
        <v>5</v>
      </c>
      <c r="W28" s="23" t="s">
        <v>7</v>
      </c>
      <c r="X28" s="24" t="s">
        <v>9</v>
      </c>
      <c r="Y28" s="26" t="s">
        <v>3</v>
      </c>
      <c r="Z28" s="26" t="s">
        <v>3</v>
      </c>
      <c r="AA28" s="26" t="s">
        <v>3</v>
      </c>
      <c r="AB28" s="26" t="s">
        <v>3</v>
      </c>
      <c r="AC28" s="26" t="s">
        <v>3</v>
      </c>
      <c r="AD28" s="27" t="s">
        <v>7</v>
      </c>
      <c r="AE28" s="28" t="s">
        <v>11</v>
      </c>
      <c r="AF28" s="26" t="s">
        <v>3</v>
      </c>
      <c r="AG28" s="26" t="s">
        <v>3</v>
      </c>
      <c r="AH28" s="8">
        <f t="shared" si="8"/>
        <v>20</v>
      </c>
      <c r="AI28" s="8">
        <f t="shared" si="9"/>
        <v>2</v>
      </c>
      <c r="AJ28" s="29">
        <f t="shared" si="10"/>
        <v>2</v>
      </c>
      <c r="AK28" s="62">
        <v>2</v>
      </c>
      <c r="AL28" s="33">
        <f t="shared" si="11"/>
        <v>23</v>
      </c>
      <c r="AM28" s="63">
        <f t="shared" si="12"/>
        <v>176</v>
      </c>
      <c r="AN28" s="63">
        <f t="shared" si="13"/>
        <v>1</v>
      </c>
      <c r="AO28" s="63">
        <f t="shared" si="14"/>
        <v>4</v>
      </c>
      <c r="AP28" s="53">
        <f t="shared" si="15"/>
        <v>22.5</v>
      </c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</row>
    <row r="29" spans="1:55" ht="22" customHeight="1" x14ac:dyDescent="0.35">
      <c r="A29" s="8" t="s">
        <v>87</v>
      </c>
      <c r="B29" s="8" t="s">
        <v>88</v>
      </c>
      <c r="C29" s="8" t="s">
        <v>74</v>
      </c>
      <c r="D29" s="26" t="s">
        <v>3</v>
      </c>
      <c r="E29" s="26" t="s">
        <v>3</v>
      </c>
      <c r="F29" s="26" t="s">
        <v>3</v>
      </c>
      <c r="G29" s="26" t="s">
        <v>3</v>
      </c>
      <c r="H29" s="26" t="s">
        <v>3</v>
      </c>
      <c r="I29" s="27" t="s">
        <v>7</v>
      </c>
      <c r="J29" s="28" t="s">
        <v>11</v>
      </c>
      <c r="K29" s="26" t="s">
        <v>3</v>
      </c>
      <c r="L29" s="26" t="s">
        <v>3</v>
      </c>
      <c r="M29" s="26" t="s">
        <v>3</v>
      </c>
      <c r="N29" s="26" t="s">
        <v>3</v>
      </c>
      <c r="O29" s="26" t="s">
        <v>3</v>
      </c>
      <c r="P29" s="23" t="s">
        <v>7</v>
      </c>
      <c r="Q29" s="24" t="s">
        <v>9</v>
      </c>
      <c r="R29" s="26" t="s">
        <v>3</v>
      </c>
      <c r="S29" s="22" t="s">
        <v>5</v>
      </c>
      <c r="T29" s="26" t="s">
        <v>3</v>
      </c>
      <c r="U29" s="26" t="s">
        <v>3</v>
      </c>
      <c r="V29" s="26" t="s">
        <v>3</v>
      </c>
      <c r="W29" s="23" t="s">
        <v>7</v>
      </c>
      <c r="X29" s="24" t="s">
        <v>9</v>
      </c>
      <c r="Y29" s="26" t="s">
        <v>3</v>
      </c>
      <c r="Z29" s="26" t="s">
        <v>3</v>
      </c>
      <c r="AA29" s="26" t="s">
        <v>3</v>
      </c>
      <c r="AB29" s="26" t="s">
        <v>3</v>
      </c>
      <c r="AC29" s="26" t="s">
        <v>3</v>
      </c>
      <c r="AD29" s="27" t="s">
        <v>7</v>
      </c>
      <c r="AE29" s="28" t="s">
        <v>11</v>
      </c>
      <c r="AF29" s="26" t="s">
        <v>3</v>
      </c>
      <c r="AG29" s="26" t="s">
        <v>3</v>
      </c>
      <c r="AH29" s="8">
        <f t="shared" si="8"/>
        <v>21</v>
      </c>
      <c r="AI29" s="8">
        <f t="shared" si="9"/>
        <v>1</v>
      </c>
      <c r="AJ29" s="29">
        <f t="shared" si="10"/>
        <v>2</v>
      </c>
      <c r="AK29" s="62">
        <v>2</v>
      </c>
      <c r="AL29" s="33">
        <f t="shared" si="11"/>
        <v>24</v>
      </c>
      <c r="AM29" s="63">
        <f t="shared" si="12"/>
        <v>176</v>
      </c>
      <c r="AN29" s="63">
        <f t="shared" si="13"/>
        <v>2</v>
      </c>
      <c r="AO29" s="63">
        <f t="shared" si="14"/>
        <v>8</v>
      </c>
      <c r="AP29" s="53">
        <f t="shared" si="15"/>
        <v>23</v>
      </c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</row>
    <row r="30" spans="1:55" ht="22" customHeight="1" x14ac:dyDescent="0.35">
      <c r="A30" s="8" t="s">
        <v>89</v>
      </c>
      <c r="B30" s="8" t="s">
        <v>90</v>
      </c>
      <c r="C30" s="8" t="s">
        <v>74</v>
      </c>
      <c r="D30" s="26" t="s">
        <v>3</v>
      </c>
      <c r="E30" s="26" t="s">
        <v>3</v>
      </c>
      <c r="F30" s="26" t="s">
        <v>3</v>
      </c>
      <c r="G30" s="26" t="s">
        <v>3</v>
      </c>
      <c r="H30" s="22" t="s">
        <v>5</v>
      </c>
      <c r="I30" s="23" t="s">
        <v>7</v>
      </c>
      <c r="J30" s="24" t="s">
        <v>9</v>
      </c>
      <c r="K30" s="26" t="s">
        <v>3</v>
      </c>
      <c r="L30" s="26" t="s">
        <v>3</v>
      </c>
      <c r="M30" s="26" t="s">
        <v>3</v>
      </c>
      <c r="N30" s="26" t="s">
        <v>3</v>
      </c>
      <c r="O30" s="26" t="s">
        <v>3</v>
      </c>
      <c r="P30" s="23" t="s">
        <v>7</v>
      </c>
      <c r="Q30" s="24" t="s">
        <v>9</v>
      </c>
      <c r="R30" s="26" t="s">
        <v>3</v>
      </c>
      <c r="S30" s="26" t="s">
        <v>3</v>
      </c>
      <c r="T30" s="26" t="s">
        <v>3</v>
      </c>
      <c r="U30" s="26" t="s">
        <v>3</v>
      </c>
      <c r="V30" s="26" t="s">
        <v>3</v>
      </c>
      <c r="W30" s="27" t="s">
        <v>7</v>
      </c>
      <c r="X30" s="24" t="s">
        <v>9</v>
      </c>
      <c r="Y30" s="26" t="s">
        <v>3</v>
      </c>
      <c r="Z30" s="26" t="s">
        <v>3</v>
      </c>
      <c r="AA30" s="26" t="s">
        <v>3</v>
      </c>
      <c r="AB30" s="26" t="s">
        <v>3</v>
      </c>
      <c r="AC30" s="26" t="s">
        <v>3</v>
      </c>
      <c r="AD30" s="27" t="s">
        <v>7</v>
      </c>
      <c r="AE30" s="28" t="s">
        <v>11</v>
      </c>
      <c r="AF30" s="26" t="s">
        <v>3</v>
      </c>
      <c r="AG30" s="26" t="s">
        <v>3</v>
      </c>
      <c r="AH30" s="8">
        <f t="shared" si="8"/>
        <v>21</v>
      </c>
      <c r="AI30" s="8">
        <f t="shared" si="9"/>
        <v>1</v>
      </c>
      <c r="AJ30" s="29">
        <f t="shared" si="10"/>
        <v>1</v>
      </c>
      <c r="AK30" s="62">
        <v>2</v>
      </c>
      <c r="AL30" s="33">
        <f t="shared" si="11"/>
        <v>23</v>
      </c>
      <c r="AM30" s="63">
        <f t="shared" si="12"/>
        <v>176</v>
      </c>
      <c r="AN30" s="63">
        <f t="shared" si="13"/>
        <v>1</v>
      </c>
      <c r="AO30" s="63">
        <f t="shared" si="14"/>
        <v>4</v>
      </c>
      <c r="AP30" s="53">
        <f t="shared" si="15"/>
        <v>22.5</v>
      </c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</row>
    <row r="31" spans="1:55" ht="22" customHeight="1" x14ac:dyDescent="0.35">
      <c r="A31" s="8" t="s">
        <v>91</v>
      </c>
      <c r="B31" s="8" t="s">
        <v>92</v>
      </c>
      <c r="C31" s="8" t="s">
        <v>74</v>
      </c>
      <c r="D31" s="26" t="s">
        <v>3</v>
      </c>
      <c r="E31" s="26" t="s">
        <v>3</v>
      </c>
      <c r="F31" s="26" t="s">
        <v>3</v>
      </c>
      <c r="G31" s="26" t="s">
        <v>3</v>
      </c>
      <c r="H31" s="26" t="s">
        <v>3</v>
      </c>
      <c r="I31" s="23" t="s">
        <v>7</v>
      </c>
      <c r="J31" s="24" t="s">
        <v>9</v>
      </c>
      <c r="K31" s="26" t="s">
        <v>3</v>
      </c>
      <c r="L31" s="26" t="s">
        <v>3</v>
      </c>
      <c r="M31" s="26" t="s">
        <v>3</v>
      </c>
      <c r="N31" s="26" t="s">
        <v>3</v>
      </c>
      <c r="O31" s="26" t="s">
        <v>3</v>
      </c>
      <c r="P31" s="27" t="s">
        <v>7</v>
      </c>
      <c r="Q31" s="28" t="s">
        <v>11</v>
      </c>
      <c r="R31" s="26" t="s">
        <v>3</v>
      </c>
      <c r="S31" s="26" t="s">
        <v>3</v>
      </c>
      <c r="T31" s="26" t="s">
        <v>3</v>
      </c>
      <c r="U31" s="26" t="s">
        <v>3</v>
      </c>
      <c r="V31" s="26" t="s">
        <v>3</v>
      </c>
      <c r="W31" s="23" t="s">
        <v>7</v>
      </c>
      <c r="X31" s="24" t="s">
        <v>9</v>
      </c>
      <c r="Y31" s="26" t="s">
        <v>3</v>
      </c>
      <c r="Z31" s="26" t="s">
        <v>3</v>
      </c>
      <c r="AA31" s="26" t="s">
        <v>3</v>
      </c>
      <c r="AB31" s="26" t="s">
        <v>3</v>
      </c>
      <c r="AC31" s="26" t="s">
        <v>3</v>
      </c>
      <c r="AD31" s="27" t="s">
        <v>7</v>
      </c>
      <c r="AE31" s="28" t="s">
        <v>11</v>
      </c>
      <c r="AF31" s="26" t="s">
        <v>3</v>
      </c>
      <c r="AG31" s="26" t="s">
        <v>3</v>
      </c>
      <c r="AH31" s="8">
        <f t="shared" si="8"/>
        <v>22</v>
      </c>
      <c r="AI31" s="8">
        <f t="shared" si="9"/>
        <v>0</v>
      </c>
      <c r="AJ31" s="29">
        <f t="shared" si="10"/>
        <v>2</v>
      </c>
      <c r="AK31" s="62">
        <v>2</v>
      </c>
      <c r="AL31" s="33">
        <f t="shared" si="11"/>
        <v>25</v>
      </c>
      <c r="AM31" s="63">
        <f t="shared" si="12"/>
        <v>176</v>
      </c>
      <c r="AN31" s="63">
        <f t="shared" si="13"/>
        <v>2</v>
      </c>
      <c r="AO31" s="63">
        <f t="shared" si="14"/>
        <v>8</v>
      </c>
      <c r="AP31" s="53">
        <f t="shared" si="15"/>
        <v>24</v>
      </c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</row>
    <row r="32" spans="1:55" ht="22" customHeight="1" x14ac:dyDescent="0.35">
      <c r="A32" s="8" t="s">
        <v>93</v>
      </c>
      <c r="B32" s="8" t="s">
        <v>94</v>
      </c>
      <c r="C32" s="8" t="s">
        <v>74</v>
      </c>
      <c r="D32" s="26" t="s">
        <v>3</v>
      </c>
      <c r="E32" s="26" t="s">
        <v>3</v>
      </c>
      <c r="F32" s="26" t="s">
        <v>3</v>
      </c>
      <c r="G32" s="26" t="s">
        <v>3</v>
      </c>
      <c r="H32" s="26" t="s">
        <v>3</v>
      </c>
      <c r="I32" s="23" t="s">
        <v>7</v>
      </c>
      <c r="J32" s="24" t="s">
        <v>9</v>
      </c>
      <c r="K32" s="26" t="s">
        <v>3</v>
      </c>
      <c r="L32" s="26" t="s">
        <v>3</v>
      </c>
      <c r="M32" s="26" t="s">
        <v>3</v>
      </c>
      <c r="N32" s="26" t="s">
        <v>3</v>
      </c>
      <c r="O32" s="26" t="s">
        <v>3</v>
      </c>
      <c r="P32" s="27" t="s">
        <v>7</v>
      </c>
      <c r="Q32" s="28" t="s">
        <v>11</v>
      </c>
      <c r="R32" s="26" t="s">
        <v>3</v>
      </c>
      <c r="S32" s="26" t="s">
        <v>3</v>
      </c>
      <c r="T32" s="26" t="s">
        <v>3</v>
      </c>
      <c r="U32" s="26" t="s">
        <v>3</v>
      </c>
      <c r="V32" s="26" t="s">
        <v>3</v>
      </c>
      <c r="W32" s="27" t="s">
        <v>7</v>
      </c>
      <c r="X32" s="28" t="s">
        <v>11</v>
      </c>
      <c r="Y32" s="26" t="s">
        <v>3</v>
      </c>
      <c r="Z32" s="26" t="s">
        <v>3</v>
      </c>
      <c r="AA32" s="26" t="s">
        <v>3</v>
      </c>
      <c r="AB32" s="26" t="s">
        <v>3</v>
      </c>
      <c r="AC32" s="26" t="s">
        <v>3</v>
      </c>
      <c r="AD32" s="27" t="s">
        <v>7</v>
      </c>
      <c r="AE32" s="28" t="s">
        <v>11</v>
      </c>
      <c r="AF32" s="26" t="s">
        <v>3</v>
      </c>
      <c r="AG32" s="26" t="s">
        <v>3</v>
      </c>
      <c r="AH32" s="8">
        <f t="shared" si="8"/>
        <v>22</v>
      </c>
      <c r="AI32" s="8">
        <f t="shared" si="9"/>
        <v>0</v>
      </c>
      <c r="AJ32" s="29">
        <f t="shared" si="10"/>
        <v>3</v>
      </c>
      <c r="AK32" s="62">
        <v>3</v>
      </c>
      <c r="AL32" s="33">
        <f t="shared" si="11"/>
        <v>26.5</v>
      </c>
      <c r="AM32" s="63">
        <f t="shared" si="12"/>
        <v>176</v>
      </c>
      <c r="AN32" s="63">
        <f t="shared" si="13"/>
        <v>1</v>
      </c>
      <c r="AO32" s="63">
        <f t="shared" si="14"/>
        <v>4</v>
      </c>
      <c r="AP32" s="53">
        <f t="shared" si="15"/>
        <v>26</v>
      </c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</row>
    <row r="33" spans="1:55" ht="22" customHeight="1" x14ac:dyDescent="0.35">
      <c r="A33" s="8" t="s">
        <v>95</v>
      </c>
      <c r="B33" s="8" t="s">
        <v>96</v>
      </c>
      <c r="C33" s="8" t="s">
        <v>74</v>
      </c>
      <c r="D33" s="26" t="s">
        <v>3</v>
      </c>
      <c r="E33" s="26" t="s">
        <v>3</v>
      </c>
      <c r="F33" s="26" t="s">
        <v>3</v>
      </c>
      <c r="G33" s="26" t="s">
        <v>3</v>
      </c>
      <c r="H33" s="26" t="s">
        <v>3</v>
      </c>
      <c r="I33" s="23" t="s">
        <v>7</v>
      </c>
      <c r="J33" s="24" t="s">
        <v>9</v>
      </c>
      <c r="K33" s="26" t="s">
        <v>3</v>
      </c>
      <c r="L33" s="26" t="s">
        <v>3</v>
      </c>
      <c r="M33" s="26" t="s">
        <v>3</v>
      </c>
      <c r="N33" s="26" t="s">
        <v>3</v>
      </c>
      <c r="O33" s="26" t="s">
        <v>3</v>
      </c>
      <c r="P33" s="27" t="s">
        <v>7</v>
      </c>
      <c r="Q33" s="24" t="s">
        <v>9</v>
      </c>
      <c r="R33" s="26" t="s">
        <v>3</v>
      </c>
      <c r="S33" s="26" t="s">
        <v>3</v>
      </c>
      <c r="T33" s="26" t="s">
        <v>3</v>
      </c>
      <c r="U33" s="26" t="s">
        <v>3</v>
      </c>
      <c r="V33" s="26" t="s">
        <v>3</v>
      </c>
      <c r="W33" s="23" t="s">
        <v>7</v>
      </c>
      <c r="X33" s="24" t="s">
        <v>9</v>
      </c>
      <c r="Y33" s="26" t="s">
        <v>3</v>
      </c>
      <c r="Z33" s="26" t="s">
        <v>3</v>
      </c>
      <c r="AA33" s="26" t="s">
        <v>3</v>
      </c>
      <c r="AB33" s="26" t="s">
        <v>3</v>
      </c>
      <c r="AC33" s="26" t="s">
        <v>3</v>
      </c>
      <c r="AD33" s="27" t="s">
        <v>7</v>
      </c>
      <c r="AE33" s="28" t="s">
        <v>11</v>
      </c>
      <c r="AF33" s="26" t="s">
        <v>3</v>
      </c>
      <c r="AG33" s="26" t="s">
        <v>3</v>
      </c>
      <c r="AH33" s="8">
        <f t="shared" si="8"/>
        <v>22</v>
      </c>
      <c r="AI33" s="8">
        <f t="shared" si="9"/>
        <v>0</v>
      </c>
      <c r="AJ33" s="29">
        <f t="shared" si="10"/>
        <v>1</v>
      </c>
      <c r="AK33" s="62">
        <v>2</v>
      </c>
      <c r="AL33" s="33">
        <f t="shared" si="11"/>
        <v>24</v>
      </c>
      <c r="AM33" s="63">
        <f t="shared" si="12"/>
        <v>176</v>
      </c>
      <c r="AN33" s="63">
        <f t="shared" si="13"/>
        <v>2</v>
      </c>
      <c r="AO33" s="63">
        <f t="shared" si="14"/>
        <v>8</v>
      </c>
      <c r="AP33" s="53">
        <f t="shared" si="15"/>
        <v>23</v>
      </c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</row>
    <row r="34" spans="1:55" ht="22" customHeight="1" x14ac:dyDescent="0.35">
      <c r="A34" s="8" t="s">
        <v>97</v>
      </c>
      <c r="B34" s="8" t="s">
        <v>98</v>
      </c>
      <c r="C34" s="8" t="s">
        <v>74</v>
      </c>
      <c r="D34" s="22" t="s">
        <v>5</v>
      </c>
      <c r="E34" s="22" t="s">
        <v>5</v>
      </c>
      <c r="F34" s="22" t="s">
        <v>5</v>
      </c>
      <c r="G34" s="22" t="s">
        <v>5</v>
      </c>
      <c r="H34" s="22" t="s">
        <v>5</v>
      </c>
      <c r="I34" s="23" t="s">
        <v>7</v>
      </c>
      <c r="J34" s="24" t="s">
        <v>9</v>
      </c>
      <c r="K34" s="22" t="s">
        <v>5</v>
      </c>
      <c r="L34" s="22" t="s">
        <v>5</v>
      </c>
      <c r="M34" s="22" t="s">
        <v>5</v>
      </c>
      <c r="N34" s="22" t="s">
        <v>5</v>
      </c>
      <c r="O34" s="22" t="s">
        <v>5</v>
      </c>
      <c r="P34" s="23" t="s">
        <v>7</v>
      </c>
      <c r="Q34" s="24" t="s">
        <v>9</v>
      </c>
      <c r="R34" s="22" t="s">
        <v>5</v>
      </c>
      <c r="S34" s="22" t="s">
        <v>5</v>
      </c>
      <c r="T34" s="22" t="s">
        <v>5</v>
      </c>
      <c r="U34" s="22" t="s">
        <v>5</v>
      </c>
      <c r="V34" s="22" t="s">
        <v>5</v>
      </c>
      <c r="W34" s="23" t="s">
        <v>7</v>
      </c>
      <c r="X34" s="24" t="s">
        <v>9</v>
      </c>
      <c r="Y34" s="22" t="s">
        <v>5</v>
      </c>
      <c r="Z34" s="22" t="s">
        <v>5</v>
      </c>
      <c r="AA34" s="22" t="s">
        <v>5</v>
      </c>
      <c r="AB34" s="22" t="s">
        <v>5</v>
      </c>
      <c r="AC34" s="22" t="s">
        <v>5</v>
      </c>
      <c r="AD34" s="23" t="s">
        <v>7</v>
      </c>
      <c r="AE34" s="24" t="s">
        <v>9</v>
      </c>
      <c r="AF34" s="22" t="s">
        <v>5</v>
      </c>
      <c r="AG34" s="22" t="s">
        <v>5</v>
      </c>
      <c r="AH34" s="8">
        <f t="shared" si="8"/>
        <v>0</v>
      </c>
      <c r="AI34" s="25">
        <f t="shared" si="9"/>
        <v>22</v>
      </c>
      <c r="AJ34" s="8">
        <f t="shared" si="10"/>
        <v>0</v>
      </c>
      <c r="AK34" s="62">
        <v>0</v>
      </c>
      <c r="AL34" s="33">
        <f t="shared" si="11"/>
        <v>0</v>
      </c>
      <c r="AM34" s="63">
        <f t="shared" si="12"/>
        <v>176</v>
      </c>
      <c r="AN34" s="63">
        <f t="shared" si="13"/>
        <v>0</v>
      </c>
      <c r="AO34" s="63">
        <f t="shared" si="14"/>
        <v>0</v>
      </c>
      <c r="AP34" s="53">
        <f t="shared" si="15"/>
        <v>0</v>
      </c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</row>
    <row r="35" spans="1:55" ht="22" customHeight="1" x14ac:dyDescent="0.35">
      <c r="A35" s="8" t="s">
        <v>99</v>
      </c>
      <c r="B35" s="8" t="s">
        <v>100</v>
      </c>
      <c r="C35" s="8" t="s">
        <v>74</v>
      </c>
      <c r="D35" s="22" t="s">
        <v>5</v>
      </c>
      <c r="E35" s="22" t="s">
        <v>5</v>
      </c>
      <c r="F35" s="22" t="s">
        <v>5</v>
      </c>
      <c r="G35" s="22" t="s">
        <v>5</v>
      </c>
      <c r="H35" s="22" t="s">
        <v>5</v>
      </c>
      <c r="I35" s="23" t="s">
        <v>7</v>
      </c>
      <c r="J35" s="24" t="s">
        <v>9</v>
      </c>
      <c r="K35" s="22" t="s">
        <v>5</v>
      </c>
      <c r="L35" s="22" t="s">
        <v>5</v>
      </c>
      <c r="M35" s="22" t="s">
        <v>5</v>
      </c>
      <c r="N35" s="22" t="s">
        <v>5</v>
      </c>
      <c r="O35" s="22" t="s">
        <v>5</v>
      </c>
      <c r="P35" s="23" t="s">
        <v>7</v>
      </c>
      <c r="Q35" s="24" t="s">
        <v>9</v>
      </c>
      <c r="R35" s="22" t="s">
        <v>5</v>
      </c>
      <c r="S35" s="22" t="s">
        <v>5</v>
      </c>
      <c r="T35" s="22" t="s">
        <v>5</v>
      </c>
      <c r="U35" s="22" t="s">
        <v>5</v>
      </c>
      <c r="V35" s="22" t="s">
        <v>5</v>
      </c>
      <c r="W35" s="23" t="s">
        <v>7</v>
      </c>
      <c r="X35" s="24" t="s">
        <v>9</v>
      </c>
      <c r="Y35" s="22" t="s">
        <v>5</v>
      </c>
      <c r="Z35" s="22" t="s">
        <v>5</v>
      </c>
      <c r="AA35" s="22" t="s">
        <v>5</v>
      </c>
      <c r="AB35" s="22" t="s">
        <v>5</v>
      </c>
      <c r="AC35" s="22" t="s">
        <v>5</v>
      </c>
      <c r="AD35" s="23" t="s">
        <v>7</v>
      </c>
      <c r="AE35" s="24" t="s">
        <v>9</v>
      </c>
      <c r="AF35" s="22" t="s">
        <v>5</v>
      </c>
      <c r="AG35" s="22" t="s">
        <v>5</v>
      </c>
      <c r="AH35" s="8">
        <f t="shared" si="8"/>
        <v>0</v>
      </c>
      <c r="AI35" s="25">
        <f t="shared" si="9"/>
        <v>22</v>
      </c>
      <c r="AJ35" s="8">
        <f t="shared" si="10"/>
        <v>0</v>
      </c>
      <c r="AK35" s="62">
        <v>0</v>
      </c>
      <c r="AL35" s="33">
        <f t="shared" si="11"/>
        <v>0</v>
      </c>
      <c r="AM35" s="63">
        <f t="shared" si="12"/>
        <v>176</v>
      </c>
      <c r="AN35" s="63">
        <f t="shared" si="13"/>
        <v>0</v>
      </c>
      <c r="AO35" s="63">
        <f t="shared" si="14"/>
        <v>0</v>
      </c>
      <c r="AP35" s="53">
        <f t="shared" si="15"/>
        <v>0</v>
      </c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</row>
    <row r="36" spans="1:55" x14ac:dyDescent="0.35"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</row>
    <row r="37" spans="1:55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</row>
    <row r="38" spans="1:55" ht="22" customHeight="1" x14ac:dyDescent="0.35">
      <c r="A38" s="8" t="s">
        <v>102</v>
      </c>
      <c r="B38" s="8" t="s">
        <v>103</v>
      </c>
      <c r="C38" s="8" t="s">
        <v>104</v>
      </c>
      <c r="D38" s="26" t="s">
        <v>3</v>
      </c>
      <c r="E38" s="26" t="s">
        <v>3</v>
      </c>
      <c r="F38" s="26" t="s">
        <v>3</v>
      </c>
      <c r="G38" s="26" t="s">
        <v>3</v>
      </c>
      <c r="H38" s="26" t="s">
        <v>3</v>
      </c>
      <c r="I38" s="27" t="s">
        <v>7</v>
      </c>
      <c r="J38" s="28" t="s">
        <v>11</v>
      </c>
      <c r="K38" s="26" t="s">
        <v>3</v>
      </c>
      <c r="L38" s="26" t="s">
        <v>3</v>
      </c>
      <c r="M38" s="26" t="s">
        <v>3</v>
      </c>
      <c r="N38" s="26" t="s">
        <v>3</v>
      </c>
      <c r="O38" s="26" t="s">
        <v>3</v>
      </c>
      <c r="P38" s="27" t="s">
        <v>7</v>
      </c>
      <c r="Q38" s="28" t="s">
        <v>11</v>
      </c>
      <c r="R38" s="26" t="s">
        <v>3</v>
      </c>
      <c r="S38" s="26" t="s">
        <v>3</v>
      </c>
      <c r="T38" s="26" t="s">
        <v>3</v>
      </c>
      <c r="U38" s="26" t="s">
        <v>3</v>
      </c>
      <c r="V38" s="26" t="s">
        <v>3</v>
      </c>
      <c r="W38" s="27" t="s">
        <v>7</v>
      </c>
      <c r="X38" s="28" t="s">
        <v>11</v>
      </c>
      <c r="Y38" s="26" t="s">
        <v>3</v>
      </c>
      <c r="Z38" s="26" t="s">
        <v>3</v>
      </c>
      <c r="AA38" s="26" t="s">
        <v>3</v>
      </c>
      <c r="AB38" s="26" t="s">
        <v>3</v>
      </c>
      <c r="AC38" s="26" t="s">
        <v>3</v>
      </c>
      <c r="AD38" s="27" t="s">
        <v>7</v>
      </c>
      <c r="AE38" s="28" t="s">
        <v>11</v>
      </c>
      <c r="AF38" s="26" t="s">
        <v>3</v>
      </c>
      <c r="AG38" s="26" t="s">
        <v>3</v>
      </c>
      <c r="AH38" s="8">
        <f t="shared" ref="AH38:AH74" si="16">COUNTIF(D38:AG38,"ON")</f>
        <v>22</v>
      </c>
      <c r="AI38" s="8">
        <f t="shared" ref="AI38:AI74" si="17">COUNTIF(D38:AG38,"OFF")</f>
        <v>0</v>
      </c>
      <c r="AJ38" s="29">
        <f t="shared" ref="AJ38:AJ74" si="18">COUNTIF(D38:AG38,"OT")</f>
        <v>4</v>
      </c>
      <c r="AK38" s="62">
        <v>4</v>
      </c>
      <c r="AL38" s="33">
        <f t="shared" ref="AL38:AL74" si="19">AH38+AJ38+AK38*0.5</f>
        <v>28</v>
      </c>
      <c r="AM38" s="63">
        <f t="shared" ref="AM38:AM74" si="20">NETWORKDAYS(DATE(2025,9,1),EOMONTH(DATE(2025,9,1),0))*8</f>
        <v>176</v>
      </c>
      <c r="AN38" s="63">
        <f t="shared" ref="AN38:AN74" si="21">MAX(0,COUNTIF(H38,"ON")+COUNTIF(O38,"ON")+COUNTIF(V38,"ON")+COUNTIF(AC38,"ON")-AK38)</f>
        <v>0</v>
      </c>
      <c r="AO38" s="63">
        <f t="shared" ref="AO38:AO74" si="22">AN38*$AO$2</f>
        <v>0</v>
      </c>
      <c r="AP38" s="53">
        <f t="shared" ref="AP38:AP74" si="23">AL38-AO38/8</f>
        <v>28</v>
      </c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</row>
    <row r="39" spans="1:55" ht="22" customHeight="1" x14ac:dyDescent="0.35">
      <c r="A39" s="8" t="s">
        <v>105</v>
      </c>
      <c r="B39" s="8" t="s">
        <v>106</v>
      </c>
      <c r="C39" s="8" t="s">
        <v>104</v>
      </c>
      <c r="D39" s="26" t="s">
        <v>3</v>
      </c>
      <c r="E39" s="22" t="s">
        <v>5</v>
      </c>
      <c r="F39" s="22" t="s">
        <v>5</v>
      </c>
      <c r="G39" s="22" t="s">
        <v>5</v>
      </c>
      <c r="H39" s="22" t="s">
        <v>5</v>
      </c>
      <c r="I39" s="23" t="s">
        <v>7</v>
      </c>
      <c r="J39" s="28" t="s">
        <v>11</v>
      </c>
      <c r="K39" s="26" t="s">
        <v>3</v>
      </c>
      <c r="L39" s="26" t="s">
        <v>3</v>
      </c>
      <c r="M39" s="26" t="s">
        <v>3</v>
      </c>
      <c r="N39" s="26" t="s">
        <v>3</v>
      </c>
      <c r="O39" s="26" t="s">
        <v>3</v>
      </c>
      <c r="P39" s="27" t="s">
        <v>7</v>
      </c>
      <c r="Q39" s="24" t="s">
        <v>9</v>
      </c>
      <c r="R39" s="26" t="s">
        <v>3</v>
      </c>
      <c r="S39" s="26" t="s">
        <v>3</v>
      </c>
      <c r="T39" s="26" t="s">
        <v>3</v>
      </c>
      <c r="U39" s="26" t="s">
        <v>3</v>
      </c>
      <c r="V39" s="26" t="s">
        <v>3</v>
      </c>
      <c r="W39" s="27" t="s">
        <v>7</v>
      </c>
      <c r="X39" s="28" t="s">
        <v>11</v>
      </c>
      <c r="Y39" s="26" t="s">
        <v>3</v>
      </c>
      <c r="Z39" s="26" t="s">
        <v>3</v>
      </c>
      <c r="AA39" s="26" t="s">
        <v>3</v>
      </c>
      <c r="AB39" s="26" t="s">
        <v>3</v>
      </c>
      <c r="AC39" s="26" t="s">
        <v>3</v>
      </c>
      <c r="AD39" s="27" t="s">
        <v>7</v>
      </c>
      <c r="AE39" s="28" t="s">
        <v>11</v>
      </c>
      <c r="AF39" s="26" t="s">
        <v>3</v>
      </c>
      <c r="AG39" s="22" t="s">
        <v>5</v>
      </c>
      <c r="AH39" s="8">
        <f t="shared" si="16"/>
        <v>17</v>
      </c>
      <c r="AI39" s="8">
        <f t="shared" si="17"/>
        <v>5</v>
      </c>
      <c r="AJ39" s="29">
        <f t="shared" si="18"/>
        <v>3</v>
      </c>
      <c r="AK39" s="62">
        <v>3</v>
      </c>
      <c r="AL39" s="33">
        <f t="shared" si="19"/>
        <v>21.5</v>
      </c>
      <c r="AM39" s="63">
        <f t="shared" si="20"/>
        <v>176</v>
      </c>
      <c r="AN39" s="63">
        <f t="shared" si="21"/>
        <v>0</v>
      </c>
      <c r="AO39" s="63">
        <f t="shared" si="22"/>
        <v>0</v>
      </c>
      <c r="AP39" s="53">
        <f t="shared" si="23"/>
        <v>21.5</v>
      </c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</row>
    <row r="40" spans="1:55" ht="22" customHeight="1" x14ac:dyDescent="0.35">
      <c r="A40" s="8" t="s">
        <v>107</v>
      </c>
      <c r="B40" s="8" t="s">
        <v>108</v>
      </c>
      <c r="C40" s="8" t="s">
        <v>104</v>
      </c>
      <c r="D40" s="26" t="s">
        <v>3</v>
      </c>
      <c r="E40" s="26" t="s">
        <v>3</v>
      </c>
      <c r="F40" s="26" t="s">
        <v>3</v>
      </c>
      <c r="G40" s="26" t="s">
        <v>3</v>
      </c>
      <c r="H40" s="26" t="s">
        <v>3</v>
      </c>
      <c r="I40" s="27" t="s">
        <v>7</v>
      </c>
      <c r="J40" s="28" t="s">
        <v>11</v>
      </c>
      <c r="K40" s="26" t="s">
        <v>3</v>
      </c>
      <c r="L40" s="26" t="s">
        <v>3</v>
      </c>
      <c r="M40" s="26" t="s">
        <v>3</v>
      </c>
      <c r="N40" s="22" t="s">
        <v>5</v>
      </c>
      <c r="O40" s="26" t="s">
        <v>3</v>
      </c>
      <c r="P40" s="27" t="s">
        <v>7</v>
      </c>
      <c r="Q40" s="28" t="s">
        <v>11</v>
      </c>
      <c r="R40" s="26" t="s">
        <v>3</v>
      </c>
      <c r="S40" s="26" t="s">
        <v>3</v>
      </c>
      <c r="T40" s="22" t="s">
        <v>5</v>
      </c>
      <c r="U40" s="26" t="s">
        <v>3</v>
      </c>
      <c r="V40" s="26" t="s">
        <v>3</v>
      </c>
      <c r="W40" s="27" t="s">
        <v>7</v>
      </c>
      <c r="X40" s="28" t="s">
        <v>11</v>
      </c>
      <c r="Y40" s="26" t="s">
        <v>3</v>
      </c>
      <c r="Z40" s="26" t="s">
        <v>3</v>
      </c>
      <c r="AA40" s="26" t="s">
        <v>3</v>
      </c>
      <c r="AB40" s="26" t="s">
        <v>3</v>
      </c>
      <c r="AC40" s="26" t="s">
        <v>3</v>
      </c>
      <c r="AD40" s="27" t="s">
        <v>7</v>
      </c>
      <c r="AE40" s="24" t="s">
        <v>9</v>
      </c>
      <c r="AF40" s="22" t="s">
        <v>5</v>
      </c>
      <c r="AG40" s="26" t="s">
        <v>3</v>
      </c>
      <c r="AH40" s="8">
        <f t="shared" si="16"/>
        <v>19</v>
      </c>
      <c r="AI40" s="8">
        <f t="shared" si="17"/>
        <v>3</v>
      </c>
      <c r="AJ40" s="29">
        <f t="shared" si="18"/>
        <v>3</v>
      </c>
      <c r="AK40" s="62">
        <v>4</v>
      </c>
      <c r="AL40" s="33">
        <f t="shared" si="19"/>
        <v>24</v>
      </c>
      <c r="AM40" s="63">
        <f t="shared" si="20"/>
        <v>176</v>
      </c>
      <c r="AN40" s="63">
        <f t="shared" si="21"/>
        <v>0</v>
      </c>
      <c r="AO40" s="63">
        <f t="shared" si="22"/>
        <v>0</v>
      </c>
      <c r="AP40" s="53">
        <f t="shared" si="23"/>
        <v>24</v>
      </c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</row>
    <row r="41" spans="1:55" ht="22" customHeight="1" x14ac:dyDescent="0.35">
      <c r="A41" s="8" t="s">
        <v>109</v>
      </c>
      <c r="B41" s="8" t="s">
        <v>110</v>
      </c>
      <c r="C41" s="8" t="s">
        <v>104</v>
      </c>
      <c r="D41" s="26" t="s">
        <v>3</v>
      </c>
      <c r="E41" s="26" t="s">
        <v>3</v>
      </c>
      <c r="F41" s="26" t="s">
        <v>3</v>
      </c>
      <c r="G41" s="26" t="s">
        <v>3</v>
      </c>
      <c r="H41" s="26" t="s">
        <v>3</v>
      </c>
      <c r="I41" s="27" t="s">
        <v>7</v>
      </c>
      <c r="J41" s="28" t="s">
        <v>11</v>
      </c>
      <c r="K41" s="26" t="s">
        <v>3</v>
      </c>
      <c r="L41" s="26" t="s">
        <v>3</v>
      </c>
      <c r="M41" s="26" t="s">
        <v>3</v>
      </c>
      <c r="N41" s="22" t="s">
        <v>5</v>
      </c>
      <c r="O41" s="26" t="s">
        <v>3</v>
      </c>
      <c r="P41" s="27" t="s">
        <v>7</v>
      </c>
      <c r="Q41" s="28" t="s">
        <v>11</v>
      </c>
      <c r="R41" s="26" t="s">
        <v>3</v>
      </c>
      <c r="S41" s="26" t="s">
        <v>3</v>
      </c>
      <c r="T41" s="26" t="s">
        <v>3</v>
      </c>
      <c r="U41" s="26" t="s">
        <v>3</v>
      </c>
      <c r="V41" s="26" t="s">
        <v>3</v>
      </c>
      <c r="W41" s="27" t="s">
        <v>7</v>
      </c>
      <c r="X41" s="28" t="s">
        <v>11</v>
      </c>
      <c r="Y41" s="26" t="s">
        <v>3</v>
      </c>
      <c r="Z41" s="26" t="s">
        <v>3</v>
      </c>
      <c r="AA41" s="26" t="s">
        <v>3</v>
      </c>
      <c r="AB41" s="26" t="s">
        <v>3</v>
      </c>
      <c r="AC41" s="26" t="s">
        <v>3</v>
      </c>
      <c r="AD41" s="27" t="s">
        <v>7</v>
      </c>
      <c r="AE41" s="24" t="s">
        <v>9</v>
      </c>
      <c r="AF41" s="22" t="s">
        <v>5</v>
      </c>
      <c r="AG41" s="26" t="s">
        <v>3</v>
      </c>
      <c r="AH41" s="8">
        <f t="shared" si="16"/>
        <v>20</v>
      </c>
      <c r="AI41" s="8">
        <f t="shared" si="17"/>
        <v>2</v>
      </c>
      <c r="AJ41" s="29">
        <f t="shared" si="18"/>
        <v>3</v>
      </c>
      <c r="AK41" s="62">
        <v>4</v>
      </c>
      <c r="AL41" s="33">
        <f t="shared" si="19"/>
        <v>25</v>
      </c>
      <c r="AM41" s="63">
        <f t="shared" si="20"/>
        <v>176</v>
      </c>
      <c r="AN41" s="63">
        <f t="shared" si="21"/>
        <v>0</v>
      </c>
      <c r="AO41" s="63">
        <f t="shared" si="22"/>
        <v>0</v>
      </c>
      <c r="AP41" s="53">
        <f t="shared" si="23"/>
        <v>25</v>
      </c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</row>
    <row r="42" spans="1:55" ht="22" customHeight="1" x14ac:dyDescent="0.35">
      <c r="A42" s="8" t="s">
        <v>111</v>
      </c>
      <c r="B42" s="8" t="s">
        <v>112</v>
      </c>
      <c r="C42" s="8" t="s">
        <v>104</v>
      </c>
      <c r="D42" s="26" t="s">
        <v>3</v>
      </c>
      <c r="E42" s="26" t="s">
        <v>3</v>
      </c>
      <c r="F42" s="26" t="s">
        <v>3</v>
      </c>
      <c r="G42" s="26" t="s">
        <v>3</v>
      </c>
      <c r="H42" s="26" t="s">
        <v>3</v>
      </c>
      <c r="I42" s="27" t="s">
        <v>7</v>
      </c>
      <c r="J42" s="28" t="s">
        <v>11</v>
      </c>
      <c r="K42" s="26" t="s">
        <v>3</v>
      </c>
      <c r="L42" s="26" t="s">
        <v>3</v>
      </c>
      <c r="M42" s="26" t="s">
        <v>3</v>
      </c>
      <c r="N42" s="26" t="s">
        <v>3</v>
      </c>
      <c r="O42" s="26" t="s">
        <v>3</v>
      </c>
      <c r="P42" s="27" t="s">
        <v>7</v>
      </c>
      <c r="Q42" s="28" t="s">
        <v>11</v>
      </c>
      <c r="R42" s="26" t="s">
        <v>3</v>
      </c>
      <c r="S42" s="26" t="s">
        <v>3</v>
      </c>
      <c r="T42" s="26" t="s">
        <v>3</v>
      </c>
      <c r="U42" s="26" t="s">
        <v>3</v>
      </c>
      <c r="V42" s="26" t="s">
        <v>3</v>
      </c>
      <c r="W42" s="27" t="s">
        <v>7</v>
      </c>
      <c r="X42" s="28" t="s">
        <v>11</v>
      </c>
      <c r="Y42" s="26" t="s">
        <v>3</v>
      </c>
      <c r="Z42" s="26" t="s">
        <v>3</v>
      </c>
      <c r="AA42" s="26" t="s">
        <v>3</v>
      </c>
      <c r="AB42" s="26" t="s">
        <v>3</v>
      </c>
      <c r="AC42" s="26" t="s">
        <v>3</v>
      </c>
      <c r="AD42" s="27" t="s">
        <v>7</v>
      </c>
      <c r="AE42" s="24" t="s">
        <v>9</v>
      </c>
      <c r="AF42" s="26" t="s">
        <v>3</v>
      </c>
      <c r="AG42" s="26" t="s">
        <v>3</v>
      </c>
      <c r="AH42" s="8">
        <f t="shared" si="16"/>
        <v>22</v>
      </c>
      <c r="AI42" s="8">
        <f t="shared" si="17"/>
        <v>0</v>
      </c>
      <c r="AJ42" s="29">
        <f t="shared" si="18"/>
        <v>3</v>
      </c>
      <c r="AK42" s="62">
        <v>4</v>
      </c>
      <c r="AL42" s="33">
        <f t="shared" si="19"/>
        <v>27</v>
      </c>
      <c r="AM42" s="63">
        <f t="shared" si="20"/>
        <v>176</v>
      </c>
      <c r="AN42" s="63">
        <f t="shared" si="21"/>
        <v>0</v>
      </c>
      <c r="AO42" s="63">
        <f t="shared" si="22"/>
        <v>0</v>
      </c>
      <c r="AP42" s="53">
        <f t="shared" si="23"/>
        <v>27</v>
      </c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</row>
    <row r="43" spans="1:55" ht="22" customHeight="1" x14ac:dyDescent="0.35">
      <c r="A43" s="8" t="s">
        <v>113</v>
      </c>
      <c r="B43" s="8" t="s">
        <v>114</v>
      </c>
      <c r="C43" s="8" t="s">
        <v>104</v>
      </c>
      <c r="D43" s="26" t="s">
        <v>3</v>
      </c>
      <c r="E43" s="26" t="s">
        <v>3</v>
      </c>
      <c r="F43" s="26" t="s">
        <v>3</v>
      </c>
      <c r="G43" s="26" t="s">
        <v>3</v>
      </c>
      <c r="H43" s="26" t="s">
        <v>3</v>
      </c>
      <c r="I43" s="27" t="s">
        <v>7</v>
      </c>
      <c r="J43" s="28" t="s">
        <v>11</v>
      </c>
      <c r="K43" s="26" t="s">
        <v>3</v>
      </c>
      <c r="L43" s="26" t="s">
        <v>3</v>
      </c>
      <c r="M43" s="26" t="s">
        <v>3</v>
      </c>
      <c r="N43" s="26" t="s">
        <v>3</v>
      </c>
      <c r="O43" s="26" t="s">
        <v>3</v>
      </c>
      <c r="P43" s="27" t="s">
        <v>7</v>
      </c>
      <c r="Q43" s="28" t="s">
        <v>11</v>
      </c>
      <c r="R43" s="26" t="s">
        <v>3</v>
      </c>
      <c r="S43" s="26" t="s">
        <v>3</v>
      </c>
      <c r="T43" s="26" t="s">
        <v>3</v>
      </c>
      <c r="U43" s="26" t="s">
        <v>3</v>
      </c>
      <c r="V43" s="26" t="s">
        <v>3</v>
      </c>
      <c r="W43" s="27" t="s">
        <v>7</v>
      </c>
      <c r="X43" s="28" t="s">
        <v>11</v>
      </c>
      <c r="Y43" s="26" t="s">
        <v>3</v>
      </c>
      <c r="Z43" s="26" t="s">
        <v>3</v>
      </c>
      <c r="AA43" s="26" t="s">
        <v>3</v>
      </c>
      <c r="AB43" s="26" t="s">
        <v>3</v>
      </c>
      <c r="AC43" s="26" t="s">
        <v>3</v>
      </c>
      <c r="AD43" s="27" t="s">
        <v>7</v>
      </c>
      <c r="AE43" s="28" t="s">
        <v>11</v>
      </c>
      <c r="AF43" s="26" t="s">
        <v>3</v>
      </c>
      <c r="AG43" s="26" t="s">
        <v>3</v>
      </c>
      <c r="AH43" s="8">
        <f t="shared" si="16"/>
        <v>22</v>
      </c>
      <c r="AI43" s="8">
        <f t="shared" si="17"/>
        <v>0</v>
      </c>
      <c r="AJ43" s="29">
        <f t="shared" si="18"/>
        <v>4</v>
      </c>
      <c r="AK43" s="62">
        <v>4</v>
      </c>
      <c r="AL43" s="33">
        <f t="shared" si="19"/>
        <v>28</v>
      </c>
      <c r="AM43" s="63">
        <f t="shared" si="20"/>
        <v>176</v>
      </c>
      <c r="AN43" s="63">
        <f t="shared" si="21"/>
        <v>0</v>
      </c>
      <c r="AO43" s="63">
        <f t="shared" si="22"/>
        <v>0</v>
      </c>
      <c r="AP43" s="53">
        <f t="shared" si="23"/>
        <v>28</v>
      </c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</row>
    <row r="44" spans="1:55" ht="22" customHeight="1" x14ac:dyDescent="0.35">
      <c r="A44" s="8" t="s">
        <v>115</v>
      </c>
      <c r="B44" s="8" t="s">
        <v>116</v>
      </c>
      <c r="C44" s="8" t="s">
        <v>104</v>
      </c>
      <c r="D44" s="26" t="s">
        <v>3</v>
      </c>
      <c r="E44" s="26" t="s">
        <v>3</v>
      </c>
      <c r="F44" s="26" t="s">
        <v>3</v>
      </c>
      <c r="G44" s="26" t="s">
        <v>3</v>
      </c>
      <c r="H44" s="26" t="s">
        <v>3</v>
      </c>
      <c r="I44" s="27" t="s">
        <v>7</v>
      </c>
      <c r="J44" s="28" t="s">
        <v>11</v>
      </c>
      <c r="K44" s="26" t="s">
        <v>3</v>
      </c>
      <c r="L44" s="26" t="s">
        <v>3</v>
      </c>
      <c r="M44" s="26" t="s">
        <v>3</v>
      </c>
      <c r="N44" s="26" t="s">
        <v>3</v>
      </c>
      <c r="O44" s="26" t="s">
        <v>3</v>
      </c>
      <c r="P44" s="27" t="s">
        <v>7</v>
      </c>
      <c r="Q44" s="28" t="s">
        <v>11</v>
      </c>
      <c r="R44" s="26" t="s">
        <v>3</v>
      </c>
      <c r="S44" s="26" t="s">
        <v>3</v>
      </c>
      <c r="T44" s="26" t="s">
        <v>3</v>
      </c>
      <c r="U44" s="26" t="s">
        <v>3</v>
      </c>
      <c r="V44" s="26" t="s">
        <v>3</v>
      </c>
      <c r="W44" s="27" t="s">
        <v>7</v>
      </c>
      <c r="X44" s="28" t="s">
        <v>11</v>
      </c>
      <c r="Y44" s="26" t="s">
        <v>3</v>
      </c>
      <c r="Z44" s="26" t="s">
        <v>3</v>
      </c>
      <c r="AA44" s="26" t="s">
        <v>3</v>
      </c>
      <c r="AB44" s="26" t="s">
        <v>3</v>
      </c>
      <c r="AC44" s="26" t="s">
        <v>3</v>
      </c>
      <c r="AD44" s="27" t="s">
        <v>7</v>
      </c>
      <c r="AE44" s="24" t="s">
        <v>9</v>
      </c>
      <c r="AF44" s="26" t="s">
        <v>3</v>
      </c>
      <c r="AG44" s="26" t="s">
        <v>3</v>
      </c>
      <c r="AH44" s="8">
        <f t="shared" si="16"/>
        <v>22</v>
      </c>
      <c r="AI44" s="8">
        <f t="shared" si="17"/>
        <v>0</v>
      </c>
      <c r="AJ44" s="29">
        <f t="shared" si="18"/>
        <v>3</v>
      </c>
      <c r="AK44" s="62">
        <v>4</v>
      </c>
      <c r="AL44" s="33">
        <f t="shared" si="19"/>
        <v>27</v>
      </c>
      <c r="AM44" s="63">
        <f t="shared" si="20"/>
        <v>176</v>
      </c>
      <c r="AN44" s="63">
        <f t="shared" si="21"/>
        <v>0</v>
      </c>
      <c r="AO44" s="63">
        <f t="shared" si="22"/>
        <v>0</v>
      </c>
      <c r="AP44" s="53">
        <f t="shared" si="23"/>
        <v>27</v>
      </c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</row>
    <row r="45" spans="1:55" ht="22" customHeight="1" x14ac:dyDescent="0.35">
      <c r="A45" s="8" t="s">
        <v>117</v>
      </c>
      <c r="B45" s="8" t="s">
        <v>118</v>
      </c>
      <c r="C45" s="8" t="s">
        <v>104</v>
      </c>
      <c r="D45" s="26" t="s">
        <v>3</v>
      </c>
      <c r="E45" s="26" t="s">
        <v>3</v>
      </c>
      <c r="F45" s="26" t="s">
        <v>3</v>
      </c>
      <c r="G45" s="26" t="s">
        <v>3</v>
      </c>
      <c r="H45" s="26" t="s">
        <v>3</v>
      </c>
      <c r="I45" s="27" t="s">
        <v>7</v>
      </c>
      <c r="J45" s="28" t="s">
        <v>11</v>
      </c>
      <c r="K45" s="26" t="s">
        <v>3</v>
      </c>
      <c r="L45" s="26" t="s">
        <v>3</v>
      </c>
      <c r="M45" s="26" t="s">
        <v>3</v>
      </c>
      <c r="N45" s="26" t="s">
        <v>3</v>
      </c>
      <c r="O45" s="26" t="s">
        <v>3</v>
      </c>
      <c r="P45" s="27" t="s">
        <v>7</v>
      </c>
      <c r="Q45" s="28" t="s">
        <v>11</v>
      </c>
      <c r="R45" s="26" t="s">
        <v>3</v>
      </c>
      <c r="S45" s="26" t="s">
        <v>3</v>
      </c>
      <c r="T45" s="26" t="s">
        <v>3</v>
      </c>
      <c r="U45" s="26" t="s">
        <v>3</v>
      </c>
      <c r="V45" s="26" t="s">
        <v>3</v>
      </c>
      <c r="W45" s="27" t="s">
        <v>7</v>
      </c>
      <c r="X45" s="28" t="s">
        <v>11</v>
      </c>
      <c r="Y45" s="26" t="s">
        <v>3</v>
      </c>
      <c r="Z45" s="26" t="s">
        <v>3</v>
      </c>
      <c r="AA45" s="26" t="s">
        <v>3</v>
      </c>
      <c r="AB45" s="26" t="s">
        <v>3</v>
      </c>
      <c r="AC45" s="26" t="s">
        <v>3</v>
      </c>
      <c r="AD45" s="27" t="s">
        <v>7</v>
      </c>
      <c r="AE45" s="28" t="s">
        <v>11</v>
      </c>
      <c r="AF45" s="26" t="s">
        <v>3</v>
      </c>
      <c r="AG45" s="26" t="s">
        <v>3</v>
      </c>
      <c r="AH45" s="8">
        <f t="shared" si="16"/>
        <v>22</v>
      </c>
      <c r="AI45" s="8">
        <f t="shared" si="17"/>
        <v>0</v>
      </c>
      <c r="AJ45" s="29">
        <f t="shared" si="18"/>
        <v>4</v>
      </c>
      <c r="AK45" s="62">
        <v>4</v>
      </c>
      <c r="AL45" s="33">
        <f t="shared" si="19"/>
        <v>28</v>
      </c>
      <c r="AM45" s="63">
        <f t="shared" si="20"/>
        <v>176</v>
      </c>
      <c r="AN45" s="63">
        <f t="shared" si="21"/>
        <v>0</v>
      </c>
      <c r="AO45" s="63">
        <f t="shared" si="22"/>
        <v>0</v>
      </c>
      <c r="AP45" s="53">
        <f t="shared" si="23"/>
        <v>28</v>
      </c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</row>
    <row r="46" spans="1:55" ht="22" customHeight="1" x14ac:dyDescent="0.35">
      <c r="A46" s="8" t="s">
        <v>119</v>
      </c>
      <c r="B46" s="8" t="s">
        <v>120</v>
      </c>
      <c r="C46" s="8" t="s">
        <v>104</v>
      </c>
      <c r="D46" s="26" t="s">
        <v>3</v>
      </c>
      <c r="E46" s="26" t="s">
        <v>3</v>
      </c>
      <c r="F46" s="26" t="s">
        <v>3</v>
      </c>
      <c r="G46" s="26" t="s">
        <v>3</v>
      </c>
      <c r="H46" s="26" t="s">
        <v>3</v>
      </c>
      <c r="I46" s="27" t="s">
        <v>7</v>
      </c>
      <c r="J46" s="28" t="s">
        <v>11</v>
      </c>
      <c r="K46" s="26" t="s">
        <v>3</v>
      </c>
      <c r="L46" s="26" t="s">
        <v>3</v>
      </c>
      <c r="M46" s="26" t="s">
        <v>3</v>
      </c>
      <c r="N46" s="26" t="s">
        <v>3</v>
      </c>
      <c r="O46" s="26" t="s">
        <v>3</v>
      </c>
      <c r="P46" s="27" t="s">
        <v>7</v>
      </c>
      <c r="Q46" s="28" t="s">
        <v>11</v>
      </c>
      <c r="R46" s="26" t="s">
        <v>3</v>
      </c>
      <c r="S46" s="26" t="s">
        <v>3</v>
      </c>
      <c r="T46" s="26" t="s">
        <v>3</v>
      </c>
      <c r="U46" s="26" t="s">
        <v>3</v>
      </c>
      <c r="V46" s="26" t="s">
        <v>3</v>
      </c>
      <c r="W46" s="27" t="s">
        <v>7</v>
      </c>
      <c r="X46" s="28" t="s">
        <v>11</v>
      </c>
      <c r="Y46" s="26" t="s">
        <v>3</v>
      </c>
      <c r="Z46" s="26" t="s">
        <v>3</v>
      </c>
      <c r="AA46" s="26" t="s">
        <v>3</v>
      </c>
      <c r="AB46" s="26" t="s">
        <v>3</v>
      </c>
      <c r="AC46" s="26" t="s">
        <v>3</v>
      </c>
      <c r="AD46" s="27" t="s">
        <v>7</v>
      </c>
      <c r="AE46" s="28" t="s">
        <v>11</v>
      </c>
      <c r="AF46" s="26" t="s">
        <v>3</v>
      </c>
      <c r="AG46" s="26" t="s">
        <v>3</v>
      </c>
      <c r="AH46" s="8">
        <f t="shared" si="16"/>
        <v>22</v>
      </c>
      <c r="AI46" s="8">
        <f t="shared" si="17"/>
        <v>0</v>
      </c>
      <c r="AJ46" s="29">
        <f t="shared" si="18"/>
        <v>4</v>
      </c>
      <c r="AK46" s="62">
        <v>4</v>
      </c>
      <c r="AL46" s="33">
        <f t="shared" si="19"/>
        <v>28</v>
      </c>
      <c r="AM46" s="63">
        <f t="shared" si="20"/>
        <v>176</v>
      </c>
      <c r="AN46" s="63">
        <f t="shared" si="21"/>
        <v>0</v>
      </c>
      <c r="AO46" s="63">
        <f t="shared" si="22"/>
        <v>0</v>
      </c>
      <c r="AP46" s="53">
        <f t="shared" si="23"/>
        <v>28</v>
      </c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</row>
    <row r="47" spans="1:55" ht="22" customHeight="1" x14ac:dyDescent="0.35">
      <c r="A47" s="8" t="s">
        <v>121</v>
      </c>
      <c r="B47" s="8" t="s">
        <v>122</v>
      </c>
      <c r="C47" s="8" t="s">
        <v>104</v>
      </c>
      <c r="D47" s="26" t="s">
        <v>3</v>
      </c>
      <c r="E47" s="26" t="s">
        <v>3</v>
      </c>
      <c r="F47" s="26" t="s">
        <v>3</v>
      </c>
      <c r="G47" s="26" t="s">
        <v>3</v>
      </c>
      <c r="H47" s="26" t="s">
        <v>3</v>
      </c>
      <c r="I47" s="23" t="s">
        <v>7</v>
      </c>
      <c r="J47" s="28" t="s">
        <v>11</v>
      </c>
      <c r="K47" s="26" t="s">
        <v>3</v>
      </c>
      <c r="L47" s="26" t="s">
        <v>3</v>
      </c>
      <c r="M47" s="26" t="s">
        <v>3</v>
      </c>
      <c r="N47" s="26" t="s">
        <v>3</v>
      </c>
      <c r="O47" s="26" t="s">
        <v>3</v>
      </c>
      <c r="P47" s="27" t="s">
        <v>7</v>
      </c>
      <c r="Q47" s="28" t="s">
        <v>11</v>
      </c>
      <c r="R47" s="26" t="s">
        <v>3</v>
      </c>
      <c r="S47" s="26" t="s">
        <v>3</v>
      </c>
      <c r="T47" s="26" t="s">
        <v>3</v>
      </c>
      <c r="U47" s="26" t="s">
        <v>3</v>
      </c>
      <c r="V47" s="26" t="s">
        <v>3</v>
      </c>
      <c r="W47" s="27" t="s">
        <v>7</v>
      </c>
      <c r="X47" s="28" t="s">
        <v>11</v>
      </c>
      <c r="Y47" s="26" t="s">
        <v>3</v>
      </c>
      <c r="Z47" s="26" t="s">
        <v>3</v>
      </c>
      <c r="AA47" s="26" t="s">
        <v>3</v>
      </c>
      <c r="AB47" s="26" t="s">
        <v>3</v>
      </c>
      <c r="AC47" s="26" t="s">
        <v>3</v>
      </c>
      <c r="AD47" s="27" t="s">
        <v>7</v>
      </c>
      <c r="AE47" s="24" t="s">
        <v>9</v>
      </c>
      <c r="AF47" s="22" t="s">
        <v>5</v>
      </c>
      <c r="AG47" s="22" t="s">
        <v>5</v>
      </c>
      <c r="AH47" s="8">
        <f t="shared" si="16"/>
        <v>20</v>
      </c>
      <c r="AI47" s="8">
        <f t="shared" si="17"/>
        <v>2</v>
      </c>
      <c r="AJ47" s="29">
        <f t="shared" si="18"/>
        <v>3</v>
      </c>
      <c r="AK47" s="62">
        <v>3</v>
      </c>
      <c r="AL47" s="33">
        <f t="shared" si="19"/>
        <v>24.5</v>
      </c>
      <c r="AM47" s="63">
        <f t="shared" si="20"/>
        <v>176</v>
      </c>
      <c r="AN47" s="63">
        <f t="shared" si="21"/>
        <v>1</v>
      </c>
      <c r="AO47" s="63">
        <f t="shared" si="22"/>
        <v>4</v>
      </c>
      <c r="AP47" s="53">
        <f t="shared" si="23"/>
        <v>24</v>
      </c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</row>
    <row r="48" spans="1:55" ht="22" customHeight="1" x14ac:dyDescent="0.35">
      <c r="A48" s="8" t="s">
        <v>123</v>
      </c>
      <c r="B48" s="8" t="s">
        <v>124</v>
      </c>
      <c r="C48" s="8" t="s">
        <v>104</v>
      </c>
      <c r="D48" s="26" t="s">
        <v>3</v>
      </c>
      <c r="E48" s="26" t="s">
        <v>3</v>
      </c>
      <c r="F48" s="26" t="s">
        <v>3</v>
      </c>
      <c r="G48" s="26" t="s">
        <v>3</v>
      </c>
      <c r="H48" s="26" t="s">
        <v>3</v>
      </c>
      <c r="I48" s="27" t="s">
        <v>7</v>
      </c>
      <c r="J48" s="28" t="s">
        <v>11</v>
      </c>
      <c r="K48" s="26" t="s">
        <v>3</v>
      </c>
      <c r="L48" s="26" t="s">
        <v>3</v>
      </c>
      <c r="M48" s="26" t="s">
        <v>3</v>
      </c>
      <c r="N48" s="22" t="s">
        <v>5</v>
      </c>
      <c r="O48" s="26" t="s">
        <v>3</v>
      </c>
      <c r="P48" s="27" t="s">
        <v>7</v>
      </c>
      <c r="Q48" s="28" t="s">
        <v>11</v>
      </c>
      <c r="R48" s="26" t="s">
        <v>3</v>
      </c>
      <c r="S48" s="26" t="s">
        <v>3</v>
      </c>
      <c r="T48" s="26" t="s">
        <v>3</v>
      </c>
      <c r="U48" s="26" t="s">
        <v>3</v>
      </c>
      <c r="V48" s="26" t="s">
        <v>3</v>
      </c>
      <c r="W48" s="27" t="s">
        <v>7</v>
      </c>
      <c r="X48" s="28" t="s">
        <v>11</v>
      </c>
      <c r="Y48" s="26" t="s">
        <v>3</v>
      </c>
      <c r="Z48" s="26" t="s">
        <v>3</v>
      </c>
      <c r="AA48" s="26" t="s">
        <v>3</v>
      </c>
      <c r="AB48" s="26" t="s">
        <v>3</v>
      </c>
      <c r="AC48" s="26" t="s">
        <v>3</v>
      </c>
      <c r="AD48" s="27" t="s">
        <v>7</v>
      </c>
      <c r="AE48" s="24" t="s">
        <v>9</v>
      </c>
      <c r="AF48" s="26" t="s">
        <v>3</v>
      </c>
      <c r="AG48" s="26" t="s">
        <v>3</v>
      </c>
      <c r="AH48" s="8">
        <f t="shared" si="16"/>
        <v>21</v>
      </c>
      <c r="AI48" s="8">
        <f t="shared" si="17"/>
        <v>1</v>
      </c>
      <c r="AJ48" s="29">
        <f t="shared" si="18"/>
        <v>3</v>
      </c>
      <c r="AK48" s="62">
        <v>4</v>
      </c>
      <c r="AL48" s="33">
        <f t="shared" si="19"/>
        <v>26</v>
      </c>
      <c r="AM48" s="63">
        <f t="shared" si="20"/>
        <v>176</v>
      </c>
      <c r="AN48" s="63">
        <f t="shared" si="21"/>
        <v>0</v>
      </c>
      <c r="AO48" s="63">
        <f t="shared" si="22"/>
        <v>0</v>
      </c>
      <c r="AP48" s="53">
        <f t="shared" si="23"/>
        <v>26</v>
      </c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</row>
    <row r="49" spans="1:55" ht="22" customHeight="1" x14ac:dyDescent="0.35">
      <c r="A49" s="8" t="s">
        <v>125</v>
      </c>
      <c r="B49" s="8" t="s">
        <v>126</v>
      </c>
      <c r="C49" s="8" t="s">
        <v>104</v>
      </c>
      <c r="D49" s="26" t="s">
        <v>3</v>
      </c>
      <c r="E49" s="26" t="s">
        <v>3</v>
      </c>
      <c r="F49" s="26" t="s">
        <v>3</v>
      </c>
      <c r="G49" s="26" t="s">
        <v>3</v>
      </c>
      <c r="H49" s="26" t="s">
        <v>3</v>
      </c>
      <c r="I49" s="27" t="s">
        <v>7</v>
      </c>
      <c r="J49" s="28" t="s">
        <v>11</v>
      </c>
      <c r="K49" s="26" t="s">
        <v>3</v>
      </c>
      <c r="L49" s="26" t="s">
        <v>3</v>
      </c>
      <c r="M49" s="26" t="s">
        <v>3</v>
      </c>
      <c r="N49" s="26" t="s">
        <v>3</v>
      </c>
      <c r="O49" s="26" t="s">
        <v>3</v>
      </c>
      <c r="P49" s="27" t="s">
        <v>7</v>
      </c>
      <c r="Q49" s="28" t="s">
        <v>11</v>
      </c>
      <c r="R49" s="26" t="s">
        <v>3</v>
      </c>
      <c r="S49" s="26" t="s">
        <v>3</v>
      </c>
      <c r="T49" s="26" t="s">
        <v>3</v>
      </c>
      <c r="U49" s="26" t="s">
        <v>3</v>
      </c>
      <c r="V49" s="22" t="s">
        <v>5</v>
      </c>
      <c r="W49" s="23" t="s">
        <v>7</v>
      </c>
      <c r="X49" s="24" t="s">
        <v>9</v>
      </c>
      <c r="Y49" s="26" t="s">
        <v>3</v>
      </c>
      <c r="Z49" s="26" t="s">
        <v>3</v>
      </c>
      <c r="AA49" s="26" t="s">
        <v>3</v>
      </c>
      <c r="AB49" s="26" t="s">
        <v>3</v>
      </c>
      <c r="AC49" s="26" t="s">
        <v>3</v>
      </c>
      <c r="AD49" s="27" t="s">
        <v>7</v>
      </c>
      <c r="AE49" s="28" t="s">
        <v>11</v>
      </c>
      <c r="AF49" s="26" t="s">
        <v>3</v>
      </c>
      <c r="AG49" s="26" t="s">
        <v>3</v>
      </c>
      <c r="AH49" s="8">
        <f t="shared" si="16"/>
        <v>21</v>
      </c>
      <c r="AI49" s="8">
        <f t="shared" si="17"/>
        <v>1</v>
      </c>
      <c r="AJ49" s="29">
        <f t="shared" si="18"/>
        <v>3</v>
      </c>
      <c r="AK49" s="62">
        <v>3</v>
      </c>
      <c r="AL49" s="33">
        <f t="shared" si="19"/>
        <v>25.5</v>
      </c>
      <c r="AM49" s="63">
        <f t="shared" si="20"/>
        <v>176</v>
      </c>
      <c r="AN49" s="63">
        <f t="shared" si="21"/>
        <v>0</v>
      </c>
      <c r="AO49" s="63">
        <f t="shared" si="22"/>
        <v>0</v>
      </c>
      <c r="AP49" s="53">
        <f t="shared" si="23"/>
        <v>25.5</v>
      </c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</row>
    <row r="50" spans="1:55" ht="22" customHeight="1" x14ac:dyDescent="0.35">
      <c r="A50" s="8" t="s">
        <v>127</v>
      </c>
      <c r="B50" s="8" t="s">
        <v>128</v>
      </c>
      <c r="C50" s="8" t="s">
        <v>104</v>
      </c>
      <c r="D50" s="26" t="s">
        <v>3</v>
      </c>
      <c r="E50" s="26" t="s">
        <v>3</v>
      </c>
      <c r="F50" s="26" t="s">
        <v>3</v>
      </c>
      <c r="G50" s="26" t="s">
        <v>3</v>
      </c>
      <c r="H50" s="26" t="s">
        <v>3</v>
      </c>
      <c r="I50" s="27" t="s">
        <v>7</v>
      </c>
      <c r="J50" s="28" t="s">
        <v>11</v>
      </c>
      <c r="K50" s="26" t="s">
        <v>3</v>
      </c>
      <c r="L50" s="26" t="s">
        <v>3</v>
      </c>
      <c r="M50" s="26" t="s">
        <v>3</v>
      </c>
      <c r="N50" s="26" t="s">
        <v>3</v>
      </c>
      <c r="O50" s="26" t="s">
        <v>3</v>
      </c>
      <c r="P50" s="27" t="s">
        <v>7</v>
      </c>
      <c r="Q50" s="28" t="s">
        <v>11</v>
      </c>
      <c r="R50" s="22" t="s">
        <v>5</v>
      </c>
      <c r="S50" s="22" t="s">
        <v>5</v>
      </c>
      <c r="T50" s="22" t="s">
        <v>5</v>
      </c>
      <c r="U50" s="26" t="s">
        <v>3</v>
      </c>
      <c r="V50" s="26" t="s">
        <v>3</v>
      </c>
      <c r="W50" s="27" t="s">
        <v>7</v>
      </c>
      <c r="X50" s="28" t="s">
        <v>11</v>
      </c>
      <c r="Y50" s="26" t="s">
        <v>3</v>
      </c>
      <c r="Z50" s="26" t="s">
        <v>3</v>
      </c>
      <c r="AA50" s="26" t="s">
        <v>3</v>
      </c>
      <c r="AB50" s="26" t="s">
        <v>3</v>
      </c>
      <c r="AC50" s="26" t="s">
        <v>3</v>
      </c>
      <c r="AD50" s="27" t="s">
        <v>7</v>
      </c>
      <c r="AE50" s="28" t="s">
        <v>11</v>
      </c>
      <c r="AF50" s="26" t="s">
        <v>3</v>
      </c>
      <c r="AG50" s="26" t="s">
        <v>3</v>
      </c>
      <c r="AH50" s="8">
        <f t="shared" si="16"/>
        <v>19</v>
      </c>
      <c r="AI50" s="8">
        <f t="shared" si="17"/>
        <v>3</v>
      </c>
      <c r="AJ50" s="29">
        <f t="shared" si="18"/>
        <v>4</v>
      </c>
      <c r="AK50" s="62">
        <v>4</v>
      </c>
      <c r="AL50" s="33">
        <f t="shared" si="19"/>
        <v>25</v>
      </c>
      <c r="AM50" s="63">
        <f t="shared" si="20"/>
        <v>176</v>
      </c>
      <c r="AN50" s="63">
        <f t="shared" si="21"/>
        <v>0</v>
      </c>
      <c r="AO50" s="63">
        <f t="shared" si="22"/>
        <v>0</v>
      </c>
      <c r="AP50" s="53">
        <f t="shared" si="23"/>
        <v>25</v>
      </c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</row>
    <row r="51" spans="1:55" ht="22" customHeight="1" x14ac:dyDescent="0.35">
      <c r="A51" s="8" t="s">
        <v>129</v>
      </c>
      <c r="B51" s="8" t="s">
        <v>130</v>
      </c>
      <c r="C51" s="8" t="s">
        <v>104</v>
      </c>
      <c r="D51" s="26" t="s">
        <v>3</v>
      </c>
      <c r="E51" s="26" t="s">
        <v>3</v>
      </c>
      <c r="F51" s="22" t="s">
        <v>5</v>
      </c>
      <c r="G51" s="22" t="s">
        <v>5</v>
      </c>
      <c r="H51" s="22" t="s">
        <v>5</v>
      </c>
      <c r="I51" s="23" t="s">
        <v>7</v>
      </c>
      <c r="J51" s="24" t="s">
        <v>9</v>
      </c>
      <c r="K51" s="26" t="s">
        <v>3</v>
      </c>
      <c r="L51" s="26" t="s">
        <v>3</v>
      </c>
      <c r="M51" s="26" t="s">
        <v>3</v>
      </c>
      <c r="N51" s="26" t="s">
        <v>3</v>
      </c>
      <c r="O51" s="26" t="s">
        <v>3</v>
      </c>
      <c r="P51" s="27" t="s">
        <v>7</v>
      </c>
      <c r="Q51" s="24" t="s">
        <v>9</v>
      </c>
      <c r="R51" s="26" t="s">
        <v>3</v>
      </c>
      <c r="S51" s="26" t="s">
        <v>3</v>
      </c>
      <c r="T51" s="26" t="s">
        <v>3</v>
      </c>
      <c r="U51" s="26" t="s">
        <v>3</v>
      </c>
      <c r="V51" s="26" t="s">
        <v>3</v>
      </c>
      <c r="W51" s="27" t="s">
        <v>7</v>
      </c>
      <c r="X51" s="28" t="s">
        <v>11</v>
      </c>
      <c r="Y51" s="26" t="s">
        <v>3</v>
      </c>
      <c r="Z51" s="26" t="s">
        <v>3</v>
      </c>
      <c r="AA51" s="26" t="s">
        <v>3</v>
      </c>
      <c r="AB51" s="26" t="s">
        <v>3</v>
      </c>
      <c r="AC51" s="26" t="s">
        <v>3</v>
      </c>
      <c r="AD51" s="27" t="s">
        <v>7</v>
      </c>
      <c r="AE51" s="24" t="s">
        <v>9</v>
      </c>
      <c r="AF51" s="22" t="s">
        <v>5</v>
      </c>
      <c r="AG51" s="22" t="s">
        <v>5</v>
      </c>
      <c r="AH51" s="8">
        <f t="shared" si="16"/>
        <v>17</v>
      </c>
      <c r="AI51" s="8">
        <f t="shared" si="17"/>
        <v>5</v>
      </c>
      <c r="AJ51" s="29">
        <f t="shared" si="18"/>
        <v>1</v>
      </c>
      <c r="AK51" s="62">
        <v>3</v>
      </c>
      <c r="AL51" s="33">
        <f t="shared" si="19"/>
        <v>19.5</v>
      </c>
      <c r="AM51" s="63">
        <f t="shared" si="20"/>
        <v>176</v>
      </c>
      <c r="AN51" s="63">
        <f t="shared" si="21"/>
        <v>0</v>
      </c>
      <c r="AO51" s="63">
        <f t="shared" si="22"/>
        <v>0</v>
      </c>
      <c r="AP51" s="53">
        <f t="shared" si="23"/>
        <v>19.5</v>
      </c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</row>
    <row r="52" spans="1:55" ht="22" customHeight="1" x14ac:dyDescent="0.35">
      <c r="A52" s="8" t="s">
        <v>131</v>
      </c>
      <c r="B52" s="8" t="s">
        <v>132</v>
      </c>
      <c r="C52" s="8" t="s">
        <v>104</v>
      </c>
      <c r="D52" s="26" t="s">
        <v>3</v>
      </c>
      <c r="E52" s="26" t="s">
        <v>3</v>
      </c>
      <c r="F52" s="26" t="s">
        <v>3</v>
      </c>
      <c r="G52" s="26" t="s">
        <v>3</v>
      </c>
      <c r="H52" s="26" t="s">
        <v>3</v>
      </c>
      <c r="I52" s="27" t="s">
        <v>7</v>
      </c>
      <c r="J52" s="28" t="s">
        <v>11</v>
      </c>
      <c r="K52" s="26" t="s">
        <v>3</v>
      </c>
      <c r="L52" s="26" t="s">
        <v>3</v>
      </c>
      <c r="M52" s="26" t="s">
        <v>3</v>
      </c>
      <c r="N52" s="22" t="s">
        <v>5</v>
      </c>
      <c r="O52" s="22" t="s">
        <v>5</v>
      </c>
      <c r="P52" s="23" t="s">
        <v>7</v>
      </c>
      <c r="Q52" s="28" t="s">
        <v>11</v>
      </c>
      <c r="R52" s="26" t="s">
        <v>3</v>
      </c>
      <c r="S52" s="26" t="s">
        <v>3</v>
      </c>
      <c r="T52" s="26" t="s">
        <v>3</v>
      </c>
      <c r="U52" s="26" t="s">
        <v>3</v>
      </c>
      <c r="V52" s="26" t="s">
        <v>3</v>
      </c>
      <c r="W52" s="27" t="s">
        <v>7</v>
      </c>
      <c r="X52" s="28" t="s">
        <v>11</v>
      </c>
      <c r="Y52" s="26" t="s">
        <v>3</v>
      </c>
      <c r="Z52" s="26" t="s">
        <v>3</v>
      </c>
      <c r="AA52" s="26" t="s">
        <v>3</v>
      </c>
      <c r="AB52" s="26" t="s">
        <v>3</v>
      </c>
      <c r="AC52" s="26" t="s">
        <v>3</v>
      </c>
      <c r="AD52" s="27" t="s">
        <v>7</v>
      </c>
      <c r="AE52" s="28" t="s">
        <v>11</v>
      </c>
      <c r="AF52" s="26" t="s">
        <v>3</v>
      </c>
      <c r="AG52" s="26" t="s">
        <v>3</v>
      </c>
      <c r="AH52" s="8">
        <f t="shared" si="16"/>
        <v>20</v>
      </c>
      <c r="AI52" s="8">
        <f t="shared" si="17"/>
        <v>2</v>
      </c>
      <c r="AJ52" s="29">
        <f t="shared" si="18"/>
        <v>4</v>
      </c>
      <c r="AK52" s="62">
        <v>3</v>
      </c>
      <c r="AL52" s="33">
        <f t="shared" si="19"/>
        <v>25.5</v>
      </c>
      <c r="AM52" s="63">
        <f t="shared" si="20"/>
        <v>176</v>
      </c>
      <c r="AN52" s="63">
        <f t="shared" si="21"/>
        <v>0</v>
      </c>
      <c r="AO52" s="63">
        <f t="shared" si="22"/>
        <v>0</v>
      </c>
      <c r="AP52" s="53">
        <f t="shared" si="23"/>
        <v>25.5</v>
      </c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</row>
    <row r="53" spans="1:55" ht="22" customHeight="1" x14ac:dyDescent="0.35">
      <c r="A53" s="8" t="s">
        <v>133</v>
      </c>
      <c r="B53" s="8" t="s">
        <v>134</v>
      </c>
      <c r="C53" s="8" t="s">
        <v>104</v>
      </c>
      <c r="D53" s="26" t="s">
        <v>3</v>
      </c>
      <c r="E53" s="26" t="s">
        <v>3</v>
      </c>
      <c r="F53" s="26" t="s">
        <v>3</v>
      </c>
      <c r="G53" s="22" t="s">
        <v>5</v>
      </c>
      <c r="H53" s="22" t="s">
        <v>5</v>
      </c>
      <c r="I53" s="23" t="s">
        <v>7</v>
      </c>
      <c r="J53" s="28" t="s">
        <v>11</v>
      </c>
      <c r="K53" s="26" t="s">
        <v>3</v>
      </c>
      <c r="L53" s="26" t="s">
        <v>3</v>
      </c>
      <c r="M53" s="26" t="s">
        <v>3</v>
      </c>
      <c r="N53" s="22" t="s">
        <v>5</v>
      </c>
      <c r="O53" s="26" t="s">
        <v>3</v>
      </c>
      <c r="P53" s="27" t="s">
        <v>7</v>
      </c>
      <c r="Q53" s="28" t="s">
        <v>11</v>
      </c>
      <c r="R53" s="26" t="s">
        <v>3</v>
      </c>
      <c r="S53" s="26" t="s">
        <v>3</v>
      </c>
      <c r="T53" s="22" t="s">
        <v>5</v>
      </c>
      <c r="U53" s="22" t="s">
        <v>5</v>
      </c>
      <c r="V53" s="22" t="s">
        <v>5</v>
      </c>
      <c r="W53" s="27" t="s">
        <v>7</v>
      </c>
      <c r="X53" s="28" t="s">
        <v>11</v>
      </c>
      <c r="Y53" s="26" t="s">
        <v>3</v>
      </c>
      <c r="Z53" s="26" t="s">
        <v>3</v>
      </c>
      <c r="AA53" s="26" t="s">
        <v>3</v>
      </c>
      <c r="AB53" s="26" t="s">
        <v>3</v>
      </c>
      <c r="AC53" s="26" t="s">
        <v>3</v>
      </c>
      <c r="AD53" s="27" t="s">
        <v>7</v>
      </c>
      <c r="AE53" s="28" t="s">
        <v>11</v>
      </c>
      <c r="AF53" s="26" t="s">
        <v>3</v>
      </c>
      <c r="AG53" s="22" t="s">
        <v>5</v>
      </c>
      <c r="AH53" s="8">
        <f t="shared" si="16"/>
        <v>15</v>
      </c>
      <c r="AI53" s="8">
        <f t="shared" si="17"/>
        <v>7</v>
      </c>
      <c r="AJ53" s="29">
        <f t="shared" si="18"/>
        <v>4</v>
      </c>
      <c r="AK53" s="62">
        <v>3</v>
      </c>
      <c r="AL53" s="33">
        <f t="shared" si="19"/>
        <v>20.5</v>
      </c>
      <c r="AM53" s="63">
        <f t="shared" si="20"/>
        <v>176</v>
      </c>
      <c r="AN53" s="63">
        <f t="shared" si="21"/>
        <v>0</v>
      </c>
      <c r="AO53" s="63">
        <f t="shared" si="22"/>
        <v>0</v>
      </c>
      <c r="AP53" s="53">
        <f t="shared" si="23"/>
        <v>20.5</v>
      </c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</row>
    <row r="54" spans="1:55" ht="22" customHeight="1" x14ac:dyDescent="0.35">
      <c r="A54" s="8" t="s">
        <v>135</v>
      </c>
      <c r="B54" s="8" t="s">
        <v>136</v>
      </c>
      <c r="C54" s="8" t="s">
        <v>104</v>
      </c>
      <c r="D54" s="22" t="s">
        <v>5</v>
      </c>
      <c r="E54" s="22" t="s">
        <v>5</v>
      </c>
      <c r="F54" s="26" t="s">
        <v>3</v>
      </c>
      <c r="G54" s="26" t="s">
        <v>3</v>
      </c>
      <c r="H54" s="26" t="s">
        <v>3</v>
      </c>
      <c r="I54" s="27" t="s">
        <v>7</v>
      </c>
      <c r="J54" s="28" t="s">
        <v>11</v>
      </c>
      <c r="K54" s="26" t="s">
        <v>3</v>
      </c>
      <c r="L54" s="26" t="s">
        <v>3</v>
      </c>
      <c r="M54" s="26" t="s">
        <v>3</v>
      </c>
      <c r="N54" s="26" t="s">
        <v>3</v>
      </c>
      <c r="O54" s="26" t="s">
        <v>3</v>
      </c>
      <c r="P54" s="27" t="s">
        <v>7</v>
      </c>
      <c r="Q54" s="28" t="s">
        <v>11</v>
      </c>
      <c r="R54" s="26" t="s">
        <v>3</v>
      </c>
      <c r="S54" s="26" t="s">
        <v>3</v>
      </c>
      <c r="T54" s="22" t="s">
        <v>5</v>
      </c>
      <c r="U54" s="26" t="s">
        <v>3</v>
      </c>
      <c r="V54" s="26" t="s">
        <v>3</v>
      </c>
      <c r="W54" s="27" t="s">
        <v>7</v>
      </c>
      <c r="X54" s="28" t="s">
        <v>11</v>
      </c>
      <c r="Y54" s="26" t="s">
        <v>3</v>
      </c>
      <c r="Z54" s="26" t="s">
        <v>3</v>
      </c>
      <c r="AA54" s="26" t="s">
        <v>3</v>
      </c>
      <c r="AB54" s="26" t="s">
        <v>3</v>
      </c>
      <c r="AC54" s="26" t="s">
        <v>3</v>
      </c>
      <c r="AD54" s="23" t="s">
        <v>7</v>
      </c>
      <c r="AE54" s="28" t="s">
        <v>11</v>
      </c>
      <c r="AF54" s="26" t="s">
        <v>3</v>
      </c>
      <c r="AG54" s="26" t="s">
        <v>3</v>
      </c>
      <c r="AH54" s="8">
        <f t="shared" si="16"/>
        <v>19</v>
      </c>
      <c r="AI54" s="8">
        <f t="shared" si="17"/>
        <v>3</v>
      </c>
      <c r="AJ54" s="29">
        <f t="shared" si="18"/>
        <v>4</v>
      </c>
      <c r="AK54" s="62">
        <v>3</v>
      </c>
      <c r="AL54" s="33">
        <f t="shared" si="19"/>
        <v>24.5</v>
      </c>
      <c r="AM54" s="63">
        <f t="shared" si="20"/>
        <v>176</v>
      </c>
      <c r="AN54" s="63">
        <f t="shared" si="21"/>
        <v>1</v>
      </c>
      <c r="AO54" s="63">
        <f t="shared" si="22"/>
        <v>4</v>
      </c>
      <c r="AP54" s="53">
        <f t="shared" si="23"/>
        <v>24</v>
      </c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</row>
    <row r="55" spans="1:55" ht="22" customHeight="1" x14ac:dyDescent="0.35">
      <c r="A55" s="8" t="s">
        <v>137</v>
      </c>
      <c r="B55" s="8" t="s">
        <v>138</v>
      </c>
      <c r="C55" s="8" t="s">
        <v>104</v>
      </c>
      <c r="D55" s="26" t="s">
        <v>3</v>
      </c>
      <c r="E55" s="26" t="s">
        <v>3</v>
      </c>
      <c r="F55" s="26" t="s">
        <v>3</v>
      </c>
      <c r="G55" s="26" t="s">
        <v>3</v>
      </c>
      <c r="H55" s="26" t="s">
        <v>3</v>
      </c>
      <c r="I55" s="27" t="s">
        <v>7</v>
      </c>
      <c r="J55" s="24" t="s">
        <v>9</v>
      </c>
      <c r="K55" s="22" t="s">
        <v>5</v>
      </c>
      <c r="L55" s="26" t="s">
        <v>3</v>
      </c>
      <c r="M55" s="26" t="s">
        <v>3</v>
      </c>
      <c r="N55" s="26" t="s">
        <v>3</v>
      </c>
      <c r="O55" s="26" t="s">
        <v>3</v>
      </c>
      <c r="P55" s="27" t="s">
        <v>7</v>
      </c>
      <c r="Q55" s="24" t="s">
        <v>9</v>
      </c>
      <c r="R55" s="22" t="s">
        <v>5</v>
      </c>
      <c r="S55" s="22" t="s">
        <v>5</v>
      </c>
      <c r="T55" s="22" t="s">
        <v>5</v>
      </c>
      <c r="U55" s="22" t="s">
        <v>5</v>
      </c>
      <c r="V55" s="26" t="s">
        <v>3</v>
      </c>
      <c r="W55" s="27" t="s">
        <v>7</v>
      </c>
      <c r="X55" s="28" t="s">
        <v>11</v>
      </c>
      <c r="Y55" s="26" t="s">
        <v>3</v>
      </c>
      <c r="Z55" s="26" t="s">
        <v>3</v>
      </c>
      <c r="AA55" s="26" t="s">
        <v>3</v>
      </c>
      <c r="AB55" s="26" t="s">
        <v>3</v>
      </c>
      <c r="AC55" s="26" t="s">
        <v>3</v>
      </c>
      <c r="AD55" s="27" t="s">
        <v>7</v>
      </c>
      <c r="AE55" s="28" t="s">
        <v>11</v>
      </c>
      <c r="AF55" s="26" t="s">
        <v>3</v>
      </c>
      <c r="AG55" s="26" t="s">
        <v>3</v>
      </c>
      <c r="AH55" s="8">
        <f t="shared" si="16"/>
        <v>17</v>
      </c>
      <c r="AI55" s="8">
        <f t="shared" si="17"/>
        <v>5</v>
      </c>
      <c r="AJ55" s="29">
        <f t="shared" si="18"/>
        <v>2</v>
      </c>
      <c r="AK55" s="62">
        <v>4</v>
      </c>
      <c r="AL55" s="33">
        <f t="shared" si="19"/>
        <v>21</v>
      </c>
      <c r="AM55" s="63">
        <f t="shared" si="20"/>
        <v>176</v>
      </c>
      <c r="AN55" s="63">
        <f t="shared" si="21"/>
        <v>0</v>
      </c>
      <c r="AO55" s="63">
        <f t="shared" si="22"/>
        <v>0</v>
      </c>
      <c r="AP55" s="53">
        <f t="shared" si="23"/>
        <v>21</v>
      </c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</row>
    <row r="56" spans="1:55" ht="22" customHeight="1" x14ac:dyDescent="0.35">
      <c r="A56" s="8" t="s">
        <v>139</v>
      </c>
      <c r="B56" s="8" t="s">
        <v>140</v>
      </c>
      <c r="C56" s="8" t="s">
        <v>104</v>
      </c>
      <c r="D56" s="22" t="s">
        <v>5</v>
      </c>
      <c r="E56" s="26" t="s">
        <v>3</v>
      </c>
      <c r="F56" s="26" t="s">
        <v>3</v>
      </c>
      <c r="G56" s="26" t="s">
        <v>3</v>
      </c>
      <c r="H56" s="26" t="s">
        <v>3</v>
      </c>
      <c r="I56" s="27" t="s">
        <v>7</v>
      </c>
      <c r="J56" s="28" t="s">
        <v>11</v>
      </c>
      <c r="K56" s="26" t="s">
        <v>3</v>
      </c>
      <c r="L56" s="26" t="s">
        <v>3</v>
      </c>
      <c r="M56" s="26" t="s">
        <v>3</v>
      </c>
      <c r="N56" s="26" t="s">
        <v>3</v>
      </c>
      <c r="O56" s="26" t="s">
        <v>3</v>
      </c>
      <c r="P56" s="27" t="s">
        <v>7</v>
      </c>
      <c r="Q56" s="28" t="s">
        <v>11</v>
      </c>
      <c r="R56" s="22" t="s">
        <v>5</v>
      </c>
      <c r="S56" s="22" t="s">
        <v>5</v>
      </c>
      <c r="T56" s="26" t="s">
        <v>3</v>
      </c>
      <c r="U56" s="26" t="s">
        <v>3</v>
      </c>
      <c r="V56" s="26" t="s">
        <v>3</v>
      </c>
      <c r="W56" s="27" t="s">
        <v>7</v>
      </c>
      <c r="X56" s="28" t="s">
        <v>11</v>
      </c>
      <c r="Y56" s="26" t="s">
        <v>3</v>
      </c>
      <c r="Z56" s="26" t="s">
        <v>3</v>
      </c>
      <c r="AA56" s="26" t="s">
        <v>3</v>
      </c>
      <c r="AB56" s="22" t="s">
        <v>5</v>
      </c>
      <c r="AC56" s="22" t="s">
        <v>5</v>
      </c>
      <c r="AD56" s="27" t="s">
        <v>7</v>
      </c>
      <c r="AE56" s="28" t="s">
        <v>11</v>
      </c>
      <c r="AF56" s="26" t="s">
        <v>3</v>
      </c>
      <c r="AG56" s="26" t="s">
        <v>3</v>
      </c>
      <c r="AH56" s="8">
        <f t="shared" si="16"/>
        <v>17</v>
      </c>
      <c r="AI56" s="8">
        <f t="shared" si="17"/>
        <v>5</v>
      </c>
      <c r="AJ56" s="29">
        <f t="shared" si="18"/>
        <v>4</v>
      </c>
      <c r="AK56" s="62">
        <v>4</v>
      </c>
      <c r="AL56" s="33">
        <f t="shared" si="19"/>
        <v>23</v>
      </c>
      <c r="AM56" s="63">
        <f t="shared" si="20"/>
        <v>176</v>
      </c>
      <c r="AN56" s="63">
        <f t="shared" si="21"/>
        <v>0</v>
      </c>
      <c r="AO56" s="63">
        <f t="shared" si="22"/>
        <v>0</v>
      </c>
      <c r="AP56" s="53">
        <f t="shared" si="23"/>
        <v>23</v>
      </c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</row>
    <row r="57" spans="1:55" ht="22" customHeight="1" x14ac:dyDescent="0.35">
      <c r="A57" s="8" t="s">
        <v>141</v>
      </c>
      <c r="B57" s="8" t="s">
        <v>142</v>
      </c>
      <c r="C57" s="8" t="s">
        <v>104</v>
      </c>
      <c r="D57" s="26" t="s">
        <v>3</v>
      </c>
      <c r="E57" s="26" t="s">
        <v>3</v>
      </c>
      <c r="F57" s="22" t="s">
        <v>5</v>
      </c>
      <c r="G57" s="22" t="s">
        <v>5</v>
      </c>
      <c r="H57" s="22" t="s">
        <v>5</v>
      </c>
      <c r="I57" s="27" t="s">
        <v>7</v>
      </c>
      <c r="J57" s="28" t="s">
        <v>11</v>
      </c>
      <c r="K57" s="26" t="s">
        <v>3</v>
      </c>
      <c r="L57" s="26" t="s">
        <v>3</v>
      </c>
      <c r="M57" s="26" t="s">
        <v>3</v>
      </c>
      <c r="N57" s="26" t="s">
        <v>3</v>
      </c>
      <c r="O57" s="26" t="s">
        <v>3</v>
      </c>
      <c r="P57" s="23" t="s">
        <v>7</v>
      </c>
      <c r="Q57" s="24" t="s">
        <v>9</v>
      </c>
      <c r="R57" s="26" t="s">
        <v>3</v>
      </c>
      <c r="S57" s="26" t="s">
        <v>3</v>
      </c>
      <c r="T57" s="26" t="s">
        <v>3</v>
      </c>
      <c r="U57" s="26" t="s">
        <v>3</v>
      </c>
      <c r="V57" s="26" t="s">
        <v>3</v>
      </c>
      <c r="W57" s="27" t="s">
        <v>7</v>
      </c>
      <c r="X57" s="28" t="s">
        <v>11</v>
      </c>
      <c r="Y57" s="26" t="s">
        <v>3</v>
      </c>
      <c r="Z57" s="26" t="s">
        <v>3</v>
      </c>
      <c r="AA57" s="26" t="s">
        <v>3</v>
      </c>
      <c r="AB57" s="26" t="s">
        <v>3</v>
      </c>
      <c r="AC57" s="26" t="s">
        <v>3</v>
      </c>
      <c r="AD57" s="23" t="s">
        <v>7</v>
      </c>
      <c r="AE57" s="24" t="s">
        <v>9</v>
      </c>
      <c r="AF57" s="22" t="s">
        <v>5</v>
      </c>
      <c r="AG57" s="22" t="s">
        <v>5</v>
      </c>
      <c r="AH57" s="8">
        <f t="shared" si="16"/>
        <v>17</v>
      </c>
      <c r="AI57" s="8">
        <f t="shared" si="17"/>
        <v>5</v>
      </c>
      <c r="AJ57" s="29">
        <f t="shared" si="18"/>
        <v>2</v>
      </c>
      <c r="AK57" s="62">
        <v>2</v>
      </c>
      <c r="AL57" s="33">
        <f t="shared" si="19"/>
        <v>20</v>
      </c>
      <c r="AM57" s="63">
        <f t="shared" si="20"/>
        <v>176</v>
      </c>
      <c r="AN57" s="63">
        <f t="shared" si="21"/>
        <v>1</v>
      </c>
      <c r="AO57" s="63">
        <f t="shared" si="22"/>
        <v>4</v>
      </c>
      <c r="AP57" s="53">
        <f t="shared" si="23"/>
        <v>19.5</v>
      </c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</row>
    <row r="58" spans="1:55" ht="22" customHeight="1" x14ac:dyDescent="0.35">
      <c r="A58" s="8" t="s">
        <v>143</v>
      </c>
      <c r="B58" s="8" t="s">
        <v>144</v>
      </c>
      <c r="C58" s="8" t="s">
        <v>104</v>
      </c>
      <c r="D58" s="26" t="s">
        <v>3</v>
      </c>
      <c r="E58" s="26" t="s">
        <v>3</v>
      </c>
      <c r="F58" s="26" t="s">
        <v>3</v>
      </c>
      <c r="G58" s="26" t="s">
        <v>3</v>
      </c>
      <c r="H58" s="26" t="s">
        <v>3</v>
      </c>
      <c r="I58" s="27" t="s">
        <v>7</v>
      </c>
      <c r="J58" s="28" t="s">
        <v>11</v>
      </c>
      <c r="K58" s="26" t="s">
        <v>3</v>
      </c>
      <c r="L58" s="26" t="s">
        <v>3</v>
      </c>
      <c r="M58" s="26" t="s">
        <v>3</v>
      </c>
      <c r="N58" s="26" t="s">
        <v>3</v>
      </c>
      <c r="O58" s="26" t="s">
        <v>3</v>
      </c>
      <c r="P58" s="27" t="s">
        <v>7</v>
      </c>
      <c r="Q58" s="28" t="s">
        <v>11</v>
      </c>
      <c r="R58" s="26" t="s">
        <v>3</v>
      </c>
      <c r="S58" s="26" t="s">
        <v>3</v>
      </c>
      <c r="T58" s="26" t="s">
        <v>3</v>
      </c>
      <c r="U58" s="22" t="s">
        <v>5</v>
      </c>
      <c r="V58" s="22" t="s">
        <v>5</v>
      </c>
      <c r="W58" s="23" t="s">
        <v>7</v>
      </c>
      <c r="X58" s="28" t="s">
        <v>11</v>
      </c>
      <c r="Y58" s="26" t="s">
        <v>3</v>
      </c>
      <c r="Z58" s="26" t="s">
        <v>3</v>
      </c>
      <c r="AA58" s="26" t="s">
        <v>3</v>
      </c>
      <c r="AB58" s="26" t="s">
        <v>3</v>
      </c>
      <c r="AC58" s="26" t="s">
        <v>3</v>
      </c>
      <c r="AD58" s="27" t="s">
        <v>7</v>
      </c>
      <c r="AE58" s="28" t="s">
        <v>11</v>
      </c>
      <c r="AF58" s="26" t="s">
        <v>3</v>
      </c>
      <c r="AG58" s="22" t="s">
        <v>5</v>
      </c>
      <c r="AH58" s="8">
        <f t="shared" si="16"/>
        <v>19</v>
      </c>
      <c r="AI58" s="8">
        <f t="shared" si="17"/>
        <v>3</v>
      </c>
      <c r="AJ58" s="29">
        <f t="shared" si="18"/>
        <v>4</v>
      </c>
      <c r="AK58" s="62">
        <v>3</v>
      </c>
      <c r="AL58" s="33">
        <f t="shared" si="19"/>
        <v>24.5</v>
      </c>
      <c r="AM58" s="63">
        <f t="shared" si="20"/>
        <v>176</v>
      </c>
      <c r="AN58" s="63">
        <f t="shared" si="21"/>
        <v>0</v>
      </c>
      <c r="AO58" s="63">
        <f t="shared" si="22"/>
        <v>0</v>
      </c>
      <c r="AP58" s="53">
        <f t="shared" si="23"/>
        <v>24.5</v>
      </c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</row>
    <row r="59" spans="1:55" ht="22" customHeight="1" x14ac:dyDescent="0.35">
      <c r="A59" s="8" t="s">
        <v>145</v>
      </c>
      <c r="B59" s="8" t="s">
        <v>146</v>
      </c>
      <c r="C59" s="8" t="s">
        <v>104</v>
      </c>
      <c r="D59" s="26" t="s">
        <v>3</v>
      </c>
      <c r="E59" s="26" t="s">
        <v>3</v>
      </c>
      <c r="F59" s="26" t="s">
        <v>3</v>
      </c>
      <c r="G59" s="26" t="s">
        <v>3</v>
      </c>
      <c r="H59" s="26" t="s">
        <v>3</v>
      </c>
      <c r="I59" s="27" t="s">
        <v>7</v>
      </c>
      <c r="J59" s="28" t="s">
        <v>11</v>
      </c>
      <c r="K59" s="26" t="s">
        <v>3</v>
      </c>
      <c r="L59" s="26" t="s">
        <v>3</v>
      </c>
      <c r="M59" s="26" t="s">
        <v>3</v>
      </c>
      <c r="N59" s="26" t="s">
        <v>3</v>
      </c>
      <c r="O59" s="26" t="s">
        <v>3</v>
      </c>
      <c r="P59" s="27" t="s">
        <v>7</v>
      </c>
      <c r="Q59" s="28" t="s">
        <v>11</v>
      </c>
      <c r="R59" s="26" t="s">
        <v>3</v>
      </c>
      <c r="S59" s="26" t="s">
        <v>3</v>
      </c>
      <c r="T59" s="26" t="s">
        <v>3</v>
      </c>
      <c r="U59" s="26" t="s">
        <v>3</v>
      </c>
      <c r="V59" s="26" t="s">
        <v>3</v>
      </c>
      <c r="W59" s="27" t="s">
        <v>7</v>
      </c>
      <c r="X59" s="28" t="s">
        <v>11</v>
      </c>
      <c r="Y59" s="26" t="s">
        <v>3</v>
      </c>
      <c r="Z59" s="26" t="s">
        <v>3</v>
      </c>
      <c r="AA59" s="26" t="s">
        <v>3</v>
      </c>
      <c r="AB59" s="26" t="s">
        <v>3</v>
      </c>
      <c r="AC59" s="26" t="s">
        <v>3</v>
      </c>
      <c r="AD59" s="27" t="s">
        <v>7</v>
      </c>
      <c r="AE59" s="28" t="s">
        <v>11</v>
      </c>
      <c r="AF59" s="26" t="s">
        <v>3</v>
      </c>
      <c r="AG59" s="26" t="s">
        <v>3</v>
      </c>
      <c r="AH59" s="8">
        <f t="shared" si="16"/>
        <v>22</v>
      </c>
      <c r="AI59" s="8">
        <f t="shared" si="17"/>
        <v>0</v>
      </c>
      <c r="AJ59" s="29">
        <f t="shared" si="18"/>
        <v>4</v>
      </c>
      <c r="AK59" s="62">
        <v>4</v>
      </c>
      <c r="AL59" s="33">
        <f t="shared" si="19"/>
        <v>28</v>
      </c>
      <c r="AM59" s="63">
        <f t="shared" si="20"/>
        <v>176</v>
      </c>
      <c r="AN59" s="63">
        <f t="shared" si="21"/>
        <v>0</v>
      </c>
      <c r="AO59" s="63">
        <f t="shared" si="22"/>
        <v>0</v>
      </c>
      <c r="AP59" s="53">
        <f t="shared" si="23"/>
        <v>28</v>
      </c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</row>
    <row r="60" spans="1:55" ht="22" customHeight="1" x14ac:dyDescent="0.35">
      <c r="A60" s="8" t="s">
        <v>147</v>
      </c>
      <c r="B60" s="8" t="s">
        <v>148</v>
      </c>
      <c r="C60" s="8" t="s">
        <v>104</v>
      </c>
      <c r="D60" s="26" t="s">
        <v>3</v>
      </c>
      <c r="E60" s="26" t="s">
        <v>3</v>
      </c>
      <c r="F60" s="26" t="s">
        <v>3</v>
      </c>
      <c r="G60" s="26" t="s">
        <v>3</v>
      </c>
      <c r="H60" s="26" t="s">
        <v>3</v>
      </c>
      <c r="I60" s="27" t="s">
        <v>7</v>
      </c>
      <c r="J60" s="28" t="s">
        <v>11</v>
      </c>
      <c r="K60" s="22" t="s">
        <v>5</v>
      </c>
      <c r="L60" s="22" t="s">
        <v>5</v>
      </c>
      <c r="M60" s="22" t="s">
        <v>5</v>
      </c>
      <c r="N60" s="22" t="s">
        <v>5</v>
      </c>
      <c r="O60" s="22" t="s">
        <v>5</v>
      </c>
      <c r="P60" s="23" t="s">
        <v>7</v>
      </c>
      <c r="Q60" s="28" t="s">
        <v>11</v>
      </c>
      <c r="R60" s="26" t="s">
        <v>3</v>
      </c>
      <c r="S60" s="26" t="s">
        <v>3</v>
      </c>
      <c r="T60" s="26" t="s">
        <v>3</v>
      </c>
      <c r="U60" s="26" t="s">
        <v>3</v>
      </c>
      <c r="V60" s="26" t="s">
        <v>3</v>
      </c>
      <c r="W60" s="27" t="s">
        <v>7</v>
      </c>
      <c r="X60" s="28" t="s">
        <v>11</v>
      </c>
      <c r="Y60" s="26" t="s">
        <v>3</v>
      </c>
      <c r="Z60" s="22" t="s">
        <v>5</v>
      </c>
      <c r="AA60" s="26" t="s">
        <v>3</v>
      </c>
      <c r="AB60" s="26" t="s">
        <v>3</v>
      </c>
      <c r="AC60" s="26" t="s">
        <v>3</v>
      </c>
      <c r="AD60" s="27" t="s">
        <v>7</v>
      </c>
      <c r="AE60" s="24" t="s">
        <v>9</v>
      </c>
      <c r="AF60" s="26" t="s">
        <v>3</v>
      </c>
      <c r="AG60" s="26" t="s">
        <v>3</v>
      </c>
      <c r="AH60" s="8">
        <f t="shared" si="16"/>
        <v>16</v>
      </c>
      <c r="AI60" s="8">
        <f t="shared" si="17"/>
        <v>6</v>
      </c>
      <c r="AJ60" s="29">
        <f t="shared" si="18"/>
        <v>3</v>
      </c>
      <c r="AK60" s="62">
        <v>3</v>
      </c>
      <c r="AL60" s="33">
        <f t="shared" si="19"/>
        <v>20.5</v>
      </c>
      <c r="AM60" s="63">
        <f t="shared" si="20"/>
        <v>176</v>
      </c>
      <c r="AN60" s="63">
        <f t="shared" si="21"/>
        <v>0</v>
      </c>
      <c r="AO60" s="63">
        <f t="shared" si="22"/>
        <v>0</v>
      </c>
      <c r="AP60" s="53">
        <f t="shared" si="23"/>
        <v>20.5</v>
      </c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</row>
    <row r="61" spans="1:55" ht="22" customHeight="1" x14ac:dyDescent="0.35">
      <c r="A61" s="8" t="s">
        <v>149</v>
      </c>
      <c r="B61" s="8" t="s">
        <v>150</v>
      </c>
      <c r="C61" s="8" t="s">
        <v>104</v>
      </c>
      <c r="D61" s="26" t="s">
        <v>3</v>
      </c>
      <c r="E61" s="26" t="s">
        <v>3</v>
      </c>
      <c r="F61" s="26" t="s">
        <v>3</v>
      </c>
      <c r="G61" s="26" t="s">
        <v>3</v>
      </c>
      <c r="H61" s="26" t="s">
        <v>3</v>
      </c>
      <c r="I61" s="27" t="s">
        <v>7</v>
      </c>
      <c r="J61" s="28" t="s">
        <v>11</v>
      </c>
      <c r="K61" s="22" t="s">
        <v>5</v>
      </c>
      <c r="L61" s="26" t="s">
        <v>3</v>
      </c>
      <c r="M61" s="26" t="s">
        <v>3</v>
      </c>
      <c r="N61" s="26" t="s">
        <v>3</v>
      </c>
      <c r="O61" s="26" t="s">
        <v>3</v>
      </c>
      <c r="P61" s="27" t="s">
        <v>7</v>
      </c>
      <c r="Q61" s="28" t="s">
        <v>11</v>
      </c>
      <c r="R61" s="26" t="s">
        <v>3</v>
      </c>
      <c r="S61" s="26" t="s">
        <v>3</v>
      </c>
      <c r="T61" s="26" t="s">
        <v>3</v>
      </c>
      <c r="U61" s="26" t="s">
        <v>3</v>
      </c>
      <c r="V61" s="26" t="s">
        <v>3</v>
      </c>
      <c r="W61" s="27" t="s">
        <v>7</v>
      </c>
      <c r="X61" s="28" t="s">
        <v>11</v>
      </c>
      <c r="Y61" s="26" t="s">
        <v>3</v>
      </c>
      <c r="Z61" s="26" t="s">
        <v>3</v>
      </c>
      <c r="AA61" s="26" t="s">
        <v>3</v>
      </c>
      <c r="AB61" s="26" t="s">
        <v>3</v>
      </c>
      <c r="AC61" s="26" t="s">
        <v>3</v>
      </c>
      <c r="AD61" s="27" t="s">
        <v>7</v>
      </c>
      <c r="AE61" s="24" t="s">
        <v>9</v>
      </c>
      <c r="AF61" s="22" t="s">
        <v>5</v>
      </c>
      <c r="AG61" s="22" t="s">
        <v>5</v>
      </c>
      <c r="AH61" s="8">
        <f t="shared" si="16"/>
        <v>19</v>
      </c>
      <c r="AI61" s="8">
        <f t="shared" si="17"/>
        <v>3</v>
      </c>
      <c r="AJ61" s="29">
        <f t="shared" si="18"/>
        <v>3</v>
      </c>
      <c r="AK61" s="62">
        <v>4</v>
      </c>
      <c r="AL61" s="33">
        <f t="shared" si="19"/>
        <v>24</v>
      </c>
      <c r="AM61" s="63">
        <f t="shared" si="20"/>
        <v>176</v>
      </c>
      <c r="AN61" s="63">
        <f t="shared" si="21"/>
        <v>0</v>
      </c>
      <c r="AO61" s="63">
        <f t="shared" si="22"/>
        <v>0</v>
      </c>
      <c r="AP61" s="53">
        <f t="shared" si="23"/>
        <v>24</v>
      </c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</row>
    <row r="62" spans="1:55" ht="22" customHeight="1" x14ac:dyDescent="0.35">
      <c r="A62" s="8" t="s">
        <v>151</v>
      </c>
      <c r="B62" s="8" t="s">
        <v>152</v>
      </c>
      <c r="C62" s="8" t="s">
        <v>104</v>
      </c>
      <c r="D62" s="26" t="s">
        <v>3</v>
      </c>
      <c r="E62" s="26" t="s">
        <v>3</v>
      </c>
      <c r="F62" s="26" t="s">
        <v>3</v>
      </c>
      <c r="G62" s="26" t="s">
        <v>3</v>
      </c>
      <c r="H62" s="26" t="s">
        <v>3</v>
      </c>
      <c r="I62" s="27" t="s">
        <v>7</v>
      </c>
      <c r="J62" s="28" t="s">
        <v>11</v>
      </c>
      <c r="K62" s="26" t="s">
        <v>3</v>
      </c>
      <c r="L62" s="26" t="s">
        <v>3</v>
      </c>
      <c r="M62" s="26" t="s">
        <v>3</v>
      </c>
      <c r="N62" s="26" t="s">
        <v>3</v>
      </c>
      <c r="O62" s="26" t="s">
        <v>3</v>
      </c>
      <c r="P62" s="27" t="s">
        <v>7</v>
      </c>
      <c r="Q62" s="28" t="s">
        <v>11</v>
      </c>
      <c r="R62" s="26" t="s">
        <v>3</v>
      </c>
      <c r="S62" s="26" t="s">
        <v>3</v>
      </c>
      <c r="T62" s="26" t="s">
        <v>3</v>
      </c>
      <c r="U62" s="26" t="s">
        <v>3</v>
      </c>
      <c r="V62" s="26" t="s">
        <v>3</v>
      </c>
      <c r="W62" s="23" t="s">
        <v>7</v>
      </c>
      <c r="X62" s="24" t="s">
        <v>9</v>
      </c>
      <c r="Y62" s="26" t="s">
        <v>3</v>
      </c>
      <c r="Z62" s="26" t="s">
        <v>3</v>
      </c>
      <c r="AA62" s="26" t="s">
        <v>3</v>
      </c>
      <c r="AB62" s="26" t="s">
        <v>3</v>
      </c>
      <c r="AC62" s="26" t="s">
        <v>3</v>
      </c>
      <c r="AD62" s="27" t="s">
        <v>7</v>
      </c>
      <c r="AE62" s="28" t="s">
        <v>11</v>
      </c>
      <c r="AF62" s="26" t="s">
        <v>3</v>
      </c>
      <c r="AG62" s="26" t="s">
        <v>3</v>
      </c>
      <c r="AH62" s="8">
        <f t="shared" si="16"/>
        <v>22</v>
      </c>
      <c r="AI62" s="8">
        <f t="shared" si="17"/>
        <v>0</v>
      </c>
      <c r="AJ62" s="29">
        <f t="shared" si="18"/>
        <v>3</v>
      </c>
      <c r="AK62" s="62">
        <v>3</v>
      </c>
      <c r="AL62" s="33">
        <f t="shared" si="19"/>
        <v>26.5</v>
      </c>
      <c r="AM62" s="63">
        <f t="shared" si="20"/>
        <v>176</v>
      </c>
      <c r="AN62" s="63">
        <f t="shared" si="21"/>
        <v>1</v>
      </c>
      <c r="AO62" s="63">
        <f t="shared" si="22"/>
        <v>4</v>
      </c>
      <c r="AP62" s="53">
        <f t="shared" si="23"/>
        <v>26</v>
      </c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</row>
    <row r="63" spans="1:55" ht="22" customHeight="1" x14ac:dyDescent="0.35">
      <c r="A63" s="8" t="s">
        <v>153</v>
      </c>
      <c r="B63" s="8" t="s">
        <v>154</v>
      </c>
      <c r="C63" s="8" t="s">
        <v>104</v>
      </c>
      <c r="D63" s="22" t="s">
        <v>5</v>
      </c>
      <c r="E63" s="22" t="s">
        <v>5</v>
      </c>
      <c r="F63" s="22" t="s">
        <v>5</v>
      </c>
      <c r="G63" s="26" t="s">
        <v>3</v>
      </c>
      <c r="H63" s="26" t="s">
        <v>3</v>
      </c>
      <c r="I63" s="27" t="s">
        <v>7</v>
      </c>
      <c r="J63" s="28" t="s">
        <v>11</v>
      </c>
      <c r="K63" s="26" t="s">
        <v>3</v>
      </c>
      <c r="L63" s="26" t="s">
        <v>3</v>
      </c>
      <c r="M63" s="26" t="s">
        <v>3</v>
      </c>
      <c r="N63" s="22" t="s">
        <v>5</v>
      </c>
      <c r="O63" s="26" t="s">
        <v>3</v>
      </c>
      <c r="P63" s="27" t="s">
        <v>7</v>
      </c>
      <c r="Q63" s="28" t="s">
        <v>11</v>
      </c>
      <c r="R63" s="26" t="s">
        <v>3</v>
      </c>
      <c r="S63" s="26" t="s">
        <v>3</v>
      </c>
      <c r="T63" s="26" t="s">
        <v>3</v>
      </c>
      <c r="U63" s="26" t="s">
        <v>3</v>
      </c>
      <c r="V63" s="26" t="s">
        <v>3</v>
      </c>
      <c r="W63" s="27" t="s">
        <v>7</v>
      </c>
      <c r="X63" s="28" t="s">
        <v>11</v>
      </c>
      <c r="Y63" s="26" t="s">
        <v>3</v>
      </c>
      <c r="Z63" s="26" t="s">
        <v>3</v>
      </c>
      <c r="AA63" s="26" t="s">
        <v>3</v>
      </c>
      <c r="AB63" s="26" t="s">
        <v>3</v>
      </c>
      <c r="AC63" s="26" t="s">
        <v>3</v>
      </c>
      <c r="AD63" s="27" t="s">
        <v>7</v>
      </c>
      <c r="AE63" s="24" t="s">
        <v>9</v>
      </c>
      <c r="AF63" s="22" t="s">
        <v>5</v>
      </c>
      <c r="AG63" s="22" t="s">
        <v>5</v>
      </c>
      <c r="AH63" s="8">
        <f t="shared" si="16"/>
        <v>16</v>
      </c>
      <c r="AI63" s="8">
        <f t="shared" si="17"/>
        <v>6</v>
      </c>
      <c r="AJ63" s="29">
        <f t="shared" si="18"/>
        <v>3</v>
      </c>
      <c r="AK63" s="62">
        <v>4</v>
      </c>
      <c r="AL63" s="33">
        <f t="shared" si="19"/>
        <v>21</v>
      </c>
      <c r="AM63" s="63">
        <f t="shared" si="20"/>
        <v>176</v>
      </c>
      <c r="AN63" s="63">
        <f t="shared" si="21"/>
        <v>0</v>
      </c>
      <c r="AO63" s="63">
        <f t="shared" si="22"/>
        <v>0</v>
      </c>
      <c r="AP63" s="53">
        <f t="shared" si="23"/>
        <v>21</v>
      </c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</row>
    <row r="64" spans="1:55" ht="22" customHeight="1" x14ac:dyDescent="0.35">
      <c r="A64" s="8" t="s">
        <v>155</v>
      </c>
      <c r="B64" s="8" t="s">
        <v>156</v>
      </c>
      <c r="C64" s="8" t="s">
        <v>104</v>
      </c>
      <c r="D64" s="26" t="s">
        <v>3</v>
      </c>
      <c r="E64" s="26" t="s">
        <v>3</v>
      </c>
      <c r="F64" s="26" t="s">
        <v>3</v>
      </c>
      <c r="G64" s="26" t="s">
        <v>3</v>
      </c>
      <c r="H64" s="22" t="s">
        <v>5</v>
      </c>
      <c r="I64" s="23" t="s">
        <v>7</v>
      </c>
      <c r="J64" s="24" t="s">
        <v>9</v>
      </c>
      <c r="K64" s="22" t="s">
        <v>5</v>
      </c>
      <c r="L64" s="22" t="s">
        <v>5</v>
      </c>
      <c r="M64" s="26" t="s">
        <v>3</v>
      </c>
      <c r="N64" s="26" t="s">
        <v>3</v>
      </c>
      <c r="O64" s="26" t="s">
        <v>3</v>
      </c>
      <c r="P64" s="27" t="s">
        <v>7</v>
      </c>
      <c r="Q64" s="28" t="s">
        <v>11</v>
      </c>
      <c r="R64" s="26" t="s">
        <v>3</v>
      </c>
      <c r="S64" s="26" t="s">
        <v>3</v>
      </c>
      <c r="T64" s="26" t="s">
        <v>3</v>
      </c>
      <c r="U64" s="26" t="s">
        <v>3</v>
      </c>
      <c r="V64" s="26" t="s">
        <v>3</v>
      </c>
      <c r="W64" s="27" t="s">
        <v>7</v>
      </c>
      <c r="X64" s="28" t="s">
        <v>11</v>
      </c>
      <c r="Y64" s="26" t="s">
        <v>3</v>
      </c>
      <c r="Z64" s="26" t="s">
        <v>3</v>
      </c>
      <c r="AA64" s="26" t="s">
        <v>3</v>
      </c>
      <c r="AB64" s="26" t="s">
        <v>3</v>
      </c>
      <c r="AC64" s="26" t="s">
        <v>3</v>
      </c>
      <c r="AD64" s="27" t="s">
        <v>7</v>
      </c>
      <c r="AE64" s="28" t="s">
        <v>11</v>
      </c>
      <c r="AF64" s="26" t="s">
        <v>3</v>
      </c>
      <c r="AG64" s="26" t="s">
        <v>3</v>
      </c>
      <c r="AH64" s="8">
        <f t="shared" si="16"/>
        <v>19</v>
      </c>
      <c r="AI64" s="8">
        <f t="shared" si="17"/>
        <v>3</v>
      </c>
      <c r="AJ64" s="29">
        <f t="shared" si="18"/>
        <v>3</v>
      </c>
      <c r="AK64" s="62">
        <v>3</v>
      </c>
      <c r="AL64" s="33">
        <f t="shared" si="19"/>
        <v>23.5</v>
      </c>
      <c r="AM64" s="63">
        <f t="shared" si="20"/>
        <v>176</v>
      </c>
      <c r="AN64" s="63">
        <f t="shared" si="21"/>
        <v>0</v>
      </c>
      <c r="AO64" s="63">
        <f t="shared" si="22"/>
        <v>0</v>
      </c>
      <c r="AP64" s="53">
        <f t="shared" si="23"/>
        <v>23.5</v>
      </c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</row>
    <row r="65" spans="1:55" ht="22" customHeight="1" x14ac:dyDescent="0.35">
      <c r="A65" s="8" t="s">
        <v>157</v>
      </c>
      <c r="B65" s="8" t="s">
        <v>158</v>
      </c>
      <c r="C65" s="8" t="s">
        <v>104</v>
      </c>
      <c r="D65" s="26" t="s">
        <v>3</v>
      </c>
      <c r="E65" s="26" t="s">
        <v>3</v>
      </c>
      <c r="F65" s="26" t="s">
        <v>3</v>
      </c>
      <c r="G65" s="26" t="s">
        <v>3</v>
      </c>
      <c r="H65" s="26" t="s">
        <v>3</v>
      </c>
      <c r="I65" s="27" t="s">
        <v>7</v>
      </c>
      <c r="J65" s="28" t="s">
        <v>11</v>
      </c>
      <c r="K65" s="26" t="s">
        <v>3</v>
      </c>
      <c r="L65" s="26" t="s">
        <v>3</v>
      </c>
      <c r="M65" s="26" t="s">
        <v>3</v>
      </c>
      <c r="N65" s="26" t="s">
        <v>3</v>
      </c>
      <c r="O65" s="26" t="s">
        <v>3</v>
      </c>
      <c r="P65" s="27" t="s">
        <v>7</v>
      </c>
      <c r="Q65" s="28" t="s">
        <v>11</v>
      </c>
      <c r="R65" s="26" t="s">
        <v>3</v>
      </c>
      <c r="S65" s="22" t="s">
        <v>5</v>
      </c>
      <c r="T65" s="22" t="s">
        <v>5</v>
      </c>
      <c r="U65" s="22" t="s">
        <v>5</v>
      </c>
      <c r="V65" s="22" t="s">
        <v>5</v>
      </c>
      <c r="W65" s="27" t="s">
        <v>7</v>
      </c>
      <c r="X65" s="28" t="s">
        <v>11</v>
      </c>
      <c r="Y65" s="26" t="s">
        <v>3</v>
      </c>
      <c r="Z65" s="26" t="s">
        <v>3</v>
      </c>
      <c r="AA65" s="26" t="s">
        <v>3</v>
      </c>
      <c r="AB65" s="26" t="s">
        <v>3</v>
      </c>
      <c r="AC65" s="26" t="s">
        <v>3</v>
      </c>
      <c r="AD65" s="27" t="s">
        <v>7</v>
      </c>
      <c r="AE65" s="28" t="s">
        <v>11</v>
      </c>
      <c r="AF65" s="26" t="s">
        <v>3</v>
      </c>
      <c r="AG65" s="26" t="s">
        <v>3</v>
      </c>
      <c r="AH65" s="8">
        <f t="shared" si="16"/>
        <v>18</v>
      </c>
      <c r="AI65" s="8">
        <f t="shared" si="17"/>
        <v>4</v>
      </c>
      <c r="AJ65" s="29">
        <f t="shared" si="18"/>
        <v>4</v>
      </c>
      <c r="AK65" s="62">
        <v>4</v>
      </c>
      <c r="AL65" s="33">
        <f t="shared" si="19"/>
        <v>24</v>
      </c>
      <c r="AM65" s="63">
        <f t="shared" si="20"/>
        <v>176</v>
      </c>
      <c r="AN65" s="63">
        <f t="shared" si="21"/>
        <v>0</v>
      </c>
      <c r="AO65" s="63">
        <f t="shared" si="22"/>
        <v>0</v>
      </c>
      <c r="AP65" s="53">
        <f t="shared" si="23"/>
        <v>24</v>
      </c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</row>
    <row r="66" spans="1:55" ht="22" customHeight="1" x14ac:dyDescent="0.35">
      <c r="A66" s="8" t="s">
        <v>159</v>
      </c>
      <c r="B66" s="8" t="s">
        <v>160</v>
      </c>
      <c r="C66" s="8" t="s">
        <v>104</v>
      </c>
      <c r="D66" s="26" t="s">
        <v>3</v>
      </c>
      <c r="E66" s="26" t="s">
        <v>3</v>
      </c>
      <c r="F66" s="26" t="s">
        <v>3</v>
      </c>
      <c r="G66" s="26" t="s">
        <v>3</v>
      </c>
      <c r="H66" s="26" t="s">
        <v>3</v>
      </c>
      <c r="I66" s="27" t="s">
        <v>7</v>
      </c>
      <c r="J66" s="28" t="s">
        <v>11</v>
      </c>
      <c r="K66" s="26" t="s">
        <v>3</v>
      </c>
      <c r="L66" s="26" t="s">
        <v>3</v>
      </c>
      <c r="M66" s="26" t="s">
        <v>3</v>
      </c>
      <c r="N66" s="26" t="s">
        <v>3</v>
      </c>
      <c r="O66" s="26" t="s">
        <v>3</v>
      </c>
      <c r="P66" s="27" t="s">
        <v>7</v>
      </c>
      <c r="Q66" s="28" t="s">
        <v>11</v>
      </c>
      <c r="R66" s="26" t="s">
        <v>3</v>
      </c>
      <c r="S66" s="26" t="s">
        <v>3</v>
      </c>
      <c r="T66" s="26" t="s">
        <v>3</v>
      </c>
      <c r="U66" s="26" t="s">
        <v>3</v>
      </c>
      <c r="V66" s="26" t="s">
        <v>3</v>
      </c>
      <c r="W66" s="27" t="s">
        <v>7</v>
      </c>
      <c r="X66" s="28" t="s">
        <v>11</v>
      </c>
      <c r="Y66" s="22" t="s">
        <v>5</v>
      </c>
      <c r="Z66" s="22" t="s">
        <v>5</v>
      </c>
      <c r="AA66" s="26" t="s">
        <v>3</v>
      </c>
      <c r="AB66" s="26" t="s">
        <v>3</v>
      </c>
      <c r="AC66" s="26" t="s">
        <v>3</v>
      </c>
      <c r="AD66" s="27" t="s">
        <v>7</v>
      </c>
      <c r="AE66" s="24" t="s">
        <v>9</v>
      </c>
      <c r="AF66" s="22" t="s">
        <v>5</v>
      </c>
      <c r="AG66" s="22" t="s">
        <v>5</v>
      </c>
      <c r="AH66" s="8">
        <f t="shared" si="16"/>
        <v>18</v>
      </c>
      <c r="AI66" s="8">
        <f t="shared" si="17"/>
        <v>4</v>
      </c>
      <c r="AJ66" s="29">
        <f t="shared" si="18"/>
        <v>3</v>
      </c>
      <c r="AK66" s="62">
        <v>4</v>
      </c>
      <c r="AL66" s="33">
        <f t="shared" si="19"/>
        <v>23</v>
      </c>
      <c r="AM66" s="63">
        <f t="shared" si="20"/>
        <v>176</v>
      </c>
      <c r="AN66" s="63">
        <f t="shared" si="21"/>
        <v>0</v>
      </c>
      <c r="AO66" s="63">
        <f t="shared" si="22"/>
        <v>0</v>
      </c>
      <c r="AP66" s="53">
        <f t="shared" si="23"/>
        <v>23</v>
      </c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</row>
    <row r="67" spans="1:55" ht="22" customHeight="1" x14ac:dyDescent="0.35">
      <c r="A67" s="8" t="s">
        <v>161</v>
      </c>
      <c r="B67" s="8" t="s">
        <v>162</v>
      </c>
      <c r="C67" s="8" t="s">
        <v>104</v>
      </c>
      <c r="D67" s="22" t="s">
        <v>5</v>
      </c>
      <c r="E67" s="26" t="s">
        <v>3</v>
      </c>
      <c r="F67" s="26" t="s">
        <v>3</v>
      </c>
      <c r="G67" s="26" t="s">
        <v>3</v>
      </c>
      <c r="H67" s="26" t="s">
        <v>3</v>
      </c>
      <c r="I67" s="27" t="s">
        <v>7</v>
      </c>
      <c r="J67" s="28" t="s">
        <v>11</v>
      </c>
      <c r="K67" s="26" t="s">
        <v>3</v>
      </c>
      <c r="L67" s="26" t="s">
        <v>3</v>
      </c>
      <c r="M67" s="26" t="s">
        <v>3</v>
      </c>
      <c r="N67" s="22" t="s">
        <v>5</v>
      </c>
      <c r="O67" s="22" t="s">
        <v>5</v>
      </c>
      <c r="P67" s="27" t="s">
        <v>7</v>
      </c>
      <c r="Q67" s="28" t="s">
        <v>11</v>
      </c>
      <c r="R67" s="26" t="s">
        <v>3</v>
      </c>
      <c r="S67" s="26" t="s">
        <v>3</v>
      </c>
      <c r="T67" s="26" t="s">
        <v>3</v>
      </c>
      <c r="U67" s="26" t="s">
        <v>3</v>
      </c>
      <c r="V67" s="26" t="s">
        <v>3</v>
      </c>
      <c r="W67" s="23" t="s">
        <v>7</v>
      </c>
      <c r="X67" s="24" t="s">
        <v>9</v>
      </c>
      <c r="Y67" s="26" t="s">
        <v>3</v>
      </c>
      <c r="Z67" s="26" t="s">
        <v>3</v>
      </c>
      <c r="AA67" s="26" t="s">
        <v>3</v>
      </c>
      <c r="AB67" s="26" t="s">
        <v>3</v>
      </c>
      <c r="AC67" s="26" t="s">
        <v>3</v>
      </c>
      <c r="AD67" s="27" t="s">
        <v>7</v>
      </c>
      <c r="AE67" s="28" t="s">
        <v>11</v>
      </c>
      <c r="AF67" s="22" t="s">
        <v>5</v>
      </c>
      <c r="AG67" s="22" t="s">
        <v>5</v>
      </c>
      <c r="AH67" s="8">
        <f t="shared" si="16"/>
        <v>17</v>
      </c>
      <c r="AI67" s="8">
        <f t="shared" si="17"/>
        <v>5</v>
      </c>
      <c r="AJ67" s="29">
        <f t="shared" si="18"/>
        <v>3</v>
      </c>
      <c r="AK67" s="62">
        <v>3</v>
      </c>
      <c r="AL67" s="33">
        <f t="shared" si="19"/>
        <v>21.5</v>
      </c>
      <c r="AM67" s="63">
        <f t="shared" si="20"/>
        <v>176</v>
      </c>
      <c r="AN67" s="63">
        <f t="shared" si="21"/>
        <v>0</v>
      </c>
      <c r="AO67" s="63">
        <f t="shared" si="22"/>
        <v>0</v>
      </c>
      <c r="AP67" s="53">
        <f t="shared" si="23"/>
        <v>21.5</v>
      </c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</row>
    <row r="68" spans="1:55" ht="22" customHeight="1" x14ac:dyDescent="0.35">
      <c r="A68" s="8" t="s">
        <v>163</v>
      </c>
      <c r="B68" s="8" t="s">
        <v>164</v>
      </c>
      <c r="C68" s="8" t="s">
        <v>104</v>
      </c>
      <c r="D68" s="26" t="s">
        <v>3</v>
      </c>
      <c r="E68" s="22" t="s">
        <v>5</v>
      </c>
      <c r="F68" s="22" t="s">
        <v>5</v>
      </c>
      <c r="G68" s="26" t="s">
        <v>3</v>
      </c>
      <c r="H68" s="26" t="s">
        <v>3</v>
      </c>
      <c r="I68" s="27" t="s">
        <v>7</v>
      </c>
      <c r="J68" s="28" t="s">
        <v>11</v>
      </c>
      <c r="K68" s="26" t="s">
        <v>3</v>
      </c>
      <c r="L68" s="26" t="s">
        <v>3</v>
      </c>
      <c r="M68" s="26" t="s">
        <v>3</v>
      </c>
      <c r="N68" s="26" t="s">
        <v>3</v>
      </c>
      <c r="O68" s="26" t="s">
        <v>3</v>
      </c>
      <c r="P68" s="27" t="s">
        <v>7</v>
      </c>
      <c r="Q68" s="28" t="s">
        <v>11</v>
      </c>
      <c r="R68" s="26" t="s">
        <v>3</v>
      </c>
      <c r="S68" s="26" t="s">
        <v>3</v>
      </c>
      <c r="T68" s="22" t="s">
        <v>5</v>
      </c>
      <c r="U68" s="22" t="s">
        <v>5</v>
      </c>
      <c r="V68" s="22" t="s">
        <v>5</v>
      </c>
      <c r="W68" s="23" t="s">
        <v>7</v>
      </c>
      <c r="X68" s="24" t="s">
        <v>9</v>
      </c>
      <c r="Y68" s="26" t="s">
        <v>3</v>
      </c>
      <c r="Z68" s="26" t="s">
        <v>3</v>
      </c>
      <c r="AA68" s="26" t="s">
        <v>3</v>
      </c>
      <c r="AB68" s="26" t="s">
        <v>3</v>
      </c>
      <c r="AC68" s="26" t="s">
        <v>3</v>
      </c>
      <c r="AD68" s="27" t="s">
        <v>7</v>
      </c>
      <c r="AE68" s="28" t="s">
        <v>11</v>
      </c>
      <c r="AF68" s="26" t="s">
        <v>3</v>
      </c>
      <c r="AG68" s="26" t="s">
        <v>3</v>
      </c>
      <c r="AH68" s="8">
        <f t="shared" si="16"/>
        <v>17</v>
      </c>
      <c r="AI68" s="8">
        <f t="shared" si="17"/>
        <v>5</v>
      </c>
      <c r="AJ68" s="29">
        <f t="shared" si="18"/>
        <v>3</v>
      </c>
      <c r="AK68" s="62">
        <v>3</v>
      </c>
      <c r="AL68" s="33">
        <f t="shared" si="19"/>
        <v>21.5</v>
      </c>
      <c r="AM68" s="63">
        <f t="shared" si="20"/>
        <v>176</v>
      </c>
      <c r="AN68" s="63">
        <f t="shared" si="21"/>
        <v>0</v>
      </c>
      <c r="AO68" s="63">
        <f t="shared" si="22"/>
        <v>0</v>
      </c>
      <c r="AP68" s="53">
        <f t="shared" si="23"/>
        <v>21.5</v>
      </c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</row>
    <row r="69" spans="1:55" ht="22" customHeight="1" x14ac:dyDescent="0.35">
      <c r="A69" s="8" t="s">
        <v>165</v>
      </c>
      <c r="B69" s="8" t="s">
        <v>166</v>
      </c>
      <c r="C69" s="8" t="s">
        <v>104</v>
      </c>
      <c r="D69" s="26" t="s">
        <v>3</v>
      </c>
      <c r="E69" s="26" t="s">
        <v>3</v>
      </c>
      <c r="F69" s="22" t="s">
        <v>5</v>
      </c>
      <c r="G69" s="26" t="s">
        <v>3</v>
      </c>
      <c r="H69" s="26" t="s">
        <v>3</v>
      </c>
      <c r="I69" s="27" t="s">
        <v>7</v>
      </c>
      <c r="J69" s="28" t="s">
        <v>11</v>
      </c>
      <c r="K69" s="26" t="s">
        <v>3</v>
      </c>
      <c r="L69" s="26" t="s">
        <v>3</v>
      </c>
      <c r="M69" s="26" t="s">
        <v>3</v>
      </c>
      <c r="N69" s="26" t="s">
        <v>3</v>
      </c>
      <c r="O69" s="26" t="s">
        <v>3</v>
      </c>
      <c r="P69" s="27" t="s">
        <v>7</v>
      </c>
      <c r="Q69" s="28" t="s">
        <v>11</v>
      </c>
      <c r="R69" s="22" t="s">
        <v>5</v>
      </c>
      <c r="S69" s="22" t="s">
        <v>5</v>
      </c>
      <c r="T69" s="26" t="s">
        <v>3</v>
      </c>
      <c r="U69" s="26" t="s">
        <v>3</v>
      </c>
      <c r="V69" s="26" t="s">
        <v>3</v>
      </c>
      <c r="W69" s="27" t="s">
        <v>7</v>
      </c>
      <c r="X69" s="28" t="s">
        <v>11</v>
      </c>
      <c r="Y69" s="26" t="s">
        <v>3</v>
      </c>
      <c r="Z69" s="26" t="s">
        <v>3</v>
      </c>
      <c r="AA69" s="26" t="s">
        <v>3</v>
      </c>
      <c r="AB69" s="22" t="s">
        <v>5</v>
      </c>
      <c r="AC69" s="26" t="s">
        <v>3</v>
      </c>
      <c r="AD69" s="27" t="s">
        <v>7</v>
      </c>
      <c r="AE69" s="28" t="s">
        <v>11</v>
      </c>
      <c r="AF69" s="26" t="s">
        <v>3</v>
      </c>
      <c r="AG69" s="26" t="s">
        <v>3</v>
      </c>
      <c r="AH69" s="8">
        <f t="shared" si="16"/>
        <v>18</v>
      </c>
      <c r="AI69" s="8">
        <f t="shared" si="17"/>
        <v>4</v>
      </c>
      <c r="AJ69" s="29">
        <f t="shared" si="18"/>
        <v>4</v>
      </c>
      <c r="AK69" s="62">
        <v>4</v>
      </c>
      <c r="AL69" s="33">
        <f t="shared" si="19"/>
        <v>24</v>
      </c>
      <c r="AM69" s="63">
        <f t="shared" si="20"/>
        <v>176</v>
      </c>
      <c r="AN69" s="63">
        <f t="shared" si="21"/>
        <v>0</v>
      </c>
      <c r="AO69" s="63">
        <f t="shared" si="22"/>
        <v>0</v>
      </c>
      <c r="AP69" s="53">
        <f t="shared" si="23"/>
        <v>24</v>
      </c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</row>
    <row r="70" spans="1:55" ht="22" customHeight="1" x14ac:dyDescent="0.35">
      <c r="A70" s="8" t="s">
        <v>167</v>
      </c>
      <c r="B70" s="8" t="s">
        <v>168</v>
      </c>
      <c r="C70" s="8" t="s">
        <v>104</v>
      </c>
      <c r="D70" s="22" t="s">
        <v>5</v>
      </c>
      <c r="E70" s="22" t="s">
        <v>5</v>
      </c>
      <c r="F70" s="26" t="s">
        <v>3</v>
      </c>
      <c r="G70" s="26" t="s">
        <v>3</v>
      </c>
      <c r="H70" s="26" t="s">
        <v>3</v>
      </c>
      <c r="I70" s="27" t="s">
        <v>7</v>
      </c>
      <c r="J70" s="28" t="s">
        <v>11</v>
      </c>
      <c r="K70" s="26" t="s">
        <v>3</v>
      </c>
      <c r="L70" s="26" t="s">
        <v>3</v>
      </c>
      <c r="M70" s="26" t="s">
        <v>3</v>
      </c>
      <c r="N70" s="26" t="s">
        <v>3</v>
      </c>
      <c r="O70" s="26" t="s">
        <v>3</v>
      </c>
      <c r="P70" s="27" t="s">
        <v>7</v>
      </c>
      <c r="Q70" s="28" t="s">
        <v>11</v>
      </c>
      <c r="R70" s="26" t="s">
        <v>3</v>
      </c>
      <c r="S70" s="26" t="s">
        <v>3</v>
      </c>
      <c r="T70" s="26" t="s">
        <v>3</v>
      </c>
      <c r="U70" s="22" t="s">
        <v>5</v>
      </c>
      <c r="V70" s="22" t="s">
        <v>5</v>
      </c>
      <c r="W70" s="23" t="s">
        <v>7</v>
      </c>
      <c r="X70" s="24" t="s">
        <v>9</v>
      </c>
      <c r="Y70" s="26" t="s">
        <v>3</v>
      </c>
      <c r="Z70" s="26" t="s">
        <v>3</v>
      </c>
      <c r="AA70" s="26" t="s">
        <v>3</v>
      </c>
      <c r="AB70" s="26" t="s">
        <v>3</v>
      </c>
      <c r="AC70" s="26" t="s">
        <v>3</v>
      </c>
      <c r="AD70" s="27" t="s">
        <v>7</v>
      </c>
      <c r="AE70" s="24" t="s">
        <v>9</v>
      </c>
      <c r="AF70" s="26" t="s">
        <v>3</v>
      </c>
      <c r="AG70" s="26" t="s">
        <v>3</v>
      </c>
      <c r="AH70" s="8">
        <f t="shared" si="16"/>
        <v>18</v>
      </c>
      <c r="AI70" s="8">
        <f t="shared" si="17"/>
        <v>4</v>
      </c>
      <c r="AJ70" s="29">
        <f t="shared" si="18"/>
        <v>2</v>
      </c>
      <c r="AK70" s="62">
        <v>3</v>
      </c>
      <c r="AL70" s="33">
        <f t="shared" si="19"/>
        <v>21.5</v>
      </c>
      <c r="AM70" s="63">
        <f t="shared" si="20"/>
        <v>176</v>
      </c>
      <c r="AN70" s="63">
        <f t="shared" si="21"/>
        <v>0</v>
      </c>
      <c r="AO70" s="63">
        <f t="shared" si="22"/>
        <v>0</v>
      </c>
      <c r="AP70" s="53">
        <f t="shared" si="23"/>
        <v>21.5</v>
      </c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</row>
    <row r="71" spans="1:55" ht="22" customHeight="1" x14ac:dyDescent="0.35">
      <c r="A71" s="8" t="s">
        <v>169</v>
      </c>
      <c r="B71" s="8" t="s">
        <v>170</v>
      </c>
      <c r="C71" s="8" t="s">
        <v>104</v>
      </c>
      <c r="D71" s="26" t="s">
        <v>3</v>
      </c>
      <c r="E71" s="26" t="s">
        <v>3</v>
      </c>
      <c r="F71" s="26" t="s">
        <v>3</v>
      </c>
      <c r="G71" s="26" t="s">
        <v>3</v>
      </c>
      <c r="H71" s="26" t="s">
        <v>3</v>
      </c>
      <c r="I71" s="27" t="s">
        <v>7</v>
      </c>
      <c r="J71" s="24" t="s">
        <v>9</v>
      </c>
      <c r="K71" s="22" t="s">
        <v>5</v>
      </c>
      <c r="L71" s="22" t="s">
        <v>5</v>
      </c>
      <c r="M71" s="22" t="s">
        <v>5</v>
      </c>
      <c r="N71" s="22" t="s">
        <v>5</v>
      </c>
      <c r="O71" s="26" t="s">
        <v>3</v>
      </c>
      <c r="P71" s="27" t="s">
        <v>7</v>
      </c>
      <c r="Q71" s="28" t="s">
        <v>11</v>
      </c>
      <c r="R71" s="26" t="s">
        <v>3</v>
      </c>
      <c r="S71" s="26" t="s">
        <v>3</v>
      </c>
      <c r="T71" s="26" t="s">
        <v>3</v>
      </c>
      <c r="U71" s="26" t="s">
        <v>3</v>
      </c>
      <c r="V71" s="26" t="s">
        <v>3</v>
      </c>
      <c r="W71" s="27" t="s">
        <v>7</v>
      </c>
      <c r="X71" s="24" t="s">
        <v>9</v>
      </c>
      <c r="Y71" s="26" t="s">
        <v>3</v>
      </c>
      <c r="Z71" s="26" t="s">
        <v>3</v>
      </c>
      <c r="AA71" s="26" t="s">
        <v>3</v>
      </c>
      <c r="AB71" s="26" t="s">
        <v>3</v>
      </c>
      <c r="AC71" s="26" t="s">
        <v>3</v>
      </c>
      <c r="AD71" s="27" t="s">
        <v>7</v>
      </c>
      <c r="AE71" s="24" t="s">
        <v>9</v>
      </c>
      <c r="AF71" s="26" t="s">
        <v>3</v>
      </c>
      <c r="AG71" s="26" t="s">
        <v>3</v>
      </c>
      <c r="AH71" s="8">
        <f t="shared" si="16"/>
        <v>18</v>
      </c>
      <c r="AI71" s="8">
        <f t="shared" si="17"/>
        <v>4</v>
      </c>
      <c r="AJ71" s="29">
        <f t="shared" si="18"/>
        <v>1</v>
      </c>
      <c r="AK71" s="62">
        <v>4</v>
      </c>
      <c r="AL71" s="33">
        <f t="shared" si="19"/>
        <v>21</v>
      </c>
      <c r="AM71" s="63">
        <f t="shared" si="20"/>
        <v>176</v>
      </c>
      <c r="AN71" s="63">
        <f t="shared" si="21"/>
        <v>0</v>
      </c>
      <c r="AO71" s="63">
        <f t="shared" si="22"/>
        <v>0</v>
      </c>
      <c r="AP71" s="53">
        <f t="shared" si="23"/>
        <v>21</v>
      </c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</row>
    <row r="72" spans="1:55" ht="22" customHeight="1" x14ac:dyDescent="0.35">
      <c r="A72" s="8" t="s">
        <v>171</v>
      </c>
      <c r="B72" s="8" t="s">
        <v>172</v>
      </c>
      <c r="C72" s="8" t="s">
        <v>104</v>
      </c>
      <c r="D72" s="26" t="s">
        <v>3</v>
      </c>
      <c r="E72" s="26" t="s">
        <v>3</v>
      </c>
      <c r="F72" s="26" t="s">
        <v>3</v>
      </c>
      <c r="G72" s="26" t="s">
        <v>3</v>
      </c>
      <c r="H72" s="22" t="s">
        <v>5</v>
      </c>
      <c r="I72" s="23" t="s">
        <v>7</v>
      </c>
      <c r="J72" s="24" t="s">
        <v>9</v>
      </c>
      <c r="K72" s="22" t="s">
        <v>5</v>
      </c>
      <c r="L72" s="22" t="s">
        <v>5</v>
      </c>
      <c r="M72" s="26" t="s">
        <v>3</v>
      </c>
      <c r="N72" s="26" t="s">
        <v>3</v>
      </c>
      <c r="O72" s="26" t="s">
        <v>3</v>
      </c>
      <c r="P72" s="27" t="s">
        <v>7</v>
      </c>
      <c r="Q72" s="28" t="s">
        <v>11</v>
      </c>
      <c r="R72" s="26" t="s">
        <v>3</v>
      </c>
      <c r="S72" s="26" t="s">
        <v>3</v>
      </c>
      <c r="T72" s="26" t="s">
        <v>3</v>
      </c>
      <c r="U72" s="22" t="s">
        <v>5</v>
      </c>
      <c r="V72" s="22" t="s">
        <v>5</v>
      </c>
      <c r="W72" s="23" t="s">
        <v>7</v>
      </c>
      <c r="X72" s="28" t="s">
        <v>11</v>
      </c>
      <c r="Y72" s="26" t="s">
        <v>3</v>
      </c>
      <c r="Z72" s="26" t="s">
        <v>3</v>
      </c>
      <c r="AA72" s="26" t="s">
        <v>3</v>
      </c>
      <c r="AB72" s="26" t="s">
        <v>3</v>
      </c>
      <c r="AC72" s="26" t="s">
        <v>3</v>
      </c>
      <c r="AD72" s="23" t="s">
        <v>7</v>
      </c>
      <c r="AE72" s="28" t="s">
        <v>11</v>
      </c>
      <c r="AF72" s="26" t="s">
        <v>3</v>
      </c>
      <c r="AG72" s="22" t="s">
        <v>5</v>
      </c>
      <c r="AH72" s="8">
        <f t="shared" si="16"/>
        <v>16</v>
      </c>
      <c r="AI72" s="8">
        <f t="shared" si="17"/>
        <v>6</v>
      </c>
      <c r="AJ72" s="29">
        <f t="shared" si="18"/>
        <v>3</v>
      </c>
      <c r="AK72" s="62">
        <v>1</v>
      </c>
      <c r="AL72" s="33">
        <f t="shared" si="19"/>
        <v>19.5</v>
      </c>
      <c r="AM72" s="63">
        <f t="shared" si="20"/>
        <v>176</v>
      </c>
      <c r="AN72" s="63">
        <f t="shared" si="21"/>
        <v>1</v>
      </c>
      <c r="AO72" s="63">
        <f t="shared" si="22"/>
        <v>4</v>
      </c>
      <c r="AP72" s="53">
        <f t="shared" si="23"/>
        <v>19</v>
      </c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</row>
    <row r="73" spans="1:55" ht="22" customHeight="1" x14ac:dyDescent="0.35">
      <c r="A73" s="8" t="s">
        <v>173</v>
      </c>
      <c r="B73" s="8" t="s">
        <v>174</v>
      </c>
      <c r="C73" s="8" t="s">
        <v>104</v>
      </c>
      <c r="D73" s="26" t="s">
        <v>3</v>
      </c>
      <c r="E73" s="26" t="s">
        <v>3</v>
      </c>
      <c r="F73" s="26" t="s">
        <v>3</v>
      </c>
      <c r="G73" s="26" t="s">
        <v>3</v>
      </c>
      <c r="H73" s="22" t="s">
        <v>5</v>
      </c>
      <c r="I73" s="27" t="s">
        <v>7</v>
      </c>
      <c r="J73" s="28" t="s">
        <v>11</v>
      </c>
      <c r="K73" s="26" t="s">
        <v>3</v>
      </c>
      <c r="L73" s="26" t="s">
        <v>3</v>
      </c>
      <c r="M73" s="26" t="s">
        <v>3</v>
      </c>
      <c r="N73" s="26" t="s">
        <v>3</v>
      </c>
      <c r="O73" s="26" t="s">
        <v>3</v>
      </c>
      <c r="P73" s="27" t="s">
        <v>7</v>
      </c>
      <c r="Q73" s="28" t="s">
        <v>11</v>
      </c>
      <c r="R73" s="26" t="s">
        <v>3</v>
      </c>
      <c r="S73" s="26" t="s">
        <v>3</v>
      </c>
      <c r="T73" s="26" t="s">
        <v>3</v>
      </c>
      <c r="U73" s="26" t="s">
        <v>3</v>
      </c>
      <c r="V73" s="26" t="s">
        <v>3</v>
      </c>
      <c r="W73" s="27" t="s">
        <v>7</v>
      </c>
      <c r="X73" s="28" t="s">
        <v>11</v>
      </c>
      <c r="Y73" s="26" t="s">
        <v>3</v>
      </c>
      <c r="Z73" s="26" t="s">
        <v>3</v>
      </c>
      <c r="AA73" s="26" t="s">
        <v>3</v>
      </c>
      <c r="AB73" s="26" t="s">
        <v>3</v>
      </c>
      <c r="AC73" s="26" t="s">
        <v>3</v>
      </c>
      <c r="AD73" s="27" t="s">
        <v>7</v>
      </c>
      <c r="AE73" s="28" t="s">
        <v>11</v>
      </c>
      <c r="AF73" s="26" t="s">
        <v>3</v>
      </c>
      <c r="AG73" s="26" t="s">
        <v>3</v>
      </c>
      <c r="AH73" s="8">
        <f t="shared" si="16"/>
        <v>21</v>
      </c>
      <c r="AI73" s="8">
        <f t="shared" si="17"/>
        <v>1</v>
      </c>
      <c r="AJ73" s="29">
        <f t="shared" si="18"/>
        <v>4</v>
      </c>
      <c r="AK73" s="62">
        <v>4</v>
      </c>
      <c r="AL73" s="33">
        <f t="shared" si="19"/>
        <v>27</v>
      </c>
      <c r="AM73" s="63">
        <f t="shared" si="20"/>
        <v>176</v>
      </c>
      <c r="AN73" s="63">
        <f t="shared" si="21"/>
        <v>0</v>
      </c>
      <c r="AO73" s="63">
        <f t="shared" si="22"/>
        <v>0</v>
      </c>
      <c r="AP73" s="53">
        <f t="shared" si="23"/>
        <v>27</v>
      </c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</row>
    <row r="74" spans="1:55" ht="22" customHeight="1" x14ac:dyDescent="0.35">
      <c r="A74" s="8" t="s">
        <v>175</v>
      </c>
      <c r="B74" s="8" t="s">
        <v>176</v>
      </c>
      <c r="C74" s="8" t="s">
        <v>104</v>
      </c>
      <c r="D74" s="26" t="s">
        <v>3</v>
      </c>
      <c r="E74" s="26" t="s">
        <v>3</v>
      </c>
      <c r="F74" s="26" t="s">
        <v>3</v>
      </c>
      <c r="G74" s="26" t="s">
        <v>3</v>
      </c>
      <c r="H74" s="26" t="s">
        <v>3</v>
      </c>
      <c r="I74" s="27" t="s">
        <v>7</v>
      </c>
      <c r="J74" s="28" t="s">
        <v>11</v>
      </c>
      <c r="K74" s="26" t="s">
        <v>3</v>
      </c>
      <c r="L74" s="26" t="s">
        <v>3</v>
      </c>
      <c r="M74" s="26" t="s">
        <v>3</v>
      </c>
      <c r="N74" s="22" t="s">
        <v>5</v>
      </c>
      <c r="O74" s="26" t="s">
        <v>3</v>
      </c>
      <c r="P74" s="27" t="s">
        <v>7</v>
      </c>
      <c r="Q74" s="28" t="s">
        <v>11</v>
      </c>
      <c r="R74" s="26" t="s">
        <v>3</v>
      </c>
      <c r="S74" s="26" t="s">
        <v>3</v>
      </c>
      <c r="T74" s="26" t="s">
        <v>3</v>
      </c>
      <c r="U74" s="26" t="s">
        <v>3</v>
      </c>
      <c r="V74" s="26" t="s">
        <v>3</v>
      </c>
      <c r="W74" s="27" t="s">
        <v>7</v>
      </c>
      <c r="X74" s="28" t="s">
        <v>11</v>
      </c>
      <c r="Y74" s="26" t="s">
        <v>3</v>
      </c>
      <c r="Z74" s="26" t="s">
        <v>3</v>
      </c>
      <c r="AA74" s="26" t="s">
        <v>3</v>
      </c>
      <c r="AB74" s="26" t="s">
        <v>3</v>
      </c>
      <c r="AC74" s="26" t="s">
        <v>3</v>
      </c>
      <c r="AD74" s="27" t="s">
        <v>7</v>
      </c>
      <c r="AE74" s="24" t="s">
        <v>9</v>
      </c>
      <c r="AF74" s="22" t="s">
        <v>5</v>
      </c>
      <c r="AG74" s="22" t="s">
        <v>5</v>
      </c>
      <c r="AH74" s="8">
        <f t="shared" si="16"/>
        <v>19</v>
      </c>
      <c r="AI74" s="8">
        <f t="shared" si="17"/>
        <v>3</v>
      </c>
      <c r="AJ74" s="29">
        <f t="shared" si="18"/>
        <v>3</v>
      </c>
      <c r="AK74" s="62">
        <v>4</v>
      </c>
      <c r="AL74" s="33">
        <f t="shared" si="19"/>
        <v>24</v>
      </c>
      <c r="AM74" s="63">
        <f t="shared" si="20"/>
        <v>176</v>
      </c>
      <c r="AN74" s="63">
        <f t="shared" si="21"/>
        <v>0</v>
      </c>
      <c r="AO74" s="63">
        <f t="shared" si="22"/>
        <v>0</v>
      </c>
      <c r="AP74" s="53">
        <f t="shared" si="23"/>
        <v>24</v>
      </c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</row>
    <row r="75" spans="1:55" x14ac:dyDescent="0.35"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</row>
    <row r="76" spans="1:55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</row>
    <row r="77" spans="1:55" ht="22" customHeight="1" x14ac:dyDescent="0.35">
      <c r="A77" s="8" t="s">
        <v>178</v>
      </c>
      <c r="B77" s="8" t="s">
        <v>179</v>
      </c>
      <c r="C77" s="8" t="s">
        <v>180</v>
      </c>
      <c r="D77" s="26" t="s">
        <v>3</v>
      </c>
      <c r="E77" s="26" t="s">
        <v>3</v>
      </c>
      <c r="F77" s="26" t="s">
        <v>3</v>
      </c>
      <c r="G77" s="26" t="s">
        <v>3</v>
      </c>
      <c r="H77" s="26" t="s">
        <v>3</v>
      </c>
      <c r="I77" s="23" t="s">
        <v>7</v>
      </c>
      <c r="J77" s="24" t="s">
        <v>9</v>
      </c>
      <c r="K77" s="26" t="s">
        <v>3</v>
      </c>
      <c r="L77" s="26" t="s">
        <v>3</v>
      </c>
      <c r="M77" s="26" t="s">
        <v>3</v>
      </c>
      <c r="N77" s="26" t="s">
        <v>3</v>
      </c>
      <c r="O77" s="26" t="s">
        <v>3</v>
      </c>
      <c r="P77" s="27" t="s">
        <v>7</v>
      </c>
      <c r="Q77" s="28" t="s">
        <v>11</v>
      </c>
      <c r="R77" s="26" t="s">
        <v>3</v>
      </c>
      <c r="S77" s="26" t="s">
        <v>3</v>
      </c>
      <c r="T77" s="26" t="s">
        <v>3</v>
      </c>
      <c r="U77" s="26" t="s">
        <v>3</v>
      </c>
      <c r="V77" s="26" t="s">
        <v>3</v>
      </c>
      <c r="W77" s="27" t="s">
        <v>7</v>
      </c>
      <c r="X77" s="28" t="s">
        <v>11</v>
      </c>
      <c r="Y77" s="22" t="s">
        <v>5</v>
      </c>
      <c r="Z77" s="22" t="s">
        <v>5</v>
      </c>
      <c r="AA77" s="26" t="s">
        <v>3</v>
      </c>
      <c r="AB77" s="26" t="s">
        <v>3</v>
      </c>
      <c r="AC77" s="26" t="s">
        <v>3</v>
      </c>
      <c r="AD77" s="27" t="s">
        <v>7</v>
      </c>
      <c r="AE77" s="28" t="s">
        <v>11</v>
      </c>
      <c r="AF77" s="26" t="s">
        <v>3</v>
      </c>
      <c r="AG77" s="26" t="s">
        <v>3</v>
      </c>
      <c r="AH77" s="8">
        <f t="shared" ref="AH77:AH82" si="24">COUNTIF(D77:AG77,"ON")</f>
        <v>20</v>
      </c>
      <c r="AI77" s="8">
        <f t="shared" ref="AI77:AI82" si="25">COUNTIF(D77:AG77,"OFF")</f>
        <v>2</v>
      </c>
      <c r="AJ77" s="29">
        <f t="shared" ref="AJ77:AJ82" si="26">COUNTIF(D77:AG77,"OT")</f>
        <v>3</v>
      </c>
      <c r="AK77" s="62">
        <v>3</v>
      </c>
      <c r="AL77" s="33">
        <f t="shared" ref="AL77:AL82" si="27">AH77+AJ77+AK77*0.5</f>
        <v>24.5</v>
      </c>
      <c r="AM77" s="63">
        <f t="shared" ref="AM77:AM82" si="28">NETWORKDAYS(DATE(2025,9,1),EOMONTH(DATE(2025,9,1),0))*8</f>
        <v>176</v>
      </c>
      <c r="AN77" s="63">
        <f t="shared" ref="AN77:AN82" si="29">MAX(0,COUNTIF(H77,"ON")+COUNTIF(O77,"ON")+COUNTIF(V77,"ON")+COUNTIF(AC77,"ON")-AK77)</f>
        <v>1</v>
      </c>
      <c r="AO77" s="63">
        <f t="shared" ref="AO77:AO82" si="30">AN77*$AO$2</f>
        <v>4</v>
      </c>
      <c r="AP77" s="53">
        <f t="shared" ref="AP77:AP82" si="31">AL77-AO77/8</f>
        <v>24</v>
      </c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</row>
    <row r="78" spans="1:55" ht="22" customHeight="1" x14ac:dyDescent="0.35">
      <c r="A78" s="8" t="s">
        <v>181</v>
      </c>
      <c r="B78" s="8" t="s">
        <v>182</v>
      </c>
      <c r="C78" s="8" t="s">
        <v>180</v>
      </c>
      <c r="D78" s="26" t="s">
        <v>3</v>
      </c>
      <c r="E78" s="26" t="s">
        <v>3</v>
      </c>
      <c r="F78" s="26" t="s">
        <v>3</v>
      </c>
      <c r="G78" s="26" t="s">
        <v>3</v>
      </c>
      <c r="H78" s="26" t="s">
        <v>3</v>
      </c>
      <c r="I78" s="27" t="s">
        <v>7</v>
      </c>
      <c r="J78" s="28" t="s">
        <v>11</v>
      </c>
      <c r="K78" s="26" t="s">
        <v>3</v>
      </c>
      <c r="L78" s="26" t="s">
        <v>3</v>
      </c>
      <c r="M78" s="26" t="s">
        <v>3</v>
      </c>
      <c r="N78" s="26" t="s">
        <v>3</v>
      </c>
      <c r="O78" s="26" t="s">
        <v>3</v>
      </c>
      <c r="P78" s="23" t="s">
        <v>7</v>
      </c>
      <c r="Q78" s="24" t="s">
        <v>9</v>
      </c>
      <c r="R78" s="26" t="s">
        <v>3</v>
      </c>
      <c r="S78" s="26" t="s">
        <v>3</v>
      </c>
      <c r="T78" s="26" t="s">
        <v>3</v>
      </c>
      <c r="U78" s="26" t="s">
        <v>3</v>
      </c>
      <c r="V78" s="26" t="s">
        <v>3</v>
      </c>
      <c r="W78" s="27" t="s">
        <v>7</v>
      </c>
      <c r="X78" s="28" t="s">
        <v>11</v>
      </c>
      <c r="Y78" s="26" t="s">
        <v>3</v>
      </c>
      <c r="Z78" s="26" t="s">
        <v>3</v>
      </c>
      <c r="AA78" s="26" t="s">
        <v>3</v>
      </c>
      <c r="AB78" s="26" t="s">
        <v>3</v>
      </c>
      <c r="AC78" s="26" t="s">
        <v>3</v>
      </c>
      <c r="AD78" s="23" t="s">
        <v>7</v>
      </c>
      <c r="AE78" s="24" t="s">
        <v>9</v>
      </c>
      <c r="AF78" s="26" t="s">
        <v>3</v>
      </c>
      <c r="AG78" s="26" t="s">
        <v>3</v>
      </c>
      <c r="AH78" s="8">
        <f t="shared" si="24"/>
        <v>22</v>
      </c>
      <c r="AI78" s="8">
        <f t="shared" si="25"/>
        <v>0</v>
      </c>
      <c r="AJ78" s="29">
        <f t="shared" si="26"/>
        <v>2</v>
      </c>
      <c r="AK78" s="62">
        <v>2</v>
      </c>
      <c r="AL78" s="33">
        <f t="shared" si="27"/>
        <v>25</v>
      </c>
      <c r="AM78" s="63">
        <f t="shared" si="28"/>
        <v>176</v>
      </c>
      <c r="AN78" s="63">
        <f t="shared" si="29"/>
        <v>2</v>
      </c>
      <c r="AO78" s="63">
        <f t="shared" si="30"/>
        <v>8</v>
      </c>
      <c r="AP78" s="53">
        <f t="shared" si="31"/>
        <v>24</v>
      </c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</row>
    <row r="79" spans="1:55" ht="22" customHeight="1" x14ac:dyDescent="0.35">
      <c r="A79" s="8" t="s">
        <v>183</v>
      </c>
      <c r="B79" s="8" t="s">
        <v>184</v>
      </c>
      <c r="C79" s="8" t="s">
        <v>180</v>
      </c>
      <c r="D79" s="26" t="s">
        <v>3</v>
      </c>
      <c r="E79" s="26" t="s">
        <v>3</v>
      </c>
      <c r="F79" s="26" t="s">
        <v>3</v>
      </c>
      <c r="G79" s="26" t="s">
        <v>3</v>
      </c>
      <c r="H79" s="26" t="s">
        <v>3</v>
      </c>
      <c r="I79" s="23" t="s">
        <v>7</v>
      </c>
      <c r="J79" s="24" t="s">
        <v>9</v>
      </c>
      <c r="K79" s="26" t="s">
        <v>3</v>
      </c>
      <c r="L79" s="26" t="s">
        <v>3</v>
      </c>
      <c r="M79" s="26" t="s">
        <v>3</v>
      </c>
      <c r="N79" s="26" t="s">
        <v>3</v>
      </c>
      <c r="O79" s="26" t="s">
        <v>3</v>
      </c>
      <c r="P79" s="27" t="s">
        <v>7</v>
      </c>
      <c r="Q79" s="28" t="s">
        <v>11</v>
      </c>
      <c r="R79" s="26" t="s">
        <v>3</v>
      </c>
      <c r="S79" s="26" t="s">
        <v>3</v>
      </c>
      <c r="T79" s="26" t="s">
        <v>3</v>
      </c>
      <c r="U79" s="26" t="s">
        <v>3</v>
      </c>
      <c r="V79" s="26" t="s">
        <v>3</v>
      </c>
      <c r="W79" s="23" t="s">
        <v>7</v>
      </c>
      <c r="X79" s="28" t="s">
        <v>11</v>
      </c>
      <c r="Y79" s="26" t="s">
        <v>3</v>
      </c>
      <c r="Z79" s="26" t="s">
        <v>3</v>
      </c>
      <c r="AA79" s="26" t="s">
        <v>3</v>
      </c>
      <c r="AB79" s="26" t="s">
        <v>3</v>
      </c>
      <c r="AC79" s="26" t="s">
        <v>3</v>
      </c>
      <c r="AD79" s="27" t="s">
        <v>7</v>
      </c>
      <c r="AE79" s="28" t="s">
        <v>11</v>
      </c>
      <c r="AF79" s="26" t="s">
        <v>3</v>
      </c>
      <c r="AG79" s="26" t="s">
        <v>3</v>
      </c>
      <c r="AH79" s="8">
        <f t="shared" si="24"/>
        <v>22</v>
      </c>
      <c r="AI79" s="8">
        <f t="shared" si="25"/>
        <v>0</v>
      </c>
      <c r="AJ79" s="29">
        <f t="shared" si="26"/>
        <v>3</v>
      </c>
      <c r="AK79" s="62">
        <v>2</v>
      </c>
      <c r="AL79" s="33">
        <f t="shared" si="27"/>
        <v>26</v>
      </c>
      <c r="AM79" s="63">
        <f t="shared" si="28"/>
        <v>176</v>
      </c>
      <c r="AN79" s="63">
        <f t="shared" si="29"/>
        <v>2</v>
      </c>
      <c r="AO79" s="63">
        <f t="shared" si="30"/>
        <v>8</v>
      </c>
      <c r="AP79" s="53">
        <f t="shared" si="31"/>
        <v>25</v>
      </c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</row>
    <row r="80" spans="1:55" ht="22" customHeight="1" x14ac:dyDescent="0.35">
      <c r="A80" s="8" t="s">
        <v>185</v>
      </c>
      <c r="B80" s="8" t="s">
        <v>186</v>
      </c>
      <c r="C80" s="8" t="s">
        <v>180</v>
      </c>
      <c r="D80" s="26" t="s">
        <v>3</v>
      </c>
      <c r="E80" s="26" t="s">
        <v>3</v>
      </c>
      <c r="F80" s="26" t="s">
        <v>3</v>
      </c>
      <c r="G80" s="26" t="s">
        <v>3</v>
      </c>
      <c r="H80" s="26" t="s">
        <v>3</v>
      </c>
      <c r="I80" s="27" t="s">
        <v>7</v>
      </c>
      <c r="J80" s="28" t="s">
        <v>11</v>
      </c>
      <c r="K80" s="26" t="s">
        <v>3</v>
      </c>
      <c r="L80" s="26" t="s">
        <v>3</v>
      </c>
      <c r="M80" s="26" t="s">
        <v>3</v>
      </c>
      <c r="N80" s="26" t="s">
        <v>3</v>
      </c>
      <c r="O80" s="26" t="s">
        <v>3</v>
      </c>
      <c r="P80" s="23" t="s">
        <v>7</v>
      </c>
      <c r="Q80" s="24" t="s">
        <v>9</v>
      </c>
      <c r="R80" s="26" t="s">
        <v>3</v>
      </c>
      <c r="S80" s="26" t="s">
        <v>3</v>
      </c>
      <c r="T80" s="26" t="s">
        <v>3</v>
      </c>
      <c r="U80" s="26" t="s">
        <v>3</v>
      </c>
      <c r="V80" s="26" t="s">
        <v>3</v>
      </c>
      <c r="W80" s="27" t="s">
        <v>7</v>
      </c>
      <c r="X80" s="28" t="s">
        <v>11</v>
      </c>
      <c r="Y80" s="26" t="s">
        <v>3</v>
      </c>
      <c r="Z80" s="26" t="s">
        <v>3</v>
      </c>
      <c r="AA80" s="26" t="s">
        <v>3</v>
      </c>
      <c r="AB80" s="26" t="s">
        <v>3</v>
      </c>
      <c r="AC80" s="26" t="s">
        <v>3</v>
      </c>
      <c r="AD80" s="23" t="s">
        <v>7</v>
      </c>
      <c r="AE80" s="24" t="s">
        <v>9</v>
      </c>
      <c r="AF80" s="26" t="s">
        <v>3</v>
      </c>
      <c r="AG80" s="26" t="s">
        <v>3</v>
      </c>
      <c r="AH80" s="8">
        <f t="shared" si="24"/>
        <v>22</v>
      </c>
      <c r="AI80" s="8">
        <f t="shared" si="25"/>
        <v>0</v>
      </c>
      <c r="AJ80" s="29">
        <f t="shared" si="26"/>
        <v>2</v>
      </c>
      <c r="AK80" s="62">
        <v>2</v>
      </c>
      <c r="AL80" s="33">
        <f t="shared" si="27"/>
        <v>25</v>
      </c>
      <c r="AM80" s="63">
        <f t="shared" si="28"/>
        <v>176</v>
      </c>
      <c r="AN80" s="63">
        <f t="shared" si="29"/>
        <v>2</v>
      </c>
      <c r="AO80" s="63">
        <f t="shared" si="30"/>
        <v>8</v>
      </c>
      <c r="AP80" s="53">
        <f t="shared" si="31"/>
        <v>24</v>
      </c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</row>
    <row r="81" spans="1:55" ht="22" customHeight="1" x14ac:dyDescent="0.35">
      <c r="A81" s="8" t="s">
        <v>187</v>
      </c>
      <c r="B81" s="8" t="s">
        <v>188</v>
      </c>
      <c r="C81" s="8" t="s">
        <v>180</v>
      </c>
      <c r="D81" s="22" t="s">
        <v>5</v>
      </c>
      <c r="E81" s="22" t="s">
        <v>5</v>
      </c>
      <c r="F81" s="22" t="s">
        <v>5</v>
      </c>
      <c r="G81" s="22" t="s">
        <v>5</v>
      </c>
      <c r="H81" s="22" t="s">
        <v>5</v>
      </c>
      <c r="I81" s="23" t="s">
        <v>7</v>
      </c>
      <c r="J81" s="24" t="s">
        <v>9</v>
      </c>
      <c r="K81" s="22" t="s">
        <v>5</v>
      </c>
      <c r="L81" s="22" t="s">
        <v>5</v>
      </c>
      <c r="M81" s="22" t="s">
        <v>5</v>
      </c>
      <c r="N81" s="22" t="s">
        <v>5</v>
      </c>
      <c r="O81" s="22" t="s">
        <v>5</v>
      </c>
      <c r="P81" s="23" t="s">
        <v>7</v>
      </c>
      <c r="Q81" s="24" t="s">
        <v>9</v>
      </c>
      <c r="R81" s="22" t="s">
        <v>5</v>
      </c>
      <c r="S81" s="22" t="s">
        <v>5</v>
      </c>
      <c r="T81" s="22" t="s">
        <v>5</v>
      </c>
      <c r="U81" s="26" t="s">
        <v>3</v>
      </c>
      <c r="V81" s="26" t="s">
        <v>3</v>
      </c>
      <c r="W81" s="27" t="s">
        <v>7</v>
      </c>
      <c r="X81" s="28" t="s">
        <v>11</v>
      </c>
      <c r="Y81" s="26" t="s">
        <v>3</v>
      </c>
      <c r="Z81" s="22" t="s">
        <v>5</v>
      </c>
      <c r="AA81" s="22" t="s">
        <v>5</v>
      </c>
      <c r="AB81" s="26" t="s">
        <v>3</v>
      </c>
      <c r="AC81" s="26" t="s">
        <v>3</v>
      </c>
      <c r="AD81" s="27" t="s">
        <v>7</v>
      </c>
      <c r="AE81" s="28" t="s">
        <v>11</v>
      </c>
      <c r="AF81" s="26" t="s">
        <v>3</v>
      </c>
      <c r="AG81" s="26" t="s">
        <v>3</v>
      </c>
      <c r="AH81" s="8">
        <f t="shared" si="24"/>
        <v>7</v>
      </c>
      <c r="AI81" s="25">
        <f t="shared" si="25"/>
        <v>15</v>
      </c>
      <c r="AJ81" s="29">
        <f t="shared" si="26"/>
        <v>2</v>
      </c>
      <c r="AK81" s="62">
        <v>2</v>
      </c>
      <c r="AL81" s="33">
        <f t="shared" si="27"/>
        <v>10</v>
      </c>
      <c r="AM81" s="63">
        <f t="shared" si="28"/>
        <v>176</v>
      </c>
      <c r="AN81" s="63">
        <f t="shared" si="29"/>
        <v>0</v>
      </c>
      <c r="AO81" s="63">
        <f t="shared" si="30"/>
        <v>0</v>
      </c>
      <c r="AP81" s="53">
        <f t="shared" si="31"/>
        <v>10</v>
      </c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</row>
    <row r="82" spans="1:55" ht="22" customHeight="1" x14ac:dyDescent="0.35">
      <c r="A82" s="8" t="s">
        <v>189</v>
      </c>
      <c r="B82" s="8" t="s">
        <v>190</v>
      </c>
      <c r="C82" s="8" t="s">
        <v>180</v>
      </c>
      <c r="D82" s="26" t="s">
        <v>3</v>
      </c>
      <c r="E82" s="26" t="s">
        <v>3</v>
      </c>
      <c r="F82" s="26" t="s">
        <v>3</v>
      </c>
      <c r="G82" s="26" t="s">
        <v>3</v>
      </c>
      <c r="H82" s="26" t="s">
        <v>3</v>
      </c>
      <c r="I82" s="27" t="s">
        <v>7</v>
      </c>
      <c r="J82" s="28" t="s">
        <v>11</v>
      </c>
      <c r="K82" s="22" t="s">
        <v>5</v>
      </c>
      <c r="L82" s="22" t="s">
        <v>5</v>
      </c>
      <c r="M82" s="26" t="s">
        <v>3</v>
      </c>
      <c r="N82" s="26" t="s">
        <v>3</v>
      </c>
      <c r="O82" s="26" t="s">
        <v>3</v>
      </c>
      <c r="P82" s="27" t="s">
        <v>7</v>
      </c>
      <c r="Q82" s="28" t="s">
        <v>11</v>
      </c>
      <c r="R82" s="26" t="s">
        <v>3</v>
      </c>
      <c r="S82" s="26" t="s">
        <v>3</v>
      </c>
      <c r="T82" s="26" t="s">
        <v>3</v>
      </c>
      <c r="U82" s="26" t="s">
        <v>3</v>
      </c>
      <c r="V82" s="26" t="s">
        <v>3</v>
      </c>
      <c r="W82" s="23" t="s">
        <v>7</v>
      </c>
      <c r="X82" s="24" t="s">
        <v>9</v>
      </c>
      <c r="Y82" s="26" t="s">
        <v>3</v>
      </c>
      <c r="Z82" s="26" t="s">
        <v>3</v>
      </c>
      <c r="AA82" s="26" t="s">
        <v>3</v>
      </c>
      <c r="AB82" s="26" t="s">
        <v>3</v>
      </c>
      <c r="AC82" s="26" t="s">
        <v>3</v>
      </c>
      <c r="AD82" s="27" t="s">
        <v>7</v>
      </c>
      <c r="AE82" s="28" t="s">
        <v>11</v>
      </c>
      <c r="AF82" s="26" t="s">
        <v>3</v>
      </c>
      <c r="AG82" s="26" t="s">
        <v>3</v>
      </c>
      <c r="AH82" s="8">
        <f t="shared" si="24"/>
        <v>20</v>
      </c>
      <c r="AI82" s="8">
        <f t="shared" si="25"/>
        <v>2</v>
      </c>
      <c r="AJ82" s="29">
        <f t="shared" si="26"/>
        <v>3</v>
      </c>
      <c r="AK82" s="62">
        <v>3</v>
      </c>
      <c r="AL82" s="33">
        <f t="shared" si="27"/>
        <v>24.5</v>
      </c>
      <c r="AM82" s="63">
        <f t="shared" si="28"/>
        <v>176</v>
      </c>
      <c r="AN82" s="63">
        <f t="shared" si="29"/>
        <v>1</v>
      </c>
      <c r="AO82" s="63">
        <f t="shared" si="30"/>
        <v>4</v>
      </c>
      <c r="AP82" s="53">
        <f t="shared" si="31"/>
        <v>24</v>
      </c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</row>
    <row r="83" spans="1:55" x14ac:dyDescent="0.35"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</row>
    <row r="84" spans="1:55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</row>
    <row r="85" spans="1:55" ht="22" customHeight="1" x14ac:dyDescent="0.35">
      <c r="A85" s="8" t="s">
        <v>192</v>
      </c>
      <c r="B85" s="8" t="s">
        <v>193</v>
      </c>
      <c r="C85" s="8" t="s">
        <v>194</v>
      </c>
      <c r="D85" s="22" t="s">
        <v>5</v>
      </c>
      <c r="E85" s="22" t="s">
        <v>5</v>
      </c>
      <c r="F85" s="22" t="s">
        <v>5</v>
      </c>
      <c r="G85" s="22" t="s">
        <v>5</v>
      </c>
      <c r="H85" s="22" t="s">
        <v>5</v>
      </c>
      <c r="I85" s="23" t="s">
        <v>7</v>
      </c>
      <c r="J85" s="24" t="s">
        <v>9</v>
      </c>
      <c r="K85" s="22" t="s">
        <v>5</v>
      </c>
      <c r="L85" s="22" t="s">
        <v>5</v>
      </c>
      <c r="M85" s="22" t="s">
        <v>5</v>
      </c>
      <c r="N85" s="22" t="s">
        <v>5</v>
      </c>
      <c r="O85" s="22" t="s">
        <v>5</v>
      </c>
      <c r="P85" s="23" t="s">
        <v>7</v>
      </c>
      <c r="Q85" s="24" t="s">
        <v>9</v>
      </c>
      <c r="R85" s="22" t="s">
        <v>5</v>
      </c>
      <c r="S85" s="26" t="s">
        <v>3</v>
      </c>
      <c r="T85" s="26" t="s">
        <v>3</v>
      </c>
      <c r="U85" s="26" t="s">
        <v>3</v>
      </c>
      <c r="V85" s="26" t="s">
        <v>3</v>
      </c>
      <c r="W85" s="27" t="s">
        <v>7</v>
      </c>
      <c r="X85" s="24" t="s">
        <v>9</v>
      </c>
      <c r="Y85" s="26" t="s">
        <v>3</v>
      </c>
      <c r="Z85" s="26" t="s">
        <v>3</v>
      </c>
      <c r="AA85" s="26" t="s">
        <v>3</v>
      </c>
      <c r="AB85" s="26" t="s">
        <v>3</v>
      </c>
      <c r="AC85" s="26" t="s">
        <v>3</v>
      </c>
      <c r="AD85" s="23" t="s">
        <v>7</v>
      </c>
      <c r="AE85" s="24" t="s">
        <v>9</v>
      </c>
      <c r="AF85" s="26" t="s">
        <v>3</v>
      </c>
      <c r="AG85" s="26" t="s">
        <v>3</v>
      </c>
      <c r="AH85" s="8">
        <f>COUNTIF(D85:AG85,"ON")</f>
        <v>11</v>
      </c>
      <c r="AI85" s="25">
        <f>COUNTIF(D85:AG85,"OFF")</f>
        <v>11</v>
      </c>
      <c r="AJ85" s="8">
        <f>COUNTIF(D85:AG85,"OT")</f>
        <v>0</v>
      </c>
      <c r="AK85" s="62">
        <v>1</v>
      </c>
      <c r="AL85" s="33">
        <f>AH85+AJ85+AK85*0.5</f>
        <v>11.5</v>
      </c>
      <c r="AM85" s="63">
        <f>NETWORKDAYS(DATE(2025,9,1),EOMONTH(DATE(2025,9,1),0))*8</f>
        <v>176</v>
      </c>
      <c r="AN85" s="63">
        <f>MAX(0,COUNTIF(H85,"ON")+COUNTIF(O85,"ON")+COUNTIF(V85,"ON")+COUNTIF(AC85,"ON")-AK85)</f>
        <v>1</v>
      </c>
      <c r="AO85" s="63">
        <f>AN85*$AO$2</f>
        <v>4</v>
      </c>
      <c r="AP85" s="53">
        <f>AL85-AO85/8</f>
        <v>11</v>
      </c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</row>
    <row r="86" spans="1:55" ht="22" customHeight="1" x14ac:dyDescent="0.35">
      <c r="A86" s="8" t="s">
        <v>195</v>
      </c>
      <c r="B86" s="8" t="s">
        <v>196</v>
      </c>
      <c r="C86" s="8" t="s">
        <v>194</v>
      </c>
      <c r="D86" s="26" t="s">
        <v>3</v>
      </c>
      <c r="E86" s="26" t="s">
        <v>3</v>
      </c>
      <c r="F86" s="26" t="s">
        <v>3</v>
      </c>
      <c r="G86" s="26" t="s">
        <v>3</v>
      </c>
      <c r="H86" s="26" t="s">
        <v>3</v>
      </c>
      <c r="I86" s="27" t="s">
        <v>7</v>
      </c>
      <c r="J86" s="28" t="s">
        <v>11</v>
      </c>
      <c r="K86" s="26" t="s">
        <v>3</v>
      </c>
      <c r="L86" s="26" t="s">
        <v>3</v>
      </c>
      <c r="M86" s="26" t="s">
        <v>3</v>
      </c>
      <c r="N86" s="26" t="s">
        <v>3</v>
      </c>
      <c r="O86" s="26" t="s">
        <v>3</v>
      </c>
      <c r="P86" s="23" t="s">
        <v>7</v>
      </c>
      <c r="Q86" s="28" t="s">
        <v>11</v>
      </c>
      <c r="R86" s="22" t="s">
        <v>5</v>
      </c>
      <c r="S86" s="22" t="s">
        <v>5</v>
      </c>
      <c r="T86" s="22" t="s">
        <v>5</v>
      </c>
      <c r="U86" s="22" t="s">
        <v>5</v>
      </c>
      <c r="V86" s="22" t="s">
        <v>5</v>
      </c>
      <c r="W86" s="23" t="s">
        <v>7</v>
      </c>
      <c r="X86" s="24" t="s">
        <v>9</v>
      </c>
      <c r="Y86" s="22" t="s">
        <v>5</v>
      </c>
      <c r="Z86" s="22" t="s">
        <v>5</v>
      </c>
      <c r="AA86" s="22" t="s">
        <v>5</v>
      </c>
      <c r="AB86" s="22" t="s">
        <v>5</v>
      </c>
      <c r="AC86" s="22" t="s">
        <v>5</v>
      </c>
      <c r="AD86" s="23" t="s">
        <v>7</v>
      </c>
      <c r="AE86" s="24" t="s">
        <v>9</v>
      </c>
      <c r="AF86" s="26" t="s">
        <v>3</v>
      </c>
      <c r="AG86" s="26" t="s">
        <v>3</v>
      </c>
      <c r="AH86" s="8">
        <f>COUNTIF(D86:AG86,"ON")</f>
        <v>12</v>
      </c>
      <c r="AI86" s="8">
        <f>COUNTIF(D86:AG86,"OFF")</f>
        <v>10</v>
      </c>
      <c r="AJ86" s="29">
        <f>COUNTIF(D86:AG86,"OT")</f>
        <v>2</v>
      </c>
      <c r="AK86" s="62">
        <v>1</v>
      </c>
      <c r="AL86" s="33">
        <f>AH86+AJ86+AK86*0.5</f>
        <v>14.5</v>
      </c>
      <c r="AM86" s="63">
        <f>NETWORKDAYS(DATE(2025,9,1),EOMONTH(DATE(2025,9,1),0))*8</f>
        <v>176</v>
      </c>
      <c r="AN86" s="63">
        <f>MAX(0,COUNTIF(H86,"ON")+COUNTIF(O86,"ON")+COUNTIF(V86,"ON")+COUNTIF(AC86,"ON")-AK86)</f>
        <v>1</v>
      </c>
      <c r="AO86" s="63">
        <f>AN86*$AO$2</f>
        <v>4</v>
      </c>
      <c r="AP86" s="53">
        <f>AL86-AO86/8</f>
        <v>14</v>
      </c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</row>
    <row r="87" spans="1:55" ht="22" customHeight="1" x14ac:dyDescent="0.35">
      <c r="A87" s="8" t="s">
        <v>197</v>
      </c>
      <c r="B87" s="8" t="s">
        <v>198</v>
      </c>
      <c r="C87" s="8" t="s">
        <v>194</v>
      </c>
      <c r="D87" s="26" t="s">
        <v>3</v>
      </c>
      <c r="E87" s="26" t="s">
        <v>3</v>
      </c>
      <c r="F87" s="22" t="s">
        <v>5</v>
      </c>
      <c r="G87" s="26" t="s">
        <v>3</v>
      </c>
      <c r="H87" s="26" t="s">
        <v>3</v>
      </c>
      <c r="I87" s="23" t="s">
        <v>7</v>
      </c>
      <c r="J87" s="24" t="s">
        <v>9</v>
      </c>
      <c r="K87" s="26" t="s">
        <v>3</v>
      </c>
      <c r="L87" s="26" t="s">
        <v>3</v>
      </c>
      <c r="M87" s="26" t="s">
        <v>3</v>
      </c>
      <c r="N87" s="26" t="s">
        <v>3</v>
      </c>
      <c r="O87" s="26" t="s">
        <v>3</v>
      </c>
      <c r="P87" s="23" t="s">
        <v>7</v>
      </c>
      <c r="Q87" s="24" t="s">
        <v>9</v>
      </c>
      <c r="R87" s="26" t="s">
        <v>3</v>
      </c>
      <c r="S87" s="26" t="s">
        <v>3</v>
      </c>
      <c r="T87" s="26" t="s">
        <v>3</v>
      </c>
      <c r="U87" s="26" t="s">
        <v>3</v>
      </c>
      <c r="V87" s="26" t="s">
        <v>3</v>
      </c>
      <c r="W87" s="23" t="s">
        <v>7</v>
      </c>
      <c r="X87" s="28" t="s">
        <v>11</v>
      </c>
      <c r="Y87" s="26" t="s">
        <v>3</v>
      </c>
      <c r="Z87" s="26" t="s">
        <v>3</v>
      </c>
      <c r="AA87" s="26" t="s">
        <v>3</v>
      </c>
      <c r="AB87" s="26" t="s">
        <v>3</v>
      </c>
      <c r="AC87" s="26" t="s">
        <v>3</v>
      </c>
      <c r="AD87" s="27" t="s">
        <v>7</v>
      </c>
      <c r="AE87" s="24" t="s">
        <v>9</v>
      </c>
      <c r="AF87" s="26" t="s">
        <v>3</v>
      </c>
      <c r="AG87" s="26" t="s">
        <v>3</v>
      </c>
      <c r="AH87" s="8">
        <f>COUNTIF(D87:AG87,"ON")</f>
        <v>21</v>
      </c>
      <c r="AI87" s="8">
        <f>COUNTIF(D87:AG87,"OFF")</f>
        <v>1</v>
      </c>
      <c r="AJ87" s="29">
        <f>COUNTIF(D87:AG87,"OT")</f>
        <v>1</v>
      </c>
      <c r="AK87" s="62">
        <v>1</v>
      </c>
      <c r="AL87" s="33">
        <f>AH87+AJ87+AK87*0.5</f>
        <v>22.5</v>
      </c>
      <c r="AM87" s="63">
        <f>NETWORKDAYS(DATE(2025,9,1),EOMONTH(DATE(2025,9,1),0))*8</f>
        <v>176</v>
      </c>
      <c r="AN87" s="63">
        <f>MAX(0,COUNTIF(H87,"ON")+COUNTIF(O87,"ON")+COUNTIF(V87,"ON")+COUNTIF(AC87,"ON")-AK87)</f>
        <v>3</v>
      </c>
      <c r="AO87" s="63">
        <f>AN87*$AO$2</f>
        <v>12</v>
      </c>
      <c r="AP87" s="53">
        <f>AL87-AO87/8</f>
        <v>21</v>
      </c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</row>
    <row r="88" spans="1:55" ht="22" customHeight="1" x14ac:dyDescent="0.35">
      <c r="A88" s="8" t="s">
        <v>199</v>
      </c>
      <c r="B88" s="8" t="s">
        <v>200</v>
      </c>
      <c r="C88" s="8" t="s">
        <v>194</v>
      </c>
      <c r="D88" s="26" t="s">
        <v>3</v>
      </c>
      <c r="E88" s="26" t="s">
        <v>3</v>
      </c>
      <c r="F88" s="26" t="s">
        <v>3</v>
      </c>
      <c r="G88" s="26" t="s">
        <v>3</v>
      </c>
      <c r="H88" s="26" t="s">
        <v>3</v>
      </c>
      <c r="I88" s="23" t="s">
        <v>7</v>
      </c>
      <c r="J88" s="24" t="s">
        <v>9</v>
      </c>
      <c r="K88" s="26" t="s">
        <v>3</v>
      </c>
      <c r="L88" s="26" t="s">
        <v>3</v>
      </c>
      <c r="M88" s="26" t="s">
        <v>3</v>
      </c>
      <c r="N88" s="26" t="s">
        <v>3</v>
      </c>
      <c r="O88" s="26" t="s">
        <v>3</v>
      </c>
      <c r="P88" s="27" t="s">
        <v>7</v>
      </c>
      <c r="Q88" s="24" t="s">
        <v>9</v>
      </c>
      <c r="R88" s="26" t="s">
        <v>3</v>
      </c>
      <c r="S88" s="26" t="s">
        <v>3</v>
      </c>
      <c r="T88" s="26" t="s">
        <v>3</v>
      </c>
      <c r="U88" s="26" t="s">
        <v>3</v>
      </c>
      <c r="V88" s="26" t="s">
        <v>3</v>
      </c>
      <c r="W88" s="23" t="s">
        <v>7</v>
      </c>
      <c r="X88" s="24" t="s">
        <v>9</v>
      </c>
      <c r="Y88" s="26" t="s">
        <v>3</v>
      </c>
      <c r="Z88" s="26" t="s">
        <v>3</v>
      </c>
      <c r="AA88" s="26" t="s">
        <v>3</v>
      </c>
      <c r="AB88" s="26" t="s">
        <v>3</v>
      </c>
      <c r="AC88" s="26" t="s">
        <v>3</v>
      </c>
      <c r="AD88" s="23" t="s">
        <v>7</v>
      </c>
      <c r="AE88" s="28" t="s">
        <v>11</v>
      </c>
      <c r="AF88" s="22" t="s">
        <v>5</v>
      </c>
      <c r="AG88" s="22" t="s">
        <v>5</v>
      </c>
      <c r="AH88" s="8">
        <f>COUNTIF(D88:AG88,"ON")</f>
        <v>20</v>
      </c>
      <c r="AI88" s="8">
        <f>COUNTIF(D88:AG88,"OFF")</f>
        <v>2</v>
      </c>
      <c r="AJ88" s="29">
        <f>COUNTIF(D88:AG88,"OT")</f>
        <v>1</v>
      </c>
      <c r="AK88" s="62">
        <v>1</v>
      </c>
      <c r="AL88" s="33">
        <f>AH88+AJ88+AK88*0.5</f>
        <v>21.5</v>
      </c>
      <c r="AM88" s="63">
        <f>NETWORKDAYS(DATE(2025,9,1),EOMONTH(DATE(2025,9,1),0))*8</f>
        <v>176</v>
      </c>
      <c r="AN88" s="63">
        <f>MAX(0,COUNTIF(H88,"ON")+COUNTIF(O88,"ON")+COUNTIF(V88,"ON")+COUNTIF(AC88,"ON")-AK88)</f>
        <v>3</v>
      </c>
      <c r="AO88" s="63">
        <f>AN88*$AO$2</f>
        <v>12</v>
      </c>
      <c r="AP88" s="53">
        <f>AL88-AO88/8</f>
        <v>20</v>
      </c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</row>
    <row r="89" spans="1:55" ht="22" customHeight="1" x14ac:dyDescent="0.35">
      <c r="A89" s="8" t="s">
        <v>201</v>
      </c>
      <c r="B89" s="8" t="s">
        <v>202</v>
      </c>
      <c r="C89" s="8" t="s">
        <v>194</v>
      </c>
      <c r="D89" s="22" t="s">
        <v>5</v>
      </c>
      <c r="E89" s="22" t="s">
        <v>5</v>
      </c>
      <c r="F89" s="22" t="s">
        <v>5</v>
      </c>
      <c r="G89" s="22" t="s">
        <v>5</v>
      </c>
      <c r="H89" s="22" t="s">
        <v>5</v>
      </c>
      <c r="I89" s="23" t="s">
        <v>7</v>
      </c>
      <c r="J89" s="24" t="s">
        <v>9</v>
      </c>
      <c r="K89" s="22" t="s">
        <v>5</v>
      </c>
      <c r="L89" s="22" t="s">
        <v>5</v>
      </c>
      <c r="M89" s="22" t="s">
        <v>5</v>
      </c>
      <c r="N89" s="22" t="s">
        <v>5</v>
      </c>
      <c r="O89" s="22" t="s">
        <v>5</v>
      </c>
      <c r="P89" s="23" t="s">
        <v>7</v>
      </c>
      <c r="Q89" s="24" t="s">
        <v>9</v>
      </c>
      <c r="R89" s="22" t="s">
        <v>5</v>
      </c>
      <c r="S89" s="22" t="s">
        <v>5</v>
      </c>
      <c r="T89" s="22" t="s">
        <v>5</v>
      </c>
      <c r="U89" s="22" t="s">
        <v>5</v>
      </c>
      <c r="V89" s="22" t="s">
        <v>5</v>
      </c>
      <c r="W89" s="23" t="s">
        <v>7</v>
      </c>
      <c r="X89" s="24" t="s">
        <v>9</v>
      </c>
      <c r="Y89" s="22" t="s">
        <v>5</v>
      </c>
      <c r="Z89" s="22" t="s">
        <v>5</v>
      </c>
      <c r="AA89" s="22" t="s">
        <v>5</v>
      </c>
      <c r="AB89" s="22" t="s">
        <v>5</v>
      </c>
      <c r="AC89" s="22" t="s">
        <v>5</v>
      </c>
      <c r="AD89" s="23" t="s">
        <v>7</v>
      </c>
      <c r="AE89" s="24" t="s">
        <v>9</v>
      </c>
      <c r="AF89" s="22" t="s">
        <v>5</v>
      </c>
      <c r="AG89" s="22" t="s">
        <v>5</v>
      </c>
      <c r="AH89" s="8">
        <f>COUNTIF(D89:AG89,"ON")</f>
        <v>0</v>
      </c>
      <c r="AI89" s="25">
        <f>COUNTIF(D89:AG89,"OFF")</f>
        <v>22</v>
      </c>
      <c r="AJ89" s="8">
        <f>COUNTIF(D89:AG89,"OT")</f>
        <v>0</v>
      </c>
      <c r="AK89" s="62">
        <v>0</v>
      </c>
      <c r="AL89" s="33">
        <f>AH89+AJ89+AK89*0.5</f>
        <v>0</v>
      </c>
      <c r="AM89" s="63">
        <f>NETWORKDAYS(DATE(2025,9,1),EOMONTH(DATE(2025,9,1),0))*8</f>
        <v>176</v>
      </c>
      <c r="AN89" s="63">
        <f>MAX(0,COUNTIF(H89,"ON")+COUNTIF(O89,"ON")+COUNTIF(V89,"ON")+COUNTIF(AC89,"ON")-AK89)</f>
        <v>0</v>
      </c>
      <c r="AO89" s="63">
        <f>AN89*$AO$2</f>
        <v>0</v>
      </c>
      <c r="AP89" s="53">
        <f>AL89-AO89/8</f>
        <v>0</v>
      </c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</row>
    <row r="90" spans="1:55" x14ac:dyDescent="0.35"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</row>
    <row r="91" spans="1:55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</row>
    <row r="92" spans="1:55" ht="22" customHeight="1" x14ac:dyDescent="0.35">
      <c r="A92" s="8" t="s">
        <v>204</v>
      </c>
      <c r="B92" s="8" t="s">
        <v>205</v>
      </c>
      <c r="C92" s="8" t="s">
        <v>206</v>
      </c>
      <c r="D92" s="26" t="s">
        <v>3</v>
      </c>
      <c r="E92" s="26" t="s">
        <v>3</v>
      </c>
      <c r="F92" s="26" t="s">
        <v>3</v>
      </c>
      <c r="G92" s="26" t="s">
        <v>3</v>
      </c>
      <c r="H92" s="26" t="s">
        <v>3</v>
      </c>
      <c r="I92" s="23" t="s">
        <v>7</v>
      </c>
      <c r="J92" s="24" t="s">
        <v>9</v>
      </c>
      <c r="K92" s="26" t="s">
        <v>3</v>
      </c>
      <c r="L92" s="26" t="s">
        <v>3</v>
      </c>
      <c r="M92" s="26" t="s">
        <v>3</v>
      </c>
      <c r="N92" s="26" t="s">
        <v>3</v>
      </c>
      <c r="O92" s="26" t="s">
        <v>3</v>
      </c>
      <c r="P92" s="23" t="s">
        <v>7</v>
      </c>
      <c r="Q92" s="24" t="s">
        <v>9</v>
      </c>
      <c r="R92" s="22" t="s">
        <v>5</v>
      </c>
      <c r="S92" s="22" t="s">
        <v>5</v>
      </c>
      <c r="T92" s="26" t="s">
        <v>3</v>
      </c>
      <c r="U92" s="26" t="s">
        <v>3</v>
      </c>
      <c r="V92" s="26" t="s">
        <v>3</v>
      </c>
      <c r="W92" s="23" t="s">
        <v>7</v>
      </c>
      <c r="X92" s="24" t="s">
        <v>9</v>
      </c>
      <c r="Y92" s="26" t="s">
        <v>3</v>
      </c>
      <c r="Z92" s="26" t="s">
        <v>3</v>
      </c>
      <c r="AA92" s="26" t="s">
        <v>3</v>
      </c>
      <c r="AB92" s="26" t="s">
        <v>3</v>
      </c>
      <c r="AC92" s="26" t="s">
        <v>3</v>
      </c>
      <c r="AD92" s="23" t="s">
        <v>7</v>
      </c>
      <c r="AE92" s="24" t="s">
        <v>9</v>
      </c>
      <c r="AF92" s="26" t="s">
        <v>3</v>
      </c>
      <c r="AG92" s="26" t="s">
        <v>3</v>
      </c>
      <c r="AH92" s="8">
        <f>COUNTIF(D92:AG92,"ON")</f>
        <v>20</v>
      </c>
      <c r="AI92" s="8">
        <f>COUNTIF(D92:AG92,"OFF")</f>
        <v>2</v>
      </c>
      <c r="AJ92" s="8">
        <f>COUNTIF(D92:AG92,"OT")</f>
        <v>0</v>
      </c>
      <c r="AK92" s="62">
        <v>0</v>
      </c>
      <c r="AL92" s="33">
        <f>AH92+AJ92+AK92*0.5</f>
        <v>20</v>
      </c>
      <c r="AM92" s="63">
        <f>NETWORKDAYS(DATE(2025,9,1),EOMONTH(DATE(2025,9,1),0))*8</f>
        <v>176</v>
      </c>
      <c r="AN92" s="63">
        <f>MAX(0,COUNTIF(H92,"ON")+COUNTIF(O92,"ON")+COUNTIF(V92,"ON")+COUNTIF(AC92,"ON")-AK92)</f>
        <v>4</v>
      </c>
      <c r="AO92" s="63">
        <f>AN92*$AO$2</f>
        <v>16</v>
      </c>
      <c r="AP92" s="53">
        <f>AL92-AO92/8</f>
        <v>18</v>
      </c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</row>
    <row r="93" spans="1:55" ht="22" customHeight="1" x14ac:dyDescent="0.35">
      <c r="A93" s="8" t="s">
        <v>207</v>
      </c>
      <c r="B93" s="8" t="s">
        <v>208</v>
      </c>
      <c r="C93" s="8" t="s">
        <v>206</v>
      </c>
      <c r="D93" s="26" t="s">
        <v>3</v>
      </c>
      <c r="E93" s="26" t="s">
        <v>3</v>
      </c>
      <c r="F93" s="26" t="s">
        <v>3</v>
      </c>
      <c r="G93" s="26" t="s">
        <v>3</v>
      </c>
      <c r="H93" s="26" t="s">
        <v>3</v>
      </c>
      <c r="I93" s="23" t="s">
        <v>7</v>
      </c>
      <c r="J93" s="24" t="s">
        <v>9</v>
      </c>
      <c r="K93" s="26" t="s">
        <v>3</v>
      </c>
      <c r="L93" s="26" t="s">
        <v>3</v>
      </c>
      <c r="M93" s="26" t="s">
        <v>3</v>
      </c>
      <c r="N93" s="26" t="s">
        <v>3</v>
      </c>
      <c r="O93" s="26" t="s">
        <v>3</v>
      </c>
      <c r="P93" s="23" t="s">
        <v>7</v>
      </c>
      <c r="Q93" s="24" t="s">
        <v>9</v>
      </c>
      <c r="R93" s="22" t="s">
        <v>5</v>
      </c>
      <c r="S93" s="22" t="s">
        <v>5</v>
      </c>
      <c r="T93" s="22" t="s">
        <v>5</v>
      </c>
      <c r="U93" s="22" t="s">
        <v>5</v>
      </c>
      <c r="V93" s="22" t="s">
        <v>5</v>
      </c>
      <c r="W93" s="23" t="s">
        <v>7</v>
      </c>
      <c r="X93" s="24" t="s">
        <v>9</v>
      </c>
      <c r="Y93" s="22" t="s">
        <v>5</v>
      </c>
      <c r="Z93" s="22" t="s">
        <v>5</v>
      </c>
      <c r="AA93" s="22" t="s">
        <v>5</v>
      </c>
      <c r="AB93" s="22" t="s">
        <v>5</v>
      </c>
      <c r="AC93" s="22" t="s">
        <v>5</v>
      </c>
      <c r="AD93" s="23" t="s">
        <v>7</v>
      </c>
      <c r="AE93" s="24" t="s">
        <v>9</v>
      </c>
      <c r="AF93" s="22" t="s">
        <v>5</v>
      </c>
      <c r="AG93" s="22" t="s">
        <v>5</v>
      </c>
      <c r="AH93" s="8">
        <f>COUNTIF(D93:AG93,"ON")</f>
        <v>10</v>
      </c>
      <c r="AI93" s="25">
        <f>COUNTIF(D93:AG93,"OFF")</f>
        <v>12</v>
      </c>
      <c r="AJ93" s="8">
        <f>COUNTIF(D93:AG93,"OT")</f>
        <v>0</v>
      </c>
      <c r="AK93" s="62">
        <v>0</v>
      </c>
      <c r="AL93" s="33">
        <f>AH93+AJ93+AK93*0.5</f>
        <v>10</v>
      </c>
      <c r="AM93" s="63">
        <f>NETWORKDAYS(DATE(2025,9,1),EOMONTH(DATE(2025,9,1),0))*8</f>
        <v>176</v>
      </c>
      <c r="AN93" s="63">
        <f>MAX(0,COUNTIF(H93,"ON")+COUNTIF(O93,"ON")+COUNTIF(V93,"ON")+COUNTIF(AC93,"ON")-AK93)</f>
        <v>2</v>
      </c>
      <c r="AO93" s="63">
        <f>AN93*$AO$2</f>
        <v>8</v>
      </c>
      <c r="AP93" s="53">
        <f>AL93-AO93/8</f>
        <v>9</v>
      </c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</row>
    <row r="94" spans="1:55" ht="22" customHeight="1" x14ac:dyDescent="0.35">
      <c r="A94" s="8" t="s">
        <v>209</v>
      </c>
      <c r="B94" s="8" t="s">
        <v>210</v>
      </c>
      <c r="C94" s="8" t="s">
        <v>206</v>
      </c>
      <c r="D94" s="22" t="s">
        <v>5</v>
      </c>
      <c r="E94" s="22" t="s">
        <v>5</v>
      </c>
      <c r="F94" s="22" t="s">
        <v>5</v>
      </c>
      <c r="G94" s="22" t="s">
        <v>5</v>
      </c>
      <c r="H94" s="22" t="s">
        <v>5</v>
      </c>
      <c r="I94" s="23" t="s">
        <v>7</v>
      </c>
      <c r="J94" s="24" t="s">
        <v>9</v>
      </c>
      <c r="K94" s="22" t="s">
        <v>5</v>
      </c>
      <c r="L94" s="26" t="s">
        <v>3</v>
      </c>
      <c r="M94" s="26" t="s">
        <v>3</v>
      </c>
      <c r="N94" s="26" t="s">
        <v>3</v>
      </c>
      <c r="O94" s="26" t="s">
        <v>3</v>
      </c>
      <c r="P94" s="27" t="s">
        <v>7</v>
      </c>
      <c r="Q94" s="24" t="s">
        <v>9</v>
      </c>
      <c r="R94" s="26" t="s">
        <v>3</v>
      </c>
      <c r="S94" s="26" t="s">
        <v>3</v>
      </c>
      <c r="T94" s="26" t="s">
        <v>3</v>
      </c>
      <c r="U94" s="26" t="s">
        <v>3</v>
      </c>
      <c r="V94" s="26" t="s">
        <v>3</v>
      </c>
      <c r="W94" s="23" t="s">
        <v>7</v>
      </c>
      <c r="X94" s="24" t="s">
        <v>9</v>
      </c>
      <c r="Y94" s="26" t="s">
        <v>3</v>
      </c>
      <c r="Z94" s="26" t="s">
        <v>3</v>
      </c>
      <c r="AA94" s="26" t="s">
        <v>3</v>
      </c>
      <c r="AB94" s="26" t="s">
        <v>3</v>
      </c>
      <c r="AC94" s="26" t="s">
        <v>3</v>
      </c>
      <c r="AD94" s="27" t="s">
        <v>7</v>
      </c>
      <c r="AE94" s="24" t="s">
        <v>9</v>
      </c>
      <c r="AF94" s="26" t="s">
        <v>3</v>
      </c>
      <c r="AG94" s="26" t="s">
        <v>3</v>
      </c>
      <c r="AH94" s="8">
        <f>COUNTIF(D94:AG94,"ON")</f>
        <v>16</v>
      </c>
      <c r="AI94" s="8">
        <f>COUNTIF(D94:AG94,"OFF")</f>
        <v>6</v>
      </c>
      <c r="AJ94" s="8">
        <f>COUNTIF(D94:AG94,"OT")</f>
        <v>0</v>
      </c>
      <c r="AK94" s="62">
        <v>2</v>
      </c>
      <c r="AL94" s="33">
        <f>AH94+AJ94+AK94*0.5</f>
        <v>17</v>
      </c>
      <c r="AM94" s="63">
        <f>NETWORKDAYS(DATE(2025,9,1),EOMONTH(DATE(2025,9,1),0))*8</f>
        <v>176</v>
      </c>
      <c r="AN94" s="63">
        <f>MAX(0,COUNTIF(H94,"ON")+COUNTIF(O94,"ON")+COUNTIF(V94,"ON")+COUNTIF(AC94,"ON")-AK94)</f>
        <v>1</v>
      </c>
      <c r="AO94" s="63">
        <f>AN94*$AO$2</f>
        <v>4</v>
      </c>
      <c r="AP94" s="53">
        <f>AL94-AO94/8</f>
        <v>16.5</v>
      </c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</row>
    <row r="95" spans="1:55" ht="22" customHeight="1" x14ac:dyDescent="0.35">
      <c r="A95" s="8" t="s">
        <v>211</v>
      </c>
      <c r="B95" s="8" t="s">
        <v>212</v>
      </c>
      <c r="C95" s="8" t="s">
        <v>206</v>
      </c>
      <c r="D95" s="26" t="s">
        <v>3</v>
      </c>
      <c r="E95" s="26" t="s">
        <v>3</v>
      </c>
      <c r="F95" s="26" t="s">
        <v>3</v>
      </c>
      <c r="G95" s="26" t="s">
        <v>3</v>
      </c>
      <c r="H95" s="26" t="s">
        <v>3</v>
      </c>
      <c r="I95" s="27" t="s">
        <v>7</v>
      </c>
      <c r="J95" s="24" t="s">
        <v>9</v>
      </c>
      <c r="K95" s="26" t="s">
        <v>3</v>
      </c>
      <c r="L95" s="26" t="s">
        <v>3</v>
      </c>
      <c r="M95" s="26" t="s">
        <v>3</v>
      </c>
      <c r="N95" s="26" t="s">
        <v>3</v>
      </c>
      <c r="O95" s="26" t="s">
        <v>3</v>
      </c>
      <c r="P95" s="23" t="s">
        <v>7</v>
      </c>
      <c r="Q95" s="24" t="s">
        <v>9</v>
      </c>
      <c r="R95" s="26" t="s">
        <v>3</v>
      </c>
      <c r="S95" s="26" t="s">
        <v>3</v>
      </c>
      <c r="T95" s="26" t="s">
        <v>3</v>
      </c>
      <c r="U95" s="26" t="s">
        <v>3</v>
      </c>
      <c r="V95" s="26" t="s">
        <v>3</v>
      </c>
      <c r="W95" s="27" t="s">
        <v>7</v>
      </c>
      <c r="X95" s="24" t="s">
        <v>9</v>
      </c>
      <c r="Y95" s="26" t="s">
        <v>3</v>
      </c>
      <c r="Z95" s="26" t="s">
        <v>3</v>
      </c>
      <c r="AA95" s="26" t="s">
        <v>3</v>
      </c>
      <c r="AB95" s="26" t="s">
        <v>3</v>
      </c>
      <c r="AC95" s="26" t="s">
        <v>3</v>
      </c>
      <c r="AD95" s="23" t="s">
        <v>7</v>
      </c>
      <c r="AE95" s="24" t="s">
        <v>9</v>
      </c>
      <c r="AF95" s="26" t="s">
        <v>3</v>
      </c>
      <c r="AG95" s="26" t="s">
        <v>3</v>
      </c>
      <c r="AH95" s="8">
        <f>COUNTIF(D95:AG95,"ON")</f>
        <v>22</v>
      </c>
      <c r="AI95" s="8">
        <f>COUNTIF(D95:AG95,"OFF")</f>
        <v>0</v>
      </c>
      <c r="AJ95" s="8">
        <f>COUNTIF(D95:AG95,"OT")</f>
        <v>0</v>
      </c>
      <c r="AK95" s="62">
        <v>2</v>
      </c>
      <c r="AL95" s="33">
        <f>AH95+AJ95+AK95*0.5</f>
        <v>23</v>
      </c>
      <c r="AM95" s="63">
        <f>NETWORKDAYS(DATE(2025,9,1),EOMONTH(DATE(2025,9,1),0))*8</f>
        <v>176</v>
      </c>
      <c r="AN95" s="63">
        <f>MAX(0,COUNTIF(H95,"ON")+COUNTIF(O95,"ON")+COUNTIF(V95,"ON")+COUNTIF(AC95,"ON")-AK95)</f>
        <v>2</v>
      </c>
      <c r="AO95" s="63">
        <f>AN95*$AO$2</f>
        <v>8</v>
      </c>
      <c r="AP95" s="53">
        <f>AL95-AO95/8</f>
        <v>22</v>
      </c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</row>
    <row r="96" spans="1:55" x14ac:dyDescent="0.35"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</row>
    <row r="97" spans="1:55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</row>
    <row r="98" spans="1:55" ht="22" customHeight="1" x14ac:dyDescent="0.35">
      <c r="A98" s="8" t="s">
        <v>214</v>
      </c>
      <c r="B98" s="8" t="s">
        <v>215</v>
      </c>
      <c r="C98" s="8" t="s">
        <v>216</v>
      </c>
      <c r="D98" s="26" t="s">
        <v>3</v>
      </c>
      <c r="E98" s="26" t="s">
        <v>3</v>
      </c>
      <c r="F98" s="26" t="s">
        <v>3</v>
      </c>
      <c r="G98" s="26" t="s">
        <v>3</v>
      </c>
      <c r="H98" s="26" t="s">
        <v>3</v>
      </c>
      <c r="I98" s="27" t="s">
        <v>7</v>
      </c>
      <c r="J98" s="24" t="s">
        <v>9</v>
      </c>
      <c r="K98" s="26" t="s">
        <v>3</v>
      </c>
      <c r="L98" s="26" t="s">
        <v>3</v>
      </c>
      <c r="M98" s="26" t="s">
        <v>3</v>
      </c>
      <c r="N98" s="26" t="s">
        <v>3</v>
      </c>
      <c r="O98" s="26" t="s">
        <v>3</v>
      </c>
      <c r="P98" s="23" t="s">
        <v>7</v>
      </c>
      <c r="Q98" s="24" t="s">
        <v>9</v>
      </c>
      <c r="R98" s="26" t="s">
        <v>3</v>
      </c>
      <c r="S98" s="26" t="s">
        <v>3</v>
      </c>
      <c r="T98" s="26" t="s">
        <v>3</v>
      </c>
      <c r="U98" s="26" t="s">
        <v>3</v>
      </c>
      <c r="V98" s="26" t="s">
        <v>3</v>
      </c>
      <c r="W98" s="23" t="s">
        <v>7</v>
      </c>
      <c r="X98" s="28" t="s">
        <v>11</v>
      </c>
      <c r="Y98" s="26" t="s">
        <v>3</v>
      </c>
      <c r="Z98" s="26" t="s">
        <v>3</v>
      </c>
      <c r="AA98" s="26" t="s">
        <v>3</v>
      </c>
      <c r="AB98" s="26" t="s">
        <v>3</v>
      </c>
      <c r="AC98" s="26" t="s">
        <v>3</v>
      </c>
      <c r="AD98" s="23" t="s">
        <v>7</v>
      </c>
      <c r="AE98" s="24" t="s">
        <v>9</v>
      </c>
      <c r="AF98" s="26" t="s">
        <v>3</v>
      </c>
      <c r="AG98" s="26" t="s">
        <v>3</v>
      </c>
      <c r="AH98" s="8">
        <f t="shared" ref="AH98:AH111" si="32">COUNTIF(D98:AG98,"ON")</f>
        <v>22</v>
      </c>
      <c r="AI98" s="8">
        <f t="shared" ref="AI98:AI111" si="33">COUNTIF(D98:AG98,"OFF")</f>
        <v>0</v>
      </c>
      <c r="AJ98" s="29">
        <f t="shared" ref="AJ98:AJ111" si="34">COUNTIF(D98:AG98,"OT")</f>
        <v>1</v>
      </c>
      <c r="AK98" s="62">
        <v>1</v>
      </c>
      <c r="AL98" s="33">
        <f t="shared" ref="AL98:AL111" si="35">AH98+AJ98+AK98*0.5</f>
        <v>23.5</v>
      </c>
      <c r="AM98" s="63">
        <f t="shared" ref="AM98:AM111" si="36">NETWORKDAYS(DATE(2025,9,1),EOMONTH(DATE(2025,9,1),0))*8</f>
        <v>176</v>
      </c>
      <c r="AN98" s="63">
        <f t="shared" ref="AN98:AN111" si="37">MAX(0,COUNTIF(H98,"ON")+COUNTIF(O98,"ON")+COUNTIF(V98,"ON")+COUNTIF(AC98,"ON")-AK98)</f>
        <v>3</v>
      </c>
      <c r="AO98" s="63">
        <f t="shared" ref="AO98:AO111" si="38">AN98*$AO$2</f>
        <v>12</v>
      </c>
      <c r="AP98" s="53">
        <f t="shared" ref="AP98:AP111" si="39">AL98-AO98/8</f>
        <v>22</v>
      </c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</row>
    <row r="99" spans="1:55" ht="22" customHeight="1" x14ac:dyDescent="0.35">
      <c r="A99" s="8" t="s">
        <v>217</v>
      </c>
      <c r="B99" s="8" t="s">
        <v>218</v>
      </c>
      <c r="C99" s="8" t="s">
        <v>216</v>
      </c>
      <c r="D99" s="22" t="s">
        <v>5</v>
      </c>
      <c r="E99" s="22" t="s">
        <v>5</v>
      </c>
      <c r="F99" s="26" t="s">
        <v>3</v>
      </c>
      <c r="G99" s="26" t="s">
        <v>3</v>
      </c>
      <c r="H99" s="26" t="s">
        <v>3</v>
      </c>
      <c r="I99" s="23" t="s">
        <v>7</v>
      </c>
      <c r="J99" s="28" t="s">
        <v>11</v>
      </c>
      <c r="K99" s="26" t="s">
        <v>3</v>
      </c>
      <c r="L99" s="26" t="s">
        <v>3</v>
      </c>
      <c r="M99" s="22" t="s">
        <v>5</v>
      </c>
      <c r="N99" s="26" t="s">
        <v>3</v>
      </c>
      <c r="O99" s="26" t="s">
        <v>3</v>
      </c>
      <c r="P99" s="27" t="s">
        <v>7</v>
      </c>
      <c r="Q99" s="24" t="s">
        <v>9</v>
      </c>
      <c r="R99" s="26" t="s">
        <v>3</v>
      </c>
      <c r="S99" s="26" t="s">
        <v>3</v>
      </c>
      <c r="T99" s="26" t="s">
        <v>3</v>
      </c>
      <c r="U99" s="26" t="s">
        <v>3</v>
      </c>
      <c r="V99" s="26" t="s">
        <v>3</v>
      </c>
      <c r="W99" s="27" t="s">
        <v>7</v>
      </c>
      <c r="X99" s="28" t="s">
        <v>11</v>
      </c>
      <c r="Y99" s="26" t="s">
        <v>3</v>
      </c>
      <c r="Z99" s="26" t="s">
        <v>3</v>
      </c>
      <c r="AA99" s="26" t="s">
        <v>3</v>
      </c>
      <c r="AB99" s="26" t="s">
        <v>3</v>
      </c>
      <c r="AC99" s="26" t="s">
        <v>3</v>
      </c>
      <c r="AD99" s="23" t="s">
        <v>7</v>
      </c>
      <c r="AE99" s="24" t="s">
        <v>9</v>
      </c>
      <c r="AF99" s="26" t="s">
        <v>3</v>
      </c>
      <c r="AG99" s="26" t="s">
        <v>3</v>
      </c>
      <c r="AH99" s="8">
        <f t="shared" si="32"/>
        <v>19</v>
      </c>
      <c r="AI99" s="8">
        <f t="shared" si="33"/>
        <v>3</v>
      </c>
      <c r="AJ99" s="29">
        <f t="shared" si="34"/>
        <v>2</v>
      </c>
      <c r="AK99" s="62">
        <v>2</v>
      </c>
      <c r="AL99" s="33">
        <f t="shared" si="35"/>
        <v>22</v>
      </c>
      <c r="AM99" s="63">
        <f t="shared" si="36"/>
        <v>176</v>
      </c>
      <c r="AN99" s="63">
        <f t="shared" si="37"/>
        <v>2</v>
      </c>
      <c r="AO99" s="63">
        <f t="shared" si="38"/>
        <v>8</v>
      </c>
      <c r="AP99" s="53">
        <f t="shared" si="39"/>
        <v>21</v>
      </c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</row>
    <row r="100" spans="1:55" ht="22" customHeight="1" x14ac:dyDescent="0.35">
      <c r="A100" s="8" t="s">
        <v>219</v>
      </c>
      <c r="B100" s="8" t="s">
        <v>220</v>
      </c>
      <c r="C100" s="8" t="s">
        <v>216</v>
      </c>
      <c r="D100" s="22" t="s">
        <v>5</v>
      </c>
      <c r="E100" s="22" t="s">
        <v>5</v>
      </c>
      <c r="F100" s="22" t="s">
        <v>5</v>
      </c>
      <c r="G100" s="22" t="s">
        <v>5</v>
      </c>
      <c r="H100" s="22" t="s">
        <v>5</v>
      </c>
      <c r="I100" s="23" t="s">
        <v>7</v>
      </c>
      <c r="J100" s="24" t="s">
        <v>9</v>
      </c>
      <c r="K100" s="22" t="s">
        <v>5</v>
      </c>
      <c r="L100" s="22" t="s">
        <v>5</v>
      </c>
      <c r="M100" s="22" t="s">
        <v>5</v>
      </c>
      <c r="N100" s="22" t="s">
        <v>5</v>
      </c>
      <c r="O100" s="22" t="s">
        <v>5</v>
      </c>
      <c r="P100" s="23" t="s">
        <v>7</v>
      </c>
      <c r="Q100" s="24" t="s">
        <v>9</v>
      </c>
      <c r="R100" s="22" t="s">
        <v>5</v>
      </c>
      <c r="S100" s="22" t="s">
        <v>5</v>
      </c>
      <c r="T100" s="22" t="s">
        <v>5</v>
      </c>
      <c r="U100" s="22" t="s">
        <v>5</v>
      </c>
      <c r="V100" s="22" t="s">
        <v>5</v>
      </c>
      <c r="W100" s="23" t="s">
        <v>7</v>
      </c>
      <c r="X100" s="24" t="s">
        <v>9</v>
      </c>
      <c r="Y100" s="26" t="s">
        <v>3</v>
      </c>
      <c r="Z100" s="26" t="s">
        <v>3</v>
      </c>
      <c r="AA100" s="26" t="s">
        <v>3</v>
      </c>
      <c r="AB100" s="26" t="s">
        <v>3</v>
      </c>
      <c r="AC100" s="26" t="s">
        <v>3</v>
      </c>
      <c r="AD100" s="23" t="s">
        <v>7</v>
      </c>
      <c r="AE100" s="24" t="s">
        <v>9</v>
      </c>
      <c r="AF100" s="22" t="s">
        <v>5</v>
      </c>
      <c r="AG100" s="26" t="s">
        <v>3</v>
      </c>
      <c r="AH100" s="8">
        <f t="shared" si="32"/>
        <v>6</v>
      </c>
      <c r="AI100" s="25">
        <f t="shared" si="33"/>
        <v>16</v>
      </c>
      <c r="AJ100" s="8">
        <f t="shared" si="34"/>
        <v>0</v>
      </c>
      <c r="AK100" s="62">
        <v>0</v>
      </c>
      <c r="AL100" s="33">
        <f t="shared" si="35"/>
        <v>6</v>
      </c>
      <c r="AM100" s="63">
        <f t="shared" si="36"/>
        <v>176</v>
      </c>
      <c r="AN100" s="63">
        <f t="shared" si="37"/>
        <v>1</v>
      </c>
      <c r="AO100" s="63">
        <f t="shared" si="38"/>
        <v>4</v>
      </c>
      <c r="AP100" s="53">
        <f t="shared" si="39"/>
        <v>5.5</v>
      </c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</row>
    <row r="101" spans="1:55" ht="22" customHeight="1" x14ac:dyDescent="0.35">
      <c r="A101" s="8" t="s">
        <v>221</v>
      </c>
      <c r="B101" s="8" t="s">
        <v>222</v>
      </c>
      <c r="C101" s="8" t="s">
        <v>216</v>
      </c>
      <c r="D101" s="26" t="s">
        <v>3</v>
      </c>
      <c r="E101" s="26" t="s">
        <v>3</v>
      </c>
      <c r="F101" s="26" t="s">
        <v>3</v>
      </c>
      <c r="G101" s="26" t="s">
        <v>3</v>
      </c>
      <c r="H101" s="26" t="s">
        <v>3</v>
      </c>
      <c r="I101" s="23" t="s">
        <v>7</v>
      </c>
      <c r="J101" s="24" t="s">
        <v>9</v>
      </c>
      <c r="K101" s="26" t="s">
        <v>3</v>
      </c>
      <c r="L101" s="26" t="s">
        <v>3</v>
      </c>
      <c r="M101" s="26" t="s">
        <v>3</v>
      </c>
      <c r="N101" s="26" t="s">
        <v>3</v>
      </c>
      <c r="O101" s="26" t="s">
        <v>3</v>
      </c>
      <c r="P101" s="23" t="s">
        <v>7</v>
      </c>
      <c r="Q101" s="24" t="s">
        <v>9</v>
      </c>
      <c r="R101" s="26" t="s">
        <v>3</v>
      </c>
      <c r="S101" s="26" t="s">
        <v>3</v>
      </c>
      <c r="T101" s="26" t="s">
        <v>3</v>
      </c>
      <c r="U101" s="26" t="s">
        <v>3</v>
      </c>
      <c r="V101" s="26" t="s">
        <v>3</v>
      </c>
      <c r="W101" s="23" t="s">
        <v>7</v>
      </c>
      <c r="X101" s="28" t="s">
        <v>11</v>
      </c>
      <c r="Y101" s="26" t="s">
        <v>3</v>
      </c>
      <c r="Z101" s="26" t="s">
        <v>3</v>
      </c>
      <c r="AA101" s="26" t="s">
        <v>3</v>
      </c>
      <c r="AB101" s="26" t="s">
        <v>3</v>
      </c>
      <c r="AC101" s="26" t="s">
        <v>3</v>
      </c>
      <c r="AD101" s="23" t="s">
        <v>7</v>
      </c>
      <c r="AE101" s="24" t="s">
        <v>9</v>
      </c>
      <c r="AF101" s="26" t="s">
        <v>3</v>
      </c>
      <c r="AG101" s="26" t="s">
        <v>3</v>
      </c>
      <c r="AH101" s="8">
        <f t="shared" si="32"/>
        <v>22</v>
      </c>
      <c r="AI101" s="8">
        <f t="shared" si="33"/>
        <v>0</v>
      </c>
      <c r="AJ101" s="29">
        <f t="shared" si="34"/>
        <v>1</v>
      </c>
      <c r="AK101" s="62">
        <v>0</v>
      </c>
      <c r="AL101" s="33">
        <f t="shared" si="35"/>
        <v>23</v>
      </c>
      <c r="AM101" s="63">
        <f t="shared" si="36"/>
        <v>176</v>
      </c>
      <c r="AN101" s="63">
        <f t="shared" si="37"/>
        <v>4</v>
      </c>
      <c r="AO101" s="63">
        <f t="shared" si="38"/>
        <v>16</v>
      </c>
      <c r="AP101" s="53">
        <f t="shared" si="39"/>
        <v>21</v>
      </c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</row>
    <row r="102" spans="1:55" ht="22" customHeight="1" x14ac:dyDescent="0.35">
      <c r="A102" s="8" t="s">
        <v>223</v>
      </c>
      <c r="B102" s="8" t="s">
        <v>224</v>
      </c>
      <c r="C102" s="8" t="s">
        <v>216</v>
      </c>
      <c r="D102" s="22" t="s">
        <v>5</v>
      </c>
      <c r="E102" s="26" t="s">
        <v>3</v>
      </c>
      <c r="F102" s="26" t="s">
        <v>3</v>
      </c>
      <c r="G102" s="26" t="s">
        <v>3</v>
      </c>
      <c r="H102" s="26" t="s">
        <v>3</v>
      </c>
      <c r="I102" s="27" t="s">
        <v>7</v>
      </c>
      <c r="J102" s="24" t="s">
        <v>9</v>
      </c>
      <c r="K102" s="26" t="s">
        <v>3</v>
      </c>
      <c r="L102" s="26" t="s">
        <v>3</v>
      </c>
      <c r="M102" s="26" t="s">
        <v>3</v>
      </c>
      <c r="N102" s="26" t="s">
        <v>3</v>
      </c>
      <c r="O102" s="26" t="s">
        <v>3</v>
      </c>
      <c r="P102" s="23" t="s">
        <v>7</v>
      </c>
      <c r="Q102" s="24" t="s">
        <v>9</v>
      </c>
      <c r="R102" s="26" t="s">
        <v>3</v>
      </c>
      <c r="S102" s="26" t="s">
        <v>3</v>
      </c>
      <c r="T102" s="26" t="s">
        <v>3</v>
      </c>
      <c r="U102" s="26" t="s">
        <v>3</v>
      </c>
      <c r="V102" s="26" t="s">
        <v>3</v>
      </c>
      <c r="W102" s="27" t="s">
        <v>7</v>
      </c>
      <c r="X102" s="24" t="s">
        <v>9</v>
      </c>
      <c r="Y102" s="26" t="s">
        <v>3</v>
      </c>
      <c r="Z102" s="26" t="s">
        <v>3</v>
      </c>
      <c r="AA102" s="26" t="s">
        <v>3</v>
      </c>
      <c r="AB102" s="26" t="s">
        <v>3</v>
      </c>
      <c r="AC102" s="26" t="s">
        <v>3</v>
      </c>
      <c r="AD102" s="23" t="s">
        <v>7</v>
      </c>
      <c r="AE102" s="24" t="s">
        <v>9</v>
      </c>
      <c r="AF102" s="22" t="s">
        <v>5</v>
      </c>
      <c r="AG102" s="26" t="s">
        <v>3</v>
      </c>
      <c r="AH102" s="8">
        <f t="shared" si="32"/>
        <v>20</v>
      </c>
      <c r="AI102" s="8">
        <f t="shared" si="33"/>
        <v>2</v>
      </c>
      <c r="AJ102" s="8">
        <f t="shared" si="34"/>
        <v>0</v>
      </c>
      <c r="AK102" s="62">
        <v>2</v>
      </c>
      <c r="AL102" s="33">
        <f t="shared" si="35"/>
        <v>21</v>
      </c>
      <c r="AM102" s="63">
        <f t="shared" si="36"/>
        <v>176</v>
      </c>
      <c r="AN102" s="63">
        <f t="shared" si="37"/>
        <v>2</v>
      </c>
      <c r="AO102" s="63">
        <f t="shared" si="38"/>
        <v>8</v>
      </c>
      <c r="AP102" s="53">
        <f t="shared" si="39"/>
        <v>20</v>
      </c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</row>
    <row r="103" spans="1:55" ht="22" customHeight="1" x14ac:dyDescent="0.35">
      <c r="A103" s="8" t="s">
        <v>225</v>
      </c>
      <c r="B103" s="8" t="s">
        <v>226</v>
      </c>
      <c r="C103" s="8" t="s">
        <v>216</v>
      </c>
      <c r="D103" s="26" t="s">
        <v>3</v>
      </c>
      <c r="E103" s="26" t="s">
        <v>3</v>
      </c>
      <c r="F103" s="26" t="s">
        <v>3</v>
      </c>
      <c r="G103" s="26" t="s">
        <v>3</v>
      </c>
      <c r="H103" s="26" t="s">
        <v>3</v>
      </c>
      <c r="I103" s="27" t="s">
        <v>7</v>
      </c>
      <c r="J103" s="24" t="s">
        <v>9</v>
      </c>
      <c r="K103" s="26" t="s">
        <v>3</v>
      </c>
      <c r="L103" s="26" t="s">
        <v>3</v>
      </c>
      <c r="M103" s="26" t="s">
        <v>3</v>
      </c>
      <c r="N103" s="26" t="s">
        <v>3</v>
      </c>
      <c r="O103" s="26" t="s">
        <v>3</v>
      </c>
      <c r="P103" s="23" t="s">
        <v>7</v>
      </c>
      <c r="Q103" s="24" t="s">
        <v>9</v>
      </c>
      <c r="R103" s="26" t="s">
        <v>3</v>
      </c>
      <c r="S103" s="26" t="s">
        <v>3</v>
      </c>
      <c r="T103" s="26" t="s">
        <v>3</v>
      </c>
      <c r="U103" s="26" t="s">
        <v>3</v>
      </c>
      <c r="V103" s="26" t="s">
        <v>3</v>
      </c>
      <c r="W103" s="23" t="s">
        <v>7</v>
      </c>
      <c r="X103" s="28" t="s">
        <v>11</v>
      </c>
      <c r="Y103" s="26" t="s">
        <v>3</v>
      </c>
      <c r="Z103" s="26" t="s">
        <v>3</v>
      </c>
      <c r="AA103" s="26" t="s">
        <v>3</v>
      </c>
      <c r="AB103" s="26" t="s">
        <v>3</v>
      </c>
      <c r="AC103" s="26" t="s">
        <v>3</v>
      </c>
      <c r="AD103" s="23" t="s">
        <v>7</v>
      </c>
      <c r="AE103" s="24" t="s">
        <v>9</v>
      </c>
      <c r="AF103" s="22" t="s">
        <v>5</v>
      </c>
      <c r="AG103" s="26" t="s">
        <v>3</v>
      </c>
      <c r="AH103" s="8">
        <f t="shared" si="32"/>
        <v>21</v>
      </c>
      <c r="AI103" s="8">
        <f t="shared" si="33"/>
        <v>1</v>
      </c>
      <c r="AJ103" s="29">
        <f t="shared" si="34"/>
        <v>1</v>
      </c>
      <c r="AK103" s="62">
        <v>1</v>
      </c>
      <c r="AL103" s="33">
        <f t="shared" si="35"/>
        <v>22.5</v>
      </c>
      <c r="AM103" s="63">
        <f t="shared" si="36"/>
        <v>176</v>
      </c>
      <c r="AN103" s="63">
        <f t="shared" si="37"/>
        <v>3</v>
      </c>
      <c r="AO103" s="63">
        <f t="shared" si="38"/>
        <v>12</v>
      </c>
      <c r="AP103" s="53">
        <f t="shared" si="39"/>
        <v>21</v>
      </c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</row>
    <row r="104" spans="1:55" ht="22" customHeight="1" x14ac:dyDescent="0.35">
      <c r="A104" s="8" t="s">
        <v>227</v>
      </c>
      <c r="B104" s="8" t="s">
        <v>228</v>
      </c>
      <c r="C104" s="8" t="s">
        <v>216</v>
      </c>
      <c r="D104" s="26" t="s">
        <v>3</v>
      </c>
      <c r="E104" s="26" t="s">
        <v>3</v>
      </c>
      <c r="F104" s="26" t="s">
        <v>3</v>
      </c>
      <c r="G104" s="26" t="s">
        <v>3</v>
      </c>
      <c r="H104" s="26" t="s">
        <v>3</v>
      </c>
      <c r="I104" s="23" t="s">
        <v>7</v>
      </c>
      <c r="J104" s="24" t="s">
        <v>9</v>
      </c>
      <c r="K104" s="26" t="s">
        <v>3</v>
      </c>
      <c r="L104" s="26" t="s">
        <v>3</v>
      </c>
      <c r="M104" s="26" t="s">
        <v>3</v>
      </c>
      <c r="N104" s="26" t="s">
        <v>3</v>
      </c>
      <c r="O104" s="26" t="s">
        <v>3</v>
      </c>
      <c r="P104" s="23" t="s">
        <v>7</v>
      </c>
      <c r="Q104" s="24" t="s">
        <v>9</v>
      </c>
      <c r="R104" s="26" t="s">
        <v>3</v>
      </c>
      <c r="S104" s="26" t="s">
        <v>3</v>
      </c>
      <c r="T104" s="26" t="s">
        <v>3</v>
      </c>
      <c r="U104" s="26" t="s">
        <v>3</v>
      </c>
      <c r="V104" s="26" t="s">
        <v>3</v>
      </c>
      <c r="W104" s="23" t="s">
        <v>7</v>
      </c>
      <c r="X104" s="28" t="s">
        <v>11</v>
      </c>
      <c r="Y104" s="26" t="s">
        <v>3</v>
      </c>
      <c r="Z104" s="26" t="s">
        <v>3</v>
      </c>
      <c r="AA104" s="26" t="s">
        <v>3</v>
      </c>
      <c r="AB104" s="26" t="s">
        <v>3</v>
      </c>
      <c r="AC104" s="26" t="s">
        <v>3</v>
      </c>
      <c r="AD104" s="23" t="s">
        <v>7</v>
      </c>
      <c r="AE104" s="24" t="s">
        <v>9</v>
      </c>
      <c r="AF104" s="26" t="s">
        <v>3</v>
      </c>
      <c r="AG104" s="26" t="s">
        <v>3</v>
      </c>
      <c r="AH104" s="8">
        <f t="shared" si="32"/>
        <v>22</v>
      </c>
      <c r="AI104" s="8">
        <f t="shared" si="33"/>
        <v>0</v>
      </c>
      <c r="AJ104" s="29">
        <f t="shared" si="34"/>
        <v>1</v>
      </c>
      <c r="AK104" s="62">
        <v>0</v>
      </c>
      <c r="AL104" s="33">
        <f t="shared" si="35"/>
        <v>23</v>
      </c>
      <c r="AM104" s="63">
        <f t="shared" si="36"/>
        <v>176</v>
      </c>
      <c r="AN104" s="63">
        <f t="shared" si="37"/>
        <v>4</v>
      </c>
      <c r="AO104" s="63">
        <f t="shared" si="38"/>
        <v>16</v>
      </c>
      <c r="AP104" s="53">
        <f t="shared" si="39"/>
        <v>21</v>
      </c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</row>
    <row r="105" spans="1:55" ht="22" customHeight="1" x14ac:dyDescent="0.35">
      <c r="A105" s="8" t="s">
        <v>229</v>
      </c>
      <c r="B105" s="8" t="s">
        <v>230</v>
      </c>
      <c r="C105" s="8" t="s">
        <v>216</v>
      </c>
      <c r="D105" s="22" t="s">
        <v>5</v>
      </c>
      <c r="E105" s="22" t="s">
        <v>5</v>
      </c>
      <c r="F105" s="22" t="s">
        <v>5</v>
      </c>
      <c r="G105" s="22" t="s">
        <v>5</v>
      </c>
      <c r="H105" s="22" t="s">
        <v>5</v>
      </c>
      <c r="I105" s="23" t="s">
        <v>7</v>
      </c>
      <c r="J105" s="24" t="s">
        <v>9</v>
      </c>
      <c r="K105" s="22" t="s">
        <v>5</v>
      </c>
      <c r="L105" s="22" t="s">
        <v>5</v>
      </c>
      <c r="M105" s="22" t="s">
        <v>5</v>
      </c>
      <c r="N105" s="22" t="s">
        <v>5</v>
      </c>
      <c r="O105" s="22" t="s">
        <v>5</v>
      </c>
      <c r="P105" s="23" t="s">
        <v>7</v>
      </c>
      <c r="Q105" s="24" t="s">
        <v>9</v>
      </c>
      <c r="R105" s="22" t="s">
        <v>5</v>
      </c>
      <c r="S105" s="22" t="s">
        <v>5</v>
      </c>
      <c r="T105" s="22" t="s">
        <v>5</v>
      </c>
      <c r="U105" s="22" t="s">
        <v>5</v>
      </c>
      <c r="V105" s="22" t="s">
        <v>5</v>
      </c>
      <c r="W105" s="23" t="s">
        <v>7</v>
      </c>
      <c r="X105" s="24" t="s">
        <v>9</v>
      </c>
      <c r="Y105" s="22" t="s">
        <v>5</v>
      </c>
      <c r="Z105" s="22" t="s">
        <v>5</v>
      </c>
      <c r="AA105" s="22" t="s">
        <v>5</v>
      </c>
      <c r="AB105" s="22" t="s">
        <v>5</v>
      </c>
      <c r="AC105" s="22" t="s">
        <v>5</v>
      </c>
      <c r="AD105" s="23" t="s">
        <v>7</v>
      </c>
      <c r="AE105" s="24" t="s">
        <v>9</v>
      </c>
      <c r="AF105" s="22" t="s">
        <v>5</v>
      </c>
      <c r="AG105" s="22" t="s">
        <v>5</v>
      </c>
      <c r="AH105" s="8">
        <f t="shared" si="32"/>
        <v>0</v>
      </c>
      <c r="AI105" s="25">
        <f t="shared" si="33"/>
        <v>22</v>
      </c>
      <c r="AJ105" s="8">
        <f t="shared" si="34"/>
        <v>0</v>
      </c>
      <c r="AK105" s="62">
        <v>0</v>
      </c>
      <c r="AL105" s="33">
        <f t="shared" si="35"/>
        <v>0</v>
      </c>
      <c r="AM105" s="63">
        <f t="shared" si="36"/>
        <v>176</v>
      </c>
      <c r="AN105" s="63">
        <f t="shared" si="37"/>
        <v>0</v>
      </c>
      <c r="AO105" s="63">
        <f t="shared" si="38"/>
        <v>0</v>
      </c>
      <c r="AP105" s="53">
        <f t="shared" si="39"/>
        <v>0</v>
      </c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</row>
    <row r="106" spans="1:55" ht="22" customHeight="1" x14ac:dyDescent="0.35">
      <c r="A106" s="8" t="s">
        <v>231</v>
      </c>
      <c r="B106" s="8" t="s">
        <v>232</v>
      </c>
      <c r="C106" s="8" t="s">
        <v>216</v>
      </c>
      <c r="D106" s="26" t="s">
        <v>3</v>
      </c>
      <c r="E106" s="22" t="s">
        <v>5</v>
      </c>
      <c r="F106" s="26" t="s">
        <v>3</v>
      </c>
      <c r="G106" s="26" t="s">
        <v>3</v>
      </c>
      <c r="H106" s="26" t="s">
        <v>3</v>
      </c>
      <c r="I106" s="23" t="s">
        <v>7</v>
      </c>
      <c r="J106" s="28" t="s">
        <v>11</v>
      </c>
      <c r="K106" s="26" t="s">
        <v>3</v>
      </c>
      <c r="L106" s="26" t="s">
        <v>3</v>
      </c>
      <c r="M106" s="26" t="s">
        <v>3</v>
      </c>
      <c r="N106" s="26" t="s">
        <v>3</v>
      </c>
      <c r="O106" s="26" t="s">
        <v>3</v>
      </c>
      <c r="P106" s="23" t="s">
        <v>7</v>
      </c>
      <c r="Q106" s="28" t="s">
        <v>11</v>
      </c>
      <c r="R106" s="26" t="s">
        <v>3</v>
      </c>
      <c r="S106" s="26" t="s">
        <v>3</v>
      </c>
      <c r="T106" s="22" t="s">
        <v>5</v>
      </c>
      <c r="U106" s="26" t="s">
        <v>3</v>
      </c>
      <c r="V106" s="26" t="s">
        <v>3</v>
      </c>
      <c r="W106" s="27" t="s">
        <v>7</v>
      </c>
      <c r="X106" s="28" t="s">
        <v>11</v>
      </c>
      <c r="Y106" s="22" t="s">
        <v>5</v>
      </c>
      <c r="Z106" s="26" t="s">
        <v>3</v>
      </c>
      <c r="AA106" s="26" t="s">
        <v>3</v>
      </c>
      <c r="AB106" s="26" t="s">
        <v>3</v>
      </c>
      <c r="AC106" s="26" t="s">
        <v>3</v>
      </c>
      <c r="AD106" s="23" t="s">
        <v>7</v>
      </c>
      <c r="AE106" s="24" t="s">
        <v>9</v>
      </c>
      <c r="AF106" s="26" t="s">
        <v>3</v>
      </c>
      <c r="AG106" s="26" t="s">
        <v>3</v>
      </c>
      <c r="AH106" s="8">
        <f t="shared" si="32"/>
        <v>19</v>
      </c>
      <c r="AI106" s="8">
        <f t="shared" si="33"/>
        <v>3</v>
      </c>
      <c r="AJ106" s="29">
        <f t="shared" si="34"/>
        <v>3</v>
      </c>
      <c r="AK106" s="62">
        <v>1</v>
      </c>
      <c r="AL106" s="33">
        <f t="shared" si="35"/>
        <v>22.5</v>
      </c>
      <c r="AM106" s="63">
        <f t="shared" si="36"/>
        <v>176</v>
      </c>
      <c r="AN106" s="63">
        <f t="shared" si="37"/>
        <v>3</v>
      </c>
      <c r="AO106" s="63">
        <f t="shared" si="38"/>
        <v>12</v>
      </c>
      <c r="AP106" s="53">
        <f t="shared" si="39"/>
        <v>21</v>
      </c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</row>
    <row r="107" spans="1:55" ht="22" customHeight="1" x14ac:dyDescent="0.35">
      <c r="A107" s="8" t="s">
        <v>233</v>
      </c>
      <c r="B107" s="8" t="s">
        <v>234</v>
      </c>
      <c r="C107" s="8" t="s">
        <v>216</v>
      </c>
      <c r="D107" s="26" t="s">
        <v>3</v>
      </c>
      <c r="E107" s="26" t="s">
        <v>3</v>
      </c>
      <c r="F107" s="26" t="s">
        <v>3</v>
      </c>
      <c r="G107" s="26" t="s">
        <v>3</v>
      </c>
      <c r="H107" s="26" t="s">
        <v>3</v>
      </c>
      <c r="I107" s="23" t="s">
        <v>7</v>
      </c>
      <c r="J107" s="24" t="s">
        <v>9</v>
      </c>
      <c r="K107" s="26" t="s">
        <v>3</v>
      </c>
      <c r="L107" s="26" t="s">
        <v>3</v>
      </c>
      <c r="M107" s="26" t="s">
        <v>3</v>
      </c>
      <c r="N107" s="26" t="s">
        <v>3</v>
      </c>
      <c r="O107" s="26" t="s">
        <v>3</v>
      </c>
      <c r="P107" s="27" t="s">
        <v>7</v>
      </c>
      <c r="Q107" s="24" t="s">
        <v>9</v>
      </c>
      <c r="R107" s="26" t="s">
        <v>3</v>
      </c>
      <c r="S107" s="26" t="s">
        <v>3</v>
      </c>
      <c r="T107" s="26" t="s">
        <v>3</v>
      </c>
      <c r="U107" s="26" t="s">
        <v>3</v>
      </c>
      <c r="V107" s="26" t="s">
        <v>3</v>
      </c>
      <c r="W107" s="23" t="s">
        <v>7</v>
      </c>
      <c r="X107" s="28" t="s">
        <v>11</v>
      </c>
      <c r="Y107" s="26" t="s">
        <v>3</v>
      </c>
      <c r="Z107" s="26" t="s">
        <v>3</v>
      </c>
      <c r="AA107" s="26" t="s">
        <v>3</v>
      </c>
      <c r="AB107" s="22" t="s">
        <v>5</v>
      </c>
      <c r="AC107" s="26" t="s">
        <v>3</v>
      </c>
      <c r="AD107" s="23" t="s">
        <v>7</v>
      </c>
      <c r="AE107" s="24" t="s">
        <v>9</v>
      </c>
      <c r="AF107" s="26" t="s">
        <v>3</v>
      </c>
      <c r="AG107" s="26" t="s">
        <v>3</v>
      </c>
      <c r="AH107" s="8">
        <f t="shared" si="32"/>
        <v>21</v>
      </c>
      <c r="AI107" s="8">
        <f t="shared" si="33"/>
        <v>1</v>
      </c>
      <c r="AJ107" s="29">
        <f t="shared" si="34"/>
        <v>1</v>
      </c>
      <c r="AK107" s="62">
        <v>1</v>
      </c>
      <c r="AL107" s="33">
        <f t="shared" si="35"/>
        <v>22.5</v>
      </c>
      <c r="AM107" s="63">
        <f t="shared" si="36"/>
        <v>176</v>
      </c>
      <c r="AN107" s="63">
        <f t="shared" si="37"/>
        <v>3</v>
      </c>
      <c r="AO107" s="63">
        <f t="shared" si="38"/>
        <v>12</v>
      </c>
      <c r="AP107" s="53">
        <f t="shared" si="39"/>
        <v>21</v>
      </c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</row>
    <row r="108" spans="1:55" ht="22" customHeight="1" x14ac:dyDescent="0.35">
      <c r="A108" s="8" t="s">
        <v>235</v>
      </c>
      <c r="B108" s="8" t="s">
        <v>236</v>
      </c>
      <c r="C108" s="8" t="s">
        <v>216</v>
      </c>
      <c r="D108" s="26" t="s">
        <v>3</v>
      </c>
      <c r="E108" s="26" t="s">
        <v>3</v>
      </c>
      <c r="F108" s="26" t="s">
        <v>3</v>
      </c>
      <c r="G108" s="26" t="s">
        <v>3</v>
      </c>
      <c r="H108" s="22" t="s">
        <v>5</v>
      </c>
      <c r="I108" s="23" t="s">
        <v>7</v>
      </c>
      <c r="J108" s="24" t="s">
        <v>9</v>
      </c>
      <c r="K108" s="26" t="s">
        <v>3</v>
      </c>
      <c r="L108" s="26" t="s">
        <v>3</v>
      </c>
      <c r="M108" s="26" t="s">
        <v>3</v>
      </c>
      <c r="N108" s="26" t="s">
        <v>3</v>
      </c>
      <c r="O108" s="26" t="s">
        <v>3</v>
      </c>
      <c r="P108" s="27" t="s">
        <v>7</v>
      </c>
      <c r="Q108" s="24" t="s">
        <v>9</v>
      </c>
      <c r="R108" s="26" t="s">
        <v>3</v>
      </c>
      <c r="S108" s="26" t="s">
        <v>3</v>
      </c>
      <c r="T108" s="26" t="s">
        <v>3</v>
      </c>
      <c r="U108" s="26" t="s">
        <v>3</v>
      </c>
      <c r="V108" s="26" t="s">
        <v>3</v>
      </c>
      <c r="W108" s="23" t="s">
        <v>7</v>
      </c>
      <c r="X108" s="28" t="s">
        <v>11</v>
      </c>
      <c r="Y108" s="26" t="s">
        <v>3</v>
      </c>
      <c r="Z108" s="26" t="s">
        <v>3</v>
      </c>
      <c r="AA108" s="26" t="s">
        <v>3</v>
      </c>
      <c r="AB108" s="26" t="s">
        <v>3</v>
      </c>
      <c r="AC108" s="26" t="s">
        <v>3</v>
      </c>
      <c r="AD108" s="23" t="s">
        <v>7</v>
      </c>
      <c r="AE108" s="24" t="s">
        <v>9</v>
      </c>
      <c r="AF108" s="26" t="s">
        <v>3</v>
      </c>
      <c r="AG108" s="26" t="s">
        <v>3</v>
      </c>
      <c r="AH108" s="8">
        <f t="shared" si="32"/>
        <v>21</v>
      </c>
      <c r="AI108" s="8">
        <f t="shared" si="33"/>
        <v>1</v>
      </c>
      <c r="AJ108" s="29">
        <f t="shared" si="34"/>
        <v>1</v>
      </c>
      <c r="AK108" s="62">
        <v>1</v>
      </c>
      <c r="AL108" s="33">
        <f t="shared" si="35"/>
        <v>22.5</v>
      </c>
      <c r="AM108" s="63">
        <f t="shared" si="36"/>
        <v>176</v>
      </c>
      <c r="AN108" s="63">
        <f t="shared" si="37"/>
        <v>2</v>
      </c>
      <c r="AO108" s="63">
        <f t="shared" si="38"/>
        <v>8</v>
      </c>
      <c r="AP108" s="53">
        <f t="shared" si="39"/>
        <v>21.5</v>
      </c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</row>
    <row r="109" spans="1:55" ht="22" customHeight="1" x14ac:dyDescent="0.35">
      <c r="A109" s="8" t="s">
        <v>237</v>
      </c>
      <c r="B109" s="8" t="s">
        <v>238</v>
      </c>
      <c r="C109" s="8" t="s">
        <v>216</v>
      </c>
      <c r="D109" s="22" t="s">
        <v>5</v>
      </c>
      <c r="E109" s="26" t="s">
        <v>3</v>
      </c>
      <c r="F109" s="26" t="s">
        <v>3</v>
      </c>
      <c r="G109" s="26" t="s">
        <v>3</v>
      </c>
      <c r="H109" s="26" t="s">
        <v>3</v>
      </c>
      <c r="I109" s="23" t="s">
        <v>7</v>
      </c>
      <c r="J109" s="28" t="s">
        <v>11</v>
      </c>
      <c r="K109" s="26" t="s">
        <v>3</v>
      </c>
      <c r="L109" s="26" t="s">
        <v>3</v>
      </c>
      <c r="M109" s="26" t="s">
        <v>3</v>
      </c>
      <c r="N109" s="26" t="s">
        <v>3</v>
      </c>
      <c r="O109" s="26" t="s">
        <v>3</v>
      </c>
      <c r="P109" s="23" t="s">
        <v>7</v>
      </c>
      <c r="Q109" s="28" t="s">
        <v>11</v>
      </c>
      <c r="R109" s="22" t="s">
        <v>5</v>
      </c>
      <c r="S109" s="26" t="s">
        <v>3</v>
      </c>
      <c r="T109" s="26" t="s">
        <v>3</v>
      </c>
      <c r="U109" s="26" t="s">
        <v>3</v>
      </c>
      <c r="V109" s="26" t="s">
        <v>3</v>
      </c>
      <c r="W109" s="23" t="s">
        <v>7</v>
      </c>
      <c r="X109" s="24" t="s">
        <v>9</v>
      </c>
      <c r="Y109" s="26" t="s">
        <v>3</v>
      </c>
      <c r="Z109" s="26" t="s">
        <v>3</v>
      </c>
      <c r="AA109" s="26" t="s">
        <v>3</v>
      </c>
      <c r="AB109" s="26" t="s">
        <v>3</v>
      </c>
      <c r="AC109" s="26" t="s">
        <v>3</v>
      </c>
      <c r="AD109" s="23" t="s">
        <v>7</v>
      </c>
      <c r="AE109" s="24" t="s">
        <v>9</v>
      </c>
      <c r="AF109" s="26" t="s">
        <v>3</v>
      </c>
      <c r="AG109" s="26" t="s">
        <v>3</v>
      </c>
      <c r="AH109" s="8">
        <f t="shared" si="32"/>
        <v>20</v>
      </c>
      <c r="AI109" s="8">
        <f t="shared" si="33"/>
        <v>2</v>
      </c>
      <c r="AJ109" s="29">
        <f t="shared" si="34"/>
        <v>2</v>
      </c>
      <c r="AK109" s="62">
        <v>0</v>
      </c>
      <c r="AL109" s="33">
        <f t="shared" si="35"/>
        <v>22</v>
      </c>
      <c r="AM109" s="63">
        <f t="shared" si="36"/>
        <v>176</v>
      </c>
      <c r="AN109" s="63">
        <f t="shared" si="37"/>
        <v>4</v>
      </c>
      <c r="AO109" s="63">
        <f t="shared" si="38"/>
        <v>16</v>
      </c>
      <c r="AP109" s="53">
        <f t="shared" si="39"/>
        <v>20</v>
      </c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</row>
    <row r="110" spans="1:55" ht="22" customHeight="1" x14ac:dyDescent="0.35">
      <c r="A110" s="8" t="s">
        <v>239</v>
      </c>
      <c r="B110" s="8" t="s">
        <v>240</v>
      </c>
      <c r="C110" s="8" t="s">
        <v>216</v>
      </c>
      <c r="D110" s="26" t="s">
        <v>3</v>
      </c>
      <c r="E110" s="26" t="s">
        <v>3</v>
      </c>
      <c r="F110" s="26" t="s">
        <v>3</v>
      </c>
      <c r="G110" s="26" t="s">
        <v>3</v>
      </c>
      <c r="H110" s="26" t="s">
        <v>3</v>
      </c>
      <c r="I110" s="23" t="s">
        <v>7</v>
      </c>
      <c r="J110" s="24" t="s">
        <v>9</v>
      </c>
      <c r="K110" s="26" t="s">
        <v>3</v>
      </c>
      <c r="L110" s="26" t="s">
        <v>3</v>
      </c>
      <c r="M110" s="26" t="s">
        <v>3</v>
      </c>
      <c r="N110" s="26" t="s">
        <v>3</v>
      </c>
      <c r="O110" s="26" t="s">
        <v>3</v>
      </c>
      <c r="P110" s="23" t="s">
        <v>7</v>
      </c>
      <c r="Q110" s="28" t="s">
        <v>11</v>
      </c>
      <c r="R110" s="26" t="s">
        <v>3</v>
      </c>
      <c r="S110" s="26" t="s">
        <v>3</v>
      </c>
      <c r="T110" s="26" t="s">
        <v>3</v>
      </c>
      <c r="U110" s="26" t="s">
        <v>3</v>
      </c>
      <c r="V110" s="26" t="s">
        <v>3</v>
      </c>
      <c r="W110" s="23" t="s">
        <v>7</v>
      </c>
      <c r="X110" s="28" t="s">
        <v>11</v>
      </c>
      <c r="Y110" s="26" t="s">
        <v>3</v>
      </c>
      <c r="Z110" s="26" t="s">
        <v>3</v>
      </c>
      <c r="AA110" s="26" t="s">
        <v>3</v>
      </c>
      <c r="AB110" s="26" t="s">
        <v>3</v>
      </c>
      <c r="AC110" s="26" t="s">
        <v>3</v>
      </c>
      <c r="AD110" s="23" t="s">
        <v>7</v>
      </c>
      <c r="AE110" s="24" t="s">
        <v>9</v>
      </c>
      <c r="AF110" s="26" t="s">
        <v>3</v>
      </c>
      <c r="AG110" s="26" t="s">
        <v>3</v>
      </c>
      <c r="AH110" s="8">
        <f t="shared" si="32"/>
        <v>22</v>
      </c>
      <c r="AI110" s="8">
        <f t="shared" si="33"/>
        <v>0</v>
      </c>
      <c r="AJ110" s="29">
        <f t="shared" si="34"/>
        <v>2</v>
      </c>
      <c r="AK110" s="62">
        <v>0</v>
      </c>
      <c r="AL110" s="33">
        <f t="shared" si="35"/>
        <v>24</v>
      </c>
      <c r="AM110" s="63">
        <f t="shared" si="36"/>
        <v>176</v>
      </c>
      <c r="AN110" s="63">
        <f t="shared" si="37"/>
        <v>4</v>
      </c>
      <c r="AO110" s="63">
        <f t="shared" si="38"/>
        <v>16</v>
      </c>
      <c r="AP110" s="53">
        <f t="shared" si="39"/>
        <v>22</v>
      </c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</row>
    <row r="111" spans="1:55" ht="22" customHeight="1" x14ac:dyDescent="0.35">
      <c r="A111" s="8" t="s">
        <v>241</v>
      </c>
      <c r="B111" s="8" t="s">
        <v>242</v>
      </c>
      <c r="C111" s="8" t="s">
        <v>216</v>
      </c>
      <c r="D111" s="26" t="s">
        <v>3</v>
      </c>
      <c r="E111" s="26" t="s">
        <v>3</v>
      </c>
      <c r="F111" s="26" t="s">
        <v>3</v>
      </c>
      <c r="G111" s="26" t="s">
        <v>3</v>
      </c>
      <c r="H111" s="26" t="s">
        <v>3</v>
      </c>
      <c r="I111" s="23" t="s">
        <v>7</v>
      </c>
      <c r="J111" s="24" t="s">
        <v>9</v>
      </c>
      <c r="K111" s="26" t="s">
        <v>3</v>
      </c>
      <c r="L111" s="26" t="s">
        <v>3</v>
      </c>
      <c r="M111" s="26" t="s">
        <v>3</v>
      </c>
      <c r="N111" s="26" t="s">
        <v>3</v>
      </c>
      <c r="O111" s="26" t="s">
        <v>3</v>
      </c>
      <c r="P111" s="23" t="s">
        <v>7</v>
      </c>
      <c r="Q111" s="24" t="s">
        <v>9</v>
      </c>
      <c r="R111" s="26" t="s">
        <v>3</v>
      </c>
      <c r="S111" s="26" t="s">
        <v>3</v>
      </c>
      <c r="T111" s="22" t="s">
        <v>5</v>
      </c>
      <c r="U111" s="26" t="s">
        <v>3</v>
      </c>
      <c r="V111" s="26" t="s">
        <v>3</v>
      </c>
      <c r="W111" s="23" t="s">
        <v>7</v>
      </c>
      <c r="X111" s="28" t="s">
        <v>11</v>
      </c>
      <c r="Y111" s="26" t="s">
        <v>3</v>
      </c>
      <c r="Z111" s="26" t="s">
        <v>3</v>
      </c>
      <c r="AA111" s="26" t="s">
        <v>3</v>
      </c>
      <c r="AB111" s="26" t="s">
        <v>3</v>
      </c>
      <c r="AC111" s="26" t="s">
        <v>3</v>
      </c>
      <c r="AD111" s="23" t="s">
        <v>7</v>
      </c>
      <c r="AE111" s="24" t="s">
        <v>9</v>
      </c>
      <c r="AF111" s="26" t="s">
        <v>3</v>
      </c>
      <c r="AG111" s="26" t="s">
        <v>3</v>
      </c>
      <c r="AH111" s="8">
        <f t="shared" si="32"/>
        <v>21</v>
      </c>
      <c r="AI111" s="8">
        <f t="shared" si="33"/>
        <v>1</v>
      </c>
      <c r="AJ111" s="29">
        <f t="shared" si="34"/>
        <v>1</v>
      </c>
      <c r="AK111" s="62">
        <v>0</v>
      </c>
      <c r="AL111" s="33">
        <f t="shared" si="35"/>
        <v>22</v>
      </c>
      <c r="AM111" s="63">
        <f t="shared" si="36"/>
        <v>176</v>
      </c>
      <c r="AN111" s="63">
        <f t="shared" si="37"/>
        <v>4</v>
      </c>
      <c r="AO111" s="63">
        <f t="shared" si="38"/>
        <v>16</v>
      </c>
      <c r="AP111" s="53">
        <f t="shared" si="39"/>
        <v>20</v>
      </c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</row>
    <row r="112" spans="1:55" x14ac:dyDescent="0.35"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</row>
    <row r="113" spans="1:55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</row>
    <row r="114" spans="1:55" ht="22" customHeight="1" x14ac:dyDescent="0.35">
      <c r="A114" s="8" t="s">
        <v>244</v>
      </c>
      <c r="B114" s="8" t="s">
        <v>245</v>
      </c>
      <c r="C114" s="8" t="s">
        <v>354</v>
      </c>
      <c r="D114" s="26" t="s">
        <v>3</v>
      </c>
      <c r="E114" s="26" t="s">
        <v>3</v>
      </c>
      <c r="F114" s="26" t="s">
        <v>3</v>
      </c>
      <c r="G114" s="26" t="s">
        <v>3</v>
      </c>
      <c r="H114" s="26" t="s">
        <v>3</v>
      </c>
      <c r="I114" s="27" t="s">
        <v>7</v>
      </c>
      <c r="J114" s="28" t="s">
        <v>11</v>
      </c>
      <c r="K114" s="26" t="s">
        <v>3</v>
      </c>
      <c r="L114" s="26" t="s">
        <v>3</v>
      </c>
      <c r="M114" s="26" t="s">
        <v>3</v>
      </c>
      <c r="N114" s="26" t="s">
        <v>3</v>
      </c>
      <c r="O114" s="26" t="s">
        <v>3</v>
      </c>
      <c r="P114" s="27" t="s">
        <v>7</v>
      </c>
      <c r="Q114" s="28" t="s">
        <v>11</v>
      </c>
      <c r="R114" s="26" t="s">
        <v>3</v>
      </c>
      <c r="S114" s="26" t="s">
        <v>3</v>
      </c>
      <c r="T114" s="26" t="s">
        <v>3</v>
      </c>
      <c r="U114" s="26" t="s">
        <v>3</v>
      </c>
      <c r="V114" s="26" t="s">
        <v>3</v>
      </c>
      <c r="W114" s="27" t="s">
        <v>7</v>
      </c>
      <c r="X114" s="28" t="s">
        <v>11</v>
      </c>
      <c r="Y114" s="26" t="s">
        <v>3</v>
      </c>
      <c r="Z114" s="26" t="s">
        <v>3</v>
      </c>
      <c r="AA114" s="26" t="s">
        <v>3</v>
      </c>
      <c r="AB114" s="26" t="s">
        <v>3</v>
      </c>
      <c r="AC114" s="26" t="s">
        <v>3</v>
      </c>
      <c r="AD114" s="23" t="s">
        <v>7</v>
      </c>
      <c r="AE114" s="24" t="s">
        <v>9</v>
      </c>
      <c r="AF114" s="22" t="s">
        <v>5</v>
      </c>
      <c r="AG114" s="26" t="s">
        <v>3</v>
      </c>
      <c r="AH114" s="8">
        <f>COUNTIF(D114:AG114,"ON")</f>
        <v>21</v>
      </c>
      <c r="AI114" s="8">
        <f>COUNTIF(D114:AG114,"OFF")</f>
        <v>1</v>
      </c>
      <c r="AJ114" s="29">
        <f>COUNTIF(D114:AG114,"OT")</f>
        <v>3</v>
      </c>
      <c r="AK114" s="62">
        <v>3</v>
      </c>
      <c r="AL114" s="33">
        <f>AH114+AJ114+AK114*0.5</f>
        <v>25.5</v>
      </c>
      <c r="AM114" s="63">
        <f>NETWORKDAYS(DATE(2025,9,1),EOMONTH(DATE(2025,9,1),0))*8</f>
        <v>176</v>
      </c>
      <c r="AN114" s="63">
        <f>MAX(0,COUNTIF(H114,"ON")+COUNTIF(O114,"ON")+COUNTIF(V114,"ON")+COUNTIF(AC114,"ON")-AK114)</f>
        <v>1</v>
      </c>
      <c r="AO114" s="63">
        <f>AN114*$AO$2</f>
        <v>4</v>
      </c>
      <c r="AP114" s="53">
        <f>AL114-AO114/8</f>
        <v>25</v>
      </c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</row>
    <row r="115" spans="1:55" ht="22" customHeight="1" x14ac:dyDescent="0.35">
      <c r="A115" s="8" t="s">
        <v>247</v>
      </c>
      <c r="B115" s="8" t="s">
        <v>248</v>
      </c>
      <c r="C115" s="8" t="s">
        <v>354</v>
      </c>
      <c r="D115" s="26" t="s">
        <v>3</v>
      </c>
      <c r="E115" s="26" t="s">
        <v>3</v>
      </c>
      <c r="F115" s="26" t="s">
        <v>3</v>
      </c>
      <c r="G115" s="26" t="s">
        <v>3</v>
      </c>
      <c r="H115" s="26" t="s">
        <v>3</v>
      </c>
      <c r="I115" s="27" t="s">
        <v>7</v>
      </c>
      <c r="J115" s="28" t="s">
        <v>11</v>
      </c>
      <c r="K115" s="26" t="s">
        <v>3</v>
      </c>
      <c r="L115" s="26" t="s">
        <v>3</v>
      </c>
      <c r="M115" s="26" t="s">
        <v>3</v>
      </c>
      <c r="N115" s="26" t="s">
        <v>3</v>
      </c>
      <c r="O115" s="26" t="s">
        <v>3</v>
      </c>
      <c r="P115" s="27" t="s">
        <v>7</v>
      </c>
      <c r="Q115" s="28" t="s">
        <v>11</v>
      </c>
      <c r="R115" s="26" t="s">
        <v>3</v>
      </c>
      <c r="S115" s="26" t="s">
        <v>3</v>
      </c>
      <c r="T115" s="26" t="s">
        <v>3</v>
      </c>
      <c r="U115" s="26" t="s">
        <v>3</v>
      </c>
      <c r="V115" s="26" t="s">
        <v>3</v>
      </c>
      <c r="W115" s="27" t="s">
        <v>7</v>
      </c>
      <c r="X115" s="28" t="s">
        <v>11</v>
      </c>
      <c r="Y115" s="26" t="s">
        <v>3</v>
      </c>
      <c r="Z115" s="26" t="s">
        <v>3</v>
      </c>
      <c r="AA115" s="26" t="s">
        <v>3</v>
      </c>
      <c r="AB115" s="26" t="s">
        <v>3</v>
      </c>
      <c r="AC115" s="26" t="s">
        <v>3</v>
      </c>
      <c r="AD115" s="27" t="s">
        <v>7</v>
      </c>
      <c r="AE115" s="28" t="s">
        <v>11</v>
      </c>
      <c r="AF115" s="26" t="s">
        <v>3</v>
      </c>
      <c r="AG115" s="26" t="s">
        <v>3</v>
      </c>
      <c r="AH115" s="8">
        <f>COUNTIF(D115:AG115,"ON")</f>
        <v>22</v>
      </c>
      <c r="AI115" s="8">
        <f>COUNTIF(D115:AG115,"OFF")</f>
        <v>0</v>
      </c>
      <c r="AJ115" s="29">
        <f>COUNTIF(D115:AG115,"OT")</f>
        <v>4</v>
      </c>
      <c r="AK115" s="62">
        <v>4</v>
      </c>
      <c r="AL115" s="33">
        <f>AH115+AJ115+AK115*0.5</f>
        <v>28</v>
      </c>
      <c r="AM115" s="63">
        <f>NETWORKDAYS(DATE(2025,9,1),EOMONTH(DATE(2025,9,1),0))*8</f>
        <v>176</v>
      </c>
      <c r="AN115" s="63">
        <f>MAX(0,COUNTIF(H115,"ON")+COUNTIF(O115,"ON")+COUNTIF(V115,"ON")+COUNTIF(AC115,"ON")-AK115)</f>
        <v>0</v>
      </c>
      <c r="AO115" s="63">
        <f>AN115*$AO$2</f>
        <v>0</v>
      </c>
      <c r="AP115" s="53">
        <f>AL115-AO115/8</f>
        <v>28</v>
      </c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</row>
    <row r="116" spans="1:55" ht="22" customHeight="1" x14ac:dyDescent="0.35">
      <c r="A116" s="8" t="s">
        <v>249</v>
      </c>
      <c r="B116" s="8" t="s">
        <v>250</v>
      </c>
      <c r="C116" s="8" t="s">
        <v>354</v>
      </c>
      <c r="D116" s="22" t="s">
        <v>5</v>
      </c>
      <c r="E116" s="22" t="s">
        <v>5</v>
      </c>
      <c r="F116" s="22" t="s">
        <v>5</v>
      </c>
      <c r="G116" s="22" t="s">
        <v>5</v>
      </c>
      <c r="H116" s="26" t="s">
        <v>3</v>
      </c>
      <c r="I116" s="27" t="s">
        <v>7</v>
      </c>
      <c r="J116" s="28" t="s">
        <v>11</v>
      </c>
      <c r="K116" s="26" t="s">
        <v>3</v>
      </c>
      <c r="L116" s="26" t="s">
        <v>3</v>
      </c>
      <c r="M116" s="26" t="s">
        <v>3</v>
      </c>
      <c r="N116" s="26" t="s">
        <v>3</v>
      </c>
      <c r="O116" s="26" t="s">
        <v>3</v>
      </c>
      <c r="P116" s="27" t="s">
        <v>7</v>
      </c>
      <c r="Q116" s="28" t="s">
        <v>11</v>
      </c>
      <c r="R116" s="26" t="s">
        <v>3</v>
      </c>
      <c r="S116" s="26" t="s">
        <v>3</v>
      </c>
      <c r="T116" s="26" t="s">
        <v>3</v>
      </c>
      <c r="U116" s="26" t="s">
        <v>3</v>
      </c>
      <c r="V116" s="26" t="s">
        <v>3</v>
      </c>
      <c r="W116" s="27" t="s">
        <v>7</v>
      </c>
      <c r="X116" s="28" t="s">
        <v>11</v>
      </c>
      <c r="Y116" s="26" t="s">
        <v>3</v>
      </c>
      <c r="Z116" s="26" t="s">
        <v>3</v>
      </c>
      <c r="AA116" s="26" t="s">
        <v>3</v>
      </c>
      <c r="AB116" s="26" t="s">
        <v>3</v>
      </c>
      <c r="AC116" s="26" t="s">
        <v>3</v>
      </c>
      <c r="AD116" s="27" t="s">
        <v>7</v>
      </c>
      <c r="AE116" s="24" t="s">
        <v>9</v>
      </c>
      <c r="AF116" s="22" t="s">
        <v>5</v>
      </c>
      <c r="AG116" s="22" t="s">
        <v>5</v>
      </c>
      <c r="AH116" s="8">
        <f>COUNTIF(D116:AG116,"ON")</f>
        <v>16</v>
      </c>
      <c r="AI116" s="8">
        <f>COUNTIF(D116:AG116,"OFF")</f>
        <v>6</v>
      </c>
      <c r="AJ116" s="29">
        <f>COUNTIF(D116:AG116,"OT")</f>
        <v>3</v>
      </c>
      <c r="AK116" s="62">
        <v>4</v>
      </c>
      <c r="AL116" s="33">
        <f>AH116+AJ116+AK116*0.5</f>
        <v>21</v>
      </c>
      <c r="AM116" s="63">
        <f>NETWORKDAYS(DATE(2025,9,1),EOMONTH(DATE(2025,9,1),0))*8</f>
        <v>176</v>
      </c>
      <c r="AN116" s="63">
        <f>MAX(0,COUNTIF(H116,"ON")+COUNTIF(O116,"ON")+COUNTIF(V116,"ON")+COUNTIF(AC116,"ON")-AK116)</f>
        <v>0</v>
      </c>
      <c r="AO116" s="63">
        <f>AN116*$AO$2</f>
        <v>0</v>
      </c>
      <c r="AP116" s="53">
        <f>AL116-AO116/8</f>
        <v>21</v>
      </c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</row>
    <row r="117" spans="1:55" x14ac:dyDescent="0.35"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</row>
    <row r="118" spans="1:55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</row>
    <row r="119" spans="1:55" ht="22" customHeight="1" x14ac:dyDescent="0.35">
      <c r="A119" s="8" t="s">
        <v>252</v>
      </c>
      <c r="B119" s="8" t="s">
        <v>253</v>
      </c>
      <c r="C119" s="8" t="s">
        <v>254</v>
      </c>
      <c r="D119" s="22" t="s">
        <v>5</v>
      </c>
      <c r="E119" s="22" t="s">
        <v>5</v>
      </c>
      <c r="F119" s="22" t="s">
        <v>5</v>
      </c>
      <c r="G119" s="26" t="s">
        <v>3</v>
      </c>
      <c r="H119" s="26" t="s">
        <v>3</v>
      </c>
      <c r="I119" s="27" t="s">
        <v>7</v>
      </c>
      <c r="J119" s="28" t="s">
        <v>11</v>
      </c>
      <c r="K119" s="26" t="s">
        <v>3</v>
      </c>
      <c r="L119" s="26" t="s">
        <v>3</v>
      </c>
      <c r="M119" s="26" t="s">
        <v>3</v>
      </c>
      <c r="N119" s="26" t="s">
        <v>3</v>
      </c>
      <c r="O119" s="26" t="s">
        <v>3</v>
      </c>
      <c r="P119" s="27" t="s">
        <v>7</v>
      </c>
      <c r="Q119" s="28" t="s">
        <v>11</v>
      </c>
      <c r="R119" s="26" t="s">
        <v>3</v>
      </c>
      <c r="S119" s="26" t="s">
        <v>3</v>
      </c>
      <c r="T119" s="26" t="s">
        <v>3</v>
      </c>
      <c r="U119" s="26" t="s">
        <v>3</v>
      </c>
      <c r="V119" s="26" t="s">
        <v>3</v>
      </c>
      <c r="W119" s="27" t="s">
        <v>7</v>
      </c>
      <c r="X119" s="28" t="s">
        <v>11</v>
      </c>
      <c r="Y119" s="26" t="s">
        <v>3</v>
      </c>
      <c r="Z119" s="26" t="s">
        <v>3</v>
      </c>
      <c r="AA119" s="26" t="s">
        <v>3</v>
      </c>
      <c r="AB119" s="26" t="s">
        <v>3</v>
      </c>
      <c r="AC119" s="26" t="s">
        <v>3</v>
      </c>
      <c r="AD119" s="27" t="s">
        <v>7</v>
      </c>
      <c r="AE119" s="28" t="s">
        <v>11</v>
      </c>
      <c r="AF119" s="26" t="s">
        <v>3</v>
      </c>
      <c r="AG119" s="26" t="s">
        <v>3</v>
      </c>
      <c r="AH119" s="8">
        <f t="shared" ref="AH119:AH129" si="40">COUNTIF(D119:AG119,"ON")</f>
        <v>19</v>
      </c>
      <c r="AI119" s="8">
        <f t="shared" ref="AI119:AI129" si="41">COUNTIF(D119:AG119,"OFF")</f>
        <v>3</v>
      </c>
      <c r="AJ119" s="29">
        <f t="shared" ref="AJ119:AJ129" si="42">COUNTIF(D119:AG119,"OT")</f>
        <v>4</v>
      </c>
      <c r="AK119" s="62">
        <v>4</v>
      </c>
      <c r="AL119" s="33">
        <f t="shared" ref="AL119:AL129" si="43">AH119+AJ119+AK119*0.5</f>
        <v>25</v>
      </c>
      <c r="AM119" s="63">
        <f t="shared" ref="AM119:AM129" si="44">NETWORKDAYS(DATE(2025,9,1),EOMONTH(DATE(2025,9,1),0))*8</f>
        <v>176</v>
      </c>
      <c r="AN119" s="63">
        <f t="shared" ref="AN119:AN129" si="45">MAX(0,COUNTIF(H119,"ON")+COUNTIF(O119,"ON")+COUNTIF(V119,"ON")+COUNTIF(AC119,"ON")-AK119)</f>
        <v>0</v>
      </c>
      <c r="AO119" s="63">
        <f t="shared" ref="AO119:AO129" si="46">AN119*$AO$2</f>
        <v>0</v>
      </c>
      <c r="AP119" s="53">
        <f t="shared" ref="AP119:AP129" si="47">AL119-AO119/8</f>
        <v>25</v>
      </c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</row>
    <row r="120" spans="1:55" ht="22" customHeight="1" x14ac:dyDescent="0.35">
      <c r="A120" s="8" t="s">
        <v>255</v>
      </c>
      <c r="B120" s="8" t="s">
        <v>256</v>
      </c>
      <c r="C120" s="8" t="s">
        <v>254</v>
      </c>
      <c r="D120" s="22" t="s">
        <v>5</v>
      </c>
      <c r="E120" s="22" t="s">
        <v>5</v>
      </c>
      <c r="F120" s="22" t="s">
        <v>5</v>
      </c>
      <c r="G120" s="26" t="s">
        <v>3</v>
      </c>
      <c r="H120" s="22" t="s">
        <v>5</v>
      </c>
      <c r="I120" s="23" t="s">
        <v>7</v>
      </c>
      <c r="J120" s="28" t="s">
        <v>11</v>
      </c>
      <c r="K120" s="26" t="s">
        <v>3</v>
      </c>
      <c r="L120" s="26" t="s">
        <v>3</v>
      </c>
      <c r="M120" s="26" t="s">
        <v>3</v>
      </c>
      <c r="N120" s="26" t="s">
        <v>3</v>
      </c>
      <c r="O120" s="26" t="s">
        <v>3</v>
      </c>
      <c r="P120" s="27" t="s">
        <v>7</v>
      </c>
      <c r="Q120" s="24" t="s">
        <v>9</v>
      </c>
      <c r="R120" s="26" t="s">
        <v>3</v>
      </c>
      <c r="S120" s="26" t="s">
        <v>3</v>
      </c>
      <c r="T120" s="26" t="s">
        <v>3</v>
      </c>
      <c r="U120" s="26" t="s">
        <v>3</v>
      </c>
      <c r="V120" s="26" t="s">
        <v>3</v>
      </c>
      <c r="W120" s="27" t="s">
        <v>7</v>
      </c>
      <c r="X120" s="28" t="s">
        <v>11</v>
      </c>
      <c r="Y120" s="26" t="s">
        <v>3</v>
      </c>
      <c r="Z120" s="26" t="s">
        <v>3</v>
      </c>
      <c r="AA120" s="26" t="s">
        <v>3</v>
      </c>
      <c r="AB120" s="26" t="s">
        <v>3</v>
      </c>
      <c r="AC120" s="26" t="s">
        <v>3</v>
      </c>
      <c r="AD120" s="27" t="s">
        <v>7</v>
      </c>
      <c r="AE120" s="28" t="s">
        <v>11</v>
      </c>
      <c r="AF120" s="26" t="s">
        <v>3</v>
      </c>
      <c r="AG120" s="26" t="s">
        <v>3</v>
      </c>
      <c r="AH120" s="8">
        <f t="shared" si="40"/>
        <v>18</v>
      </c>
      <c r="AI120" s="8">
        <f t="shared" si="41"/>
        <v>4</v>
      </c>
      <c r="AJ120" s="29">
        <f t="shared" si="42"/>
        <v>3</v>
      </c>
      <c r="AK120" s="62">
        <v>3</v>
      </c>
      <c r="AL120" s="33">
        <f t="shared" si="43"/>
        <v>22.5</v>
      </c>
      <c r="AM120" s="63">
        <f t="shared" si="44"/>
        <v>176</v>
      </c>
      <c r="AN120" s="63">
        <f t="shared" si="45"/>
        <v>0</v>
      </c>
      <c r="AO120" s="63">
        <f t="shared" si="46"/>
        <v>0</v>
      </c>
      <c r="AP120" s="53">
        <f t="shared" si="47"/>
        <v>22.5</v>
      </c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</row>
    <row r="121" spans="1:55" ht="22" customHeight="1" x14ac:dyDescent="0.35">
      <c r="A121" s="8" t="s">
        <v>257</v>
      </c>
      <c r="B121" s="8" t="s">
        <v>258</v>
      </c>
      <c r="C121" s="8" t="s">
        <v>254</v>
      </c>
      <c r="D121" s="22" t="s">
        <v>5</v>
      </c>
      <c r="E121" s="22" t="s">
        <v>5</v>
      </c>
      <c r="F121" s="22" t="s">
        <v>5</v>
      </c>
      <c r="G121" s="26" t="s">
        <v>3</v>
      </c>
      <c r="H121" s="26" t="s">
        <v>3</v>
      </c>
      <c r="I121" s="27" t="s">
        <v>7</v>
      </c>
      <c r="J121" s="28" t="s">
        <v>11</v>
      </c>
      <c r="K121" s="26" t="s">
        <v>3</v>
      </c>
      <c r="L121" s="26" t="s">
        <v>3</v>
      </c>
      <c r="M121" s="26" t="s">
        <v>3</v>
      </c>
      <c r="N121" s="26" t="s">
        <v>3</v>
      </c>
      <c r="O121" s="26" t="s">
        <v>3</v>
      </c>
      <c r="P121" s="27" t="s">
        <v>7</v>
      </c>
      <c r="Q121" s="28" t="s">
        <v>11</v>
      </c>
      <c r="R121" s="26" t="s">
        <v>3</v>
      </c>
      <c r="S121" s="26" t="s">
        <v>3</v>
      </c>
      <c r="T121" s="26" t="s">
        <v>3</v>
      </c>
      <c r="U121" s="26" t="s">
        <v>3</v>
      </c>
      <c r="V121" s="26" t="s">
        <v>3</v>
      </c>
      <c r="W121" s="27" t="s">
        <v>7</v>
      </c>
      <c r="X121" s="28" t="s">
        <v>11</v>
      </c>
      <c r="Y121" s="26" t="s">
        <v>3</v>
      </c>
      <c r="Z121" s="26" t="s">
        <v>3</v>
      </c>
      <c r="AA121" s="26" t="s">
        <v>3</v>
      </c>
      <c r="AB121" s="26" t="s">
        <v>3</v>
      </c>
      <c r="AC121" s="26" t="s">
        <v>3</v>
      </c>
      <c r="AD121" s="27" t="s">
        <v>7</v>
      </c>
      <c r="AE121" s="28" t="s">
        <v>11</v>
      </c>
      <c r="AF121" s="26" t="s">
        <v>3</v>
      </c>
      <c r="AG121" s="26" t="s">
        <v>3</v>
      </c>
      <c r="AH121" s="8">
        <f t="shared" si="40"/>
        <v>19</v>
      </c>
      <c r="AI121" s="8">
        <f t="shared" si="41"/>
        <v>3</v>
      </c>
      <c r="AJ121" s="29">
        <f t="shared" si="42"/>
        <v>4</v>
      </c>
      <c r="AK121" s="62">
        <v>4</v>
      </c>
      <c r="AL121" s="33">
        <f t="shared" si="43"/>
        <v>25</v>
      </c>
      <c r="AM121" s="63">
        <f t="shared" si="44"/>
        <v>176</v>
      </c>
      <c r="AN121" s="63">
        <f t="shared" si="45"/>
        <v>0</v>
      </c>
      <c r="AO121" s="63">
        <f t="shared" si="46"/>
        <v>0</v>
      </c>
      <c r="AP121" s="53">
        <f t="shared" si="47"/>
        <v>25</v>
      </c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</row>
    <row r="122" spans="1:55" ht="22" customHeight="1" x14ac:dyDescent="0.35">
      <c r="A122" s="8" t="s">
        <v>259</v>
      </c>
      <c r="B122" s="8" t="s">
        <v>260</v>
      </c>
      <c r="C122" s="8" t="s">
        <v>254</v>
      </c>
      <c r="D122" s="22" t="s">
        <v>5</v>
      </c>
      <c r="E122" s="22" t="s">
        <v>5</v>
      </c>
      <c r="F122" s="22" t="s">
        <v>5</v>
      </c>
      <c r="G122" s="26" t="s">
        <v>3</v>
      </c>
      <c r="H122" s="26" t="s">
        <v>3</v>
      </c>
      <c r="I122" s="27" t="s">
        <v>7</v>
      </c>
      <c r="J122" s="28" t="s">
        <v>11</v>
      </c>
      <c r="K122" s="26" t="s">
        <v>3</v>
      </c>
      <c r="L122" s="26" t="s">
        <v>3</v>
      </c>
      <c r="M122" s="22" t="s">
        <v>5</v>
      </c>
      <c r="N122" s="22" t="s">
        <v>5</v>
      </c>
      <c r="O122" s="22" t="s">
        <v>5</v>
      </c>
      <c r="P122" s="23" t="s">
        <v>7</v>
      </c>
      <c r="Q122" s="24" t="s">
        <v>9</v>
      </c>
      <c r="R122" s="22" t="s">
        <v>5</v>
      </c>
      <c r="S122" s="22" t="s">
        <v>5</v>
      </c>
      <c r="T122" s="22" t="s">
        <v>5</v>
      </c>
      <c r="U122" s="22" t="s">
        <v>5</v>
      </c>
      <c r="V122" s="22" t="s">
        <v>5</v>
      </c>
      <c r="W122" s="23" t="s">
        <v>7</v>
      </c>
      <c r="X122" s="24" t="s">
        <v>9</v>
      </c>
      <c r="Y122" s="22" t="s">
        <v>5</v>
      </c>
      <c r="Z122" s="22" t="s">
        <v>5</v>
      </c>
      <c r="AA122" s="22" t="s">
        <v>5</v>
      </c>
      <c r="AB122" s="22" t="s">
        <v>5</v>
      </c>
      <c r="AC122" s="22" t="s">
        <v>5</v>
      </c>
      <c r="AD122" s="23" t="s">
        <v>7</v>
      </c>
      <c r="AE122" s="24" t="s">
        <v>9</v>
      </c>
      <c r="AF122" s="22" t="s">
        <v>5</v>
      </c>
      <c r="AG122" s="22" t="s">
        <v>5</v>
      </c>
      <c r="AH122" s="8">
        <f t="shared" si="40"/>
        <v>4</v>
      </c>
      <c r="AI122" s="25">
        <f t="shared" si="41"/>
        <v>18</v>
      </c>
      <c r="AJ122" s="29">
        <f t="shared" si="42"/>
        <v>1</v>
      </c>
      <c r="AK122" s="62">
        <v>1</v>
      </c>
      <c r="AL122" s="33">
        <f t="shared" si="43"/>
        <v>5.5</v>
      </c>
      <c r="AM122" s="63">
        <f t="shared" si="44"/>
        <v>176</v>
      </c>
      <c r="AN122" s="63">
        <f t="shared" si="45"/>
        <v>0</v>
      </c>
      <c r="AO122" s="63">
        <f t="shared" si="46"/>
        <v>0</v>
      </c>
      <c r="AP122" s="53">
        <f t="shared" si="47"/>
        <v>5.5</v>
      </c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</row>
    <row r="123" spans="1:55" ht="22" customHeight="1" x14ac:dyDescent="0.35">
      <c r="A123" s="8" t="s">
        <v>261</v>
      </c>
      <c r="B123" s="8" t="s">
        <v>262</v>
      </c>
      <c r="C123" s="8" t="s">
        <v>254</v>
      </c>
      <c r="D123" s="22" t="s">
        <v>5</v>
      </c>
      <c r="E123" s="22" t="s">
        <v>5</v>
      </c>
      <c r="F123" s="22" t="s">
        <v>5</v>
      </c>
      <c r="G123" s="26" t="s">
        <v>3</v>
      </c>
      <c r="H123" s="26" t="s">
        <v>3</v>
      </c>
      <c r="I123" s="27" t="s">
        <v>7</v>
      </c>
      <c r="J123" s="28" t="s">
        <v>11</v>
      </c>
      <c r="K123" s="22" t="s">
        <v>5</v>
      </c>
      <c r="L123" s="26" t="s">
        <v>3</v>
      </c>
      <c r="M123" s="26" t="s">
        <v>3</v>
      </c>
      <c r="N123" s="26" t="s">
        <v>3</v>
      </c>
      <c r="O123" s="26" t="s">
        <v>3</v>
      </c>
      <c r="P123" s="27" t="s">
        <v>7</v>
      </c>
      <c r="Q123" s="28" t="s">
        <v>11</v>
      </c>
      <c r="R123" s="26" t="s">
        <v>3</v>
      </c>
      <c r="S123" s="26" t="s">
        <v>3</v>
      </c>
      <c r="T123" s="26" t="s">
        <v>3</v>
      </c>
      <c r="U123" s="26" t="s">
        <v>3</v>
      </c>
      <c r="V123" s="26" t="s">
        <v>3</v>
      </c>
      <c r="W123" s="27" t="s">
        <v>7</v>
      </c>
      <c r="X123" s="28" t="s">
        <v>11</v>
      </c>
      <c r="Y123" s="26" t="s">
        <v>3</v>
      </c>
      <c r="Z123" s="26" t="s">
        <v>3</v>
      </c>
      <c r="AA123" s="22" t="s">
        <v>5</v>
      </c>
      <c r="AB123" s="26" t="s">
        <v>3</v>
      </c>
      <c r="AC123" s="26" t="s">
        <v>3</v>
      </c>
      <c r="AD123" s="27" t="s">
        <v>7</v>
      </c>
      <c r="AE123" s="28" t="s">
        <v>11</v>
      </c>
      <c r="AF123" s="26" t="s">
        <v>3</v>
      </c>
      <c r="AG123" s="26" t="s">
        <v>3</v>
      </c>
      <c r="AH123" s="8">
        <f t="shared" si="40"/>
        <v>17</v>
      </c>
      <c r="AI123" s="8">
        <f t="shared" si="41"/>
        <v>5</v>
      </c>
      <c r="AJ123" s="29">
        <f t="shared" si="42"/>
        <v>4</v>
      </c>
      <c r="AK123" s="62">
        <v>4</v>
      </c>
      <c r="AL123" s="33">
        <f t="shared" si="43"/>
        <v>23</v>
      </c>
      <c r="AM123" s="63">
        <f t="shared" si="44"/>
        <v>176</v>
      </c>
      <c r="AN123" s="63">
        <f t="shared" si="45"/>
        <v>0</v>
      </c>
      <c r="AO123" s="63">
        <f t="shared" si="46"/>
        <v>0</v>
      </c>
      <c r="AP123" s="53">
        <f t="shared" si="47"/>
        <v>23</v>
      </c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</row>
    <row r="124" spans="1:55" ht="22" customHeight="1" x14ac:dyDescent="0.35">
      <c r="A124" s="8" t="s">
        <v>263</v>
      </c>
      <c r="B124" s="8" t="s">
        <v>264</v>
      </c>
      <c r="C124" s="8" t="s">
        <v>254</v>
      </c>
      <c r="D124" s="22" t="s">
        <v>5</v>
      </c>
      <c r="E124" s="22" t="s">
        <v>5</v>
      </c>
      <c r="F124" s="22" t="s">
        <v>5</v>
      </c>
      <c r="G124" s="26" t="s">
        <v>3</v>
      </c>
      <c r="H124" s="26" t="s">
        <v>3</v>
      </c>
      <c r="I124" s="27" t="s">
        <v>7</v>
      </c>
      <c r="J124" s="28" t="s">
        <v>11</v>
      </c>
      <c r="K124" s="22" t="s">
        <v>5</v>
      </c>
      <c r="L124" s="26" t="s">
        <v>3</v>
      </c>
      <c r="M124" s="26" t="s">
        <v>3</v>
      </c>
      <c r="N124" s="26" t="s">
        <v>3</v>
      </c>
      <c r="O124" s="26" t="s">
        <v>3</v>
      </c>
      <c r="P124" s="27" t="s">
        <v>7</v>
      </c>
      <c r="Q124" s="28" t="s">
        <v>11</v>
      </c>
      <c r="R124" s="26" t="s">
        <v>3</v>
      </c>
      <c r="S124" s="26" t="s">
        <v>3</v>
      </c>
      <c r="T124" s="26" t="s">
        <v>3</v>
      </c>
      <c r="U124" s="26" t="s">
        <v>3</v>
      </c>
      <c r="V124" s="26" t="s">
        <v>3</v>
      </c>
      <c r="W124" s="27" t="s">
        <v>7</v>
      </c>
      <c r="X124" s="28" t="s">
        <v>11</v>
      </c>
      <c r="Y124" s="26" t="s">
        <v>3</v>
      </c>
      <c r="Z124" s="26" t="s">
        <v>3</v>
      </c>
      <c r="AA124" s="26" t="s">
        <v>3</v>
      </c>
      <c r="AB124" s="26" t="s">
        <v>3</v>
      </c>
      <c r="AC124" s="26" t="s">
        <v>3</v>
      </c>
      <c r="AD124" s="27" t="s">
        <v>7</v>
      </c>
      <c r="AE124" s="28" t="s">
        <v>11</v>
      </c>
      <c r="AF124" s="26" t="s">
        <v>3</v>
      </c>
      <c r="AG124" s="26" t="s">
        <v>3</v>
      </c>
      <c r="AH124" s="8">
        <f t="shared" si="40"/>
        <v>18</v>
      </c>
      <c r="AI124" s="8">
        <f t="shared" si="41"/>
        <v>4</v>
      </c>
      <c r="AJ124" s="29">
        <f t="shared" si="42"/>
        <v>4</v>
      </c>
      <c r="AK124" s="62">
        <v>4</v>
      </c>
      <c r="AL124" s="33">
        <f t="shared" si="43"/>
        <v>24</v>
      </c>
      <c r="AM124" s="63">
        <f t="shared" si="44"/>
        <v>176</v>
      </c>
      <c r="AN124" s="63">
        <f t="shared" si="45"/>
        <v>0</v>
      </c>
      <c r="AO124" s="63">
        <f t="shared" si="46"/>
        <v>0</v>
      </c>
      <c r="AP124" s="53">
        <f t="shared" si="47"/>
        <v>24</v>
      </c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</row>
    <row r="125" spans="1:55" ht="22" customHeight="1" x14ac:dyDescent="0.35">
      <c r="A125" s="8" t="s">
        <v>265</v>
      </c>
      <c r="B125" s="8" t="s">
        <v>266</v>
      </c>
      <c r="C125" s="8" t="s">
        <v>254</v>
      </c>
      <c r="D125" s="22" t="s">
        <v>5</v>
      </c>
      <c r="E125" s="26" t="s">
        <v>3</v>
      </c>
      <c r="F125" s="22" t="s">
        <v>5</v>
      </c>
      <c r="G125" s="22" t="s">
        <v>5</v>
      </c>
      <c r="H125" s="26" t="s">
        <v>3</v>
      </c>
      <c r="I125" s="27" t="s">
        <v>7</v>
      </c>
      <c r="J125" s="24" t="s">
        <v>9</v>
      </c>
      <c r="K125" s="26" t="s">
        <v>3</v>
      </c>
      <c r="L125" s="26" t="s">
        <v>3</v>
      </c>
      <c r="M125" s="26" t="s">
        <v>3</v>
      </c>
      <c r="N125" s="26" t="s">
        <v>3</v>
      </c>
      <c r="O125" s="26" t="s">
        <v>3</v>
      </c>
      <c r="P125" s="27" t="s">
        <v>7</v>
      </c>
      <c r="Q125" s="28" t="s">
        <v>11</v>
      </c>
      <c r="R125" s="26" t="s">
        <v>3</v>
      </c>
      <c r="S125" s="26" t="s">
        <v>3</v>
      </c>
      <c r="T125" s="26" t="s">
        <v>3</v>
      </c>
      <c r="U125" s="26" t="s">
        <v>3</v>
      </c>
      <c r="V125" s="26" t="s">
        <v>3</v>
      </c>
      <c r="W125" s="27" t="s">
        <v>7</v>
      </c>
      <c r="X125" s="28" t="s">
        <v>11</v>
      </c>
      <c r="Y125" s="26" t="s">
        <v>3</v>
      </c>
      <c r="Z125" s="26" t="s">
        <v>3</v>
      </c>
      <c r="AA125" s="26" t="s">
        <v>3</v>
      </c>
      <c r="AB125" s="26" t="s">
        <v>3</v>
      </c>
      <c r="AC125" s="26" t="s">
        <v>3</v>
      </c>
      <c r="AD125" s="27" t="s">
        <v>7</v>
      </c>
      <c r="AE125" s="28" t="s">
        <v>11</v>
      </c>
      <c r="AF125" s="26" t="s">
        <v>3</v>
      </c>
      <c r="AG125" s="26" t="s">
        <v>3</v>
      </c>
      <c r="AH125" s="8">
        <f t="shared" si="40"/>
        <v>19</v>
      </c>
      <c r="AI125" s="8">
        <f t="shared" si="41"/>
        <v>3</v>
      </c>
      <c r="AJ125" s="29">
        <f t="shared" si="42"/>
        <v>3</v>
      </c>
      <c r="AK125" s="62">
        <v>4</v>
      </c>
      <c r="AL125" s="33">
        <f t="shared" si="43"/>
        <v>24</v>
      </c>
      <c r="AM125" s="63">
        <f t="shared" si="44"/>
        <v>176</v>
      </c>
      <c r="AN125" s="63">
        <f t="shared" si="45"/>
        <v>0</v>
      </c>
      <c r="AO125" s="63">
        <f t="shared" si="46"/>
        <v>0</v>
      </c>
      <c r="AP125" s="53">
        <f t="shared" si="47"/>
        <v>24</v>
      </c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</row>
    <row r="126" spans="1:55" ht="22" customHeight="1" x14ac:dyDescent="0.35">
      <c r="A126" s="8" t="s">
        <v>267</v>
      </c>
      <c r="B126" s="8" t="s">
        <v>268</v>
      </c>
      <c r="C126" s="8" t="s">
        <v>254</v>
      </c>
      <c r="D126" s="22" t="s">
        <v>5</v>
      </c>
      <c r="E126" s="26" t="s">
        <v>3</v>
      </c>
      <c r="F126" s="22" t="s">
        <v>5</v>
      </c>
      <c r="G126" s="22" t="s">
        <v>5</v>
      </c>
      <c r="H126" s="26" t="s">
        <v>3</v>
      </c>
      <c r="I126" s="23" t="s">
        <v>7</v>
      </c>
      <c r="J126" s="24" t="s">
        <v>9</v>
      </c>
      <c r="K126" s="22" t="s">
        <v>5</v>
      </c>
      <c r="L126" s="22" t="s">
        <v>5</v>
      </c>
      <c r="M126" s="22" t="s">
        <v>5</v>
      </c>
      <c r="N126" s="22" t="s">
        <v>5</v>
      </c>
      <c r="O126" s="22" t="s">
        <v>5</v>
      </c>
      <c r="P126" s="23" t="s">
        <v>7</v>
      </c>
      <c r="Q126" s="24" t="s">
        <v>9</v>
      </c>
      <c r="R126" s="22" t="s">
        <v>5</v>
      </c>
      <c r="S126" s="22" t="s">
        <v>5</v>
      </c>
      <c r="T126" s="22" t="s">
        <v>5</v>
      </c>
      <c r="U126" s="22" t="s">
        <v>5</v>
      </c>
      <c r="V126" s="22" t="s">
        <v>5</v>
      </c>
      <c r="W126" s="23" t="s">
        <v>7</v>
      </c>
      <c r="X126" s="24" t="s">
        <v>9</v>
      </c>
      <c r="Y126" s="22" t="s">
        <v>5</v>
      </c>
      <c r="Z126" s="22" t="s">
        <v>5</v>
      </c>
      <c r="AA126" s="22" t="s">
        <v>5</v>
      </c>
      <c r="AB126" s="22" t="s">
        <v>5</v>
      </c>
      <c r="AC126" s="22" t="s">
        <v>5</v>
      </c>
      <c r="AD126" s="23" t="s">
        <v>7</v>
      </c>
      <c r="AE126" s="24" t="s">
        <v>9</v>
      </c>
      <c r="AF126" s="22" t="s">
        <v>5</v>
      </c>
      <c r="AG126" s="22" t="s">
        <v>5</v>
      </c>
      <c r="AH126" s="8">
        <f t="shared" si="40"/>
        <v>2</v>
      </c>
      <c r="AI126" s="25">
        <f t="shared" si="41"/>
        <v>20</v>
      </c>
      <c r="AJ126" s="8">
        <f t="shared" si="42"/>
        <v>0</v>
      </c>
      <c r="AK126" s="62">
        <v>0</v>
      </c>
      <c r="AL126" s="33">
        <f t="shared" si="43"/>
        <v>2</v>
      </c>
      <c r="AM126" s="63">
        <f t="shared" si="44"/>
        <v>176</v>
      </c>
      <c r="AN126" s="63">
        <f t="shared" si="45"/>
        <v>1</v>
      </c>
      <c r="AO126" s="63">
        <f t="shared" si="46"/>
        <v>4</v>
      </c>
      <c r="AP126" s="53">
        <f t="shared" si="47"/>
        <v>1.5</v>
      </c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</row>
    <row r="127" spans="1:55" ht="22" customHeight="1" x14ac:dyDescent="0.35">
      <c r="A127" s="8" t="s">
        <v>269</v>
      </c>
      <c r="B127" s="8" t="s">
        <v>270</v>
      </c>
      <c r="C127" s="8" t="s">
        <v>254</v>
      </c>
      <c r="D127" s="22" t="s">
        <v>5</v>
      </c>
      <c r="E127" s="26" t="s">
        <v>3</v>
      </c>
      <c r="F127" s="22" t="s">
        <v>5</v>
      </c>
      <c r="G127" s="22" t="s">
        <v>5</v>
      </c>
      <c r="H127" s="26" t="s">
        <v>3</v>
      </c>
      <c r="I127" s="27" t="s">
        <v>7</v>
      </c>
      <c r="J127" s="28" t="s">
        <v>11</v>
      </c>
      <c r="K127" s="26" t="s">
        <v>3</v>
      </c>
      <c r="L127" s="26" t="s">
        <v>3</v>
      </c>
      <c r="M127" s="26" t="s">
        <v>3</v>
      </c>
      <c r="N127" s="26" t="s">
        <v>3</v>
      </c>
      <c r="O127" s="26" t="s">
        <v>3</v>
      </c>
      <c r="P127" s="27" t="s">
        <v>7</v>
      </c>
      <c r="Q127" s="28" t="s">
        <v>11</v>
      </c>
      <c r="R127" s="26" t="s">
        <v>3</v>
      </c>
      <c r="S127" s="26" t="s">
        <v>3</v>
      </c>
      <c r="T127" s="26" t="s">
        <v>3</v>
      </c>
      <c r="U127" s="26" t="s">
        <v>3</v>
      </c>
      <c r="V127" s="26" t="s">
        <v>3</v>
      </c>
      <c r="W127" s="23" t="s">
        <v>7</v>
      </c>
      <c r="X127" s="28" t="s">
        <v>11</v>
      </c>
      <c r="Y127" s="26" t="s">
        <v>3</v>
      </c>
      <c r="Z127" s="26" t="s">
        <v>3</v>
      </c>
      <c r="AA127" s="26" t="s">
        <v>3</v>
      </c>
      <c r="AB127" s="22" t="s">
        <v>5</v>
      </c>
      <c r="AC127" s="22" t="s">
        <v>5</v>
      </c>
      <c r="AD127" s="23" t="s">
        <v>7</v>
      </c>
      <c r="AE127" s="24" t="s">
        <v>9</v>
      </c>
      <c r="AF127" s="22" t="s">
        <v>5</v>
      </c>
      <c r="AG127" s="22" t="s">
        <v>5</v>
      </c>
      <c r="AH127" s="8">
        <f t="shared" si="40"/>
        <v>15</v>
      </c>
      <c r="AI127" s="8">
        <f t="shared" si="41"/>
        <v>7</v>
      </c>
      <c r="AJ127" s="29">
        <f t="shared" si="42"/>
        <v>3</v>
      </c>
      <c r="AK127" s="62">
        <v>2</v>
      </c>
      <c r="AL127" s="33">
        <f t="shared" si="43"/>
        <v>19</v>
      </c>
      <c r="AM127" s="63">
        <f t="shared" si="44"/>
        <v>176</v>
      </c>
      <c r="AN127" s="63">
        <f t="shared" si="45"/>
        <v>1</v>
      </c>
      <c r="AO127" s="63">
        <f t="shared" si="46"/>
        <v>4</v>
      </c>
      <c r="AP127" s="53">
        <f t="shared" si="47"/>
        <v>18.5</v>
      </c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</row>
    <row r="128" spans="1:55" ht="22" customHeight="1" x14ac:dyDescent="0.35">
      <c r="A128" s="8" t="s">
        <v>271</v>
      </c>
      <c r="B128" s="8" t="s">
        <v>272</v>
      </c>
      <c r="C128" s="8" t="s">
        <v>254</v>
      </c>
      <c r="D128" s="22" t="s">
        <v>5</v>
      </c>
      <c r="E128" s="22" t="s">
        <v>5</v>
      </c>
      <c r="F128" s="22" t="s">
        <v>5</v>
      </c>
      <c r="G128" s="26" t="s">
        <v>3</v>
      </c>
      <c r="H128" s="26" t="s">
        <v>3</v>
      </c>
      <c r="I128" s="27" t="s">
        <v>7</v>
      </c>
      <c r="J128" s="28" t="s">
        <v>11</v>
      </c>
      <c r="K128" s="26" t="s">
        <v>3</v>
      </c>
      <c r="L128" s="26" t="s">
        <v>3</v>
      </c>
      <c r="M128" s="26" t="s">
        <v>3</v>
      </c>
      <c r="N128" s="26" t="s">
        <v>3</v>
      </c>
      <c r="O128" s="26" t="s">
        <v>3</v>
      </c>
      <c r="P128" s="23" t="s">
        <v>7</v>
      </c>
      <c r="Q128" s="28" t="s">
        <v>11</v>
      </c>
      <c r="R128" s="26" t="s">
        <v>3</v>
      </c>
      <c r="S128" s="26" t="s">
        <v>3</v>
      </c>
      <c r="T128" s="26" t="s">
        <v>3</v>
      </c>
      <c r="U128" s="26" t="s">
        <v>3</v>
      </c>
      <c r="V128" s="26" t="s">
        <v>3</v>
      </c>
      <c r="W128" s="27" t="s">
        <v>7</v>
      </c>
      <c r="X128" s="28" t="s">
        <v>11</v>
      </c>
      <c r="Y128" s="26" t="s">
        <v>3</v>
      </c>
      <c r="Z128" s="26" t="s">
        <v>3</v>
      </c>
      <c r="AA128" s="26" t="s">
        <v>3</v>
      </c>
      <c r="AB128" s="26" t="s">
        <v>3</v>
      </c>
      <c r="AC128" s="26" t="s">
        <v>3</v>
      </c>
      <c r="AD128" s="27" t="s">
        <v>7</v>
      </c>
      <c r="AE128" s="28" t="s">
        <v>11</v>
      </c>
      <c r="AF128" s="26" t="s">
        <v>3</v>
      </c>
      <c r="AG128" s="22" t="s">
        <v>5</v>
      </c>
      <c r="AH128" s="8">
        <f t="shared" si="40"/>
        <v>18</v>
      </c>
      <c r="AI128" s="8">
        <f t="shared" si="41"/>
        <v>4</v>
      </c>
      <c r="AJ128" s="29">
        <f t="shared" si="42"/>
        <v>4</v>
      </c>
      <c r="AK128" s="62">
        <v>3</v>
      </c>
      <c r="AL128" s="33">
        <f t="shared" si="43"/>
        <v>23.5</v>
      </c>
      <c r="AM128" s="63">
        <f t="shared" si="44"/>
        <v>176</v>
      </c>
      <c r="AN128" s="63">
        <f t="shared" si="45"/>
        <v>1</v>
      </c>
      <c r="AO128" s="63">
        <f t="shared" si="46"/>
        <v>4</v>
      </c>
      <c r="AP128" s="53">
        <f t="shared" si="47"/>
        <v>23</v>
      </c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</row>
    <row r="129" spans="1:55" ht="22" customHeight="1" x14ac:dyDescent="0.35">
      <c r="A129" s="8" t="s">
        <v>273</v>
      </c>
      <c r="B129" s="8" t="s">
        <v>274</v>
      </c>
      <c r="C129" s="8" t="s">
        <v>254</v>
      </c>
      <c r="D129" s="22" t="s">
        <v>5</v>
      </c>
      <c r="E129" s="26" t="s">
        <v>3</v>
      </c>
      <c r="F129" s="22" t="s">
        <v>5</v>
      </c>
      <c r="G129" s="22" t="s">
        <v>5</v>
      </c>
      <c r="H129" s="26" t="s">
        <v>3</v>
      </c>
      <c r="I129" s="27" t="s">
        <v>7</v>
      </c>
      <c r="J129" s="28" t="s">
        <v>11</v>
      </c>
      <c r="K129" s="26" t="s">
        <v>3</v>
      </c>
      <c r="L129" s="26" t="s">
        <v>3</v>
      </c>
      <c r="M129" s="26" t="s">
        <v>3</v>
      </c>
      <c r="N129" s="26" t="s">
        <v>3</v>
      </c>
      <c r="O129" s="22" t="s">
        <v>5</v>
      </c>
      <c r="P129" s="27" t="s">
        <v>7</v>
      </c>
      <c r="Q129" s="28" t="s">
        <v>11</v>
      </c>
      <c r="R129" s="26" t="s">
        <v>3</v>
      </c>
      <c r="S129" s="26" t="s">
        <v>3</v>
      </c>
      <c r="T129" s="26" t="s">
        <v>3</v>
      </c>
      <c r="U129" s="26" t="s">
        <v>3</v>
      </c>
      <c r="V129" s="26" t="s">
        <v>3</v>
      </c>
      <c r="W129" s="23" t="s">
        <v>7</v>
      </c>
      <c r="X129" s="28" t="s">
        <v>11</v>
      </c>
      <c r="Y129" s="26" t="s">
        <v>3</v>
      </c>
      <c r="Z129" s="26" t="s">
        <v>3</v>
      </c>
      <c r="AA129" s="26" t="s">
        <v>3</v>
      </c>
      <c r="AB129" s="26" t="s">
        <v>3</v>
      </c>
      <c r="AC129" s="26" t="s">
        <v>3</v>
      </c>
      <c r="AD129" s="27" t="s">
        <v>7</v>
      </c>
      <c r="AE129" s="28" t="s">
        <v>11</v>
      </c>
      <c r="AF129" s="26" t="s">
        <v>3</v>
      </c>
      <c r="AG129" s="26" t="s">
        <v>3</v>
      </c>
      <c r="AH129" s="8">
        <f t="shared" si="40"/>
        <v>18</v>
      </c>
      <c r="AI129" s="8">
        <f t="shared" si="41"/>
        <v>4</v>
      </c>
      <c r="AJ129" s="29">
        <f t="shared" si="42"/>
        <v>4</v>
      </c>
      <c r="AK129" s="62">
        <v>3</v>
      </c>
      <c r="AL129" s="33">
        <f t="shared" si="43"/>
        <v>23.5</v>
      </c>
      <c r="AM129" s="63">
        <f t="shared" si="44"/>
        <v>176</v>
      </c>
      <c r="AN129" s="63">
        <f t="shared" si="45"/>
        <v>0</v>
      </c>
      <c r="AO129" s="63">
        <f t="shared" si="46"/>
        <v>0</v>
      </c>
      <c r="AP129" s="53">
        <f t="shared" si="47"/>
        <v>23.5</v>
      </c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</row>
  </sheetData>
  <mergeCells count="11">
    <mergeCell ref="A1:AJ1"/>
    <mergeCell ref="A4:AJ4"/>
    <mergeCell ref="A113:AJ113"/>
    <mergeCell ref="A2:AJ2"/>
    <mergeCell ref="A118:AJ118"/>
    <mergeCell ref="A76:AJ76"/>
    <mergeCell ref="A37:AJ37"/>
    <mergeCell ref="A84:AJ84"/>
    <mergeCell ref="A97:AJ97"/>
    <mergeCell ref="A21:AJ21"/>
    <mergeCell ref="A91:AJ9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129"/>
  <sheetViews>
    <sheetView workbookViewId="0">
      <pane xSplit="3" ySplit="3" topLeftCell="Y23" activePane="bottomRight" state="frozen"/>
      <selection pane="topRight"/>
      <selection pane="bottomLeft"/>
      <selection pane="bottomRight" activeCell="A28" sqref="A28:XFD28"/>
    </sheetView>
  </sheetViews>
  <sheetFormatPr defaultRowHeight="14.5" x14ac:dyDescent="0.35"/>
  <cols>
    <col min="1" max="1" width="7" customWidth="1"/>
    <col min="2" max="2" width="25.6328125" bestFit="1" customWidth="1"/>
    <col min="3" max="3" width="12" customWidth="1"/>
    <col min="4" max="36" width="5" customWidth="1"/>
    <col min="37" max="37" width="7.7265625" bestFit="1" customWidth="1"/>
    <col min="38" max="38" width="7" customWidth="1"/>
    <col min="39" max="39" width="8" customWidth="1"/>
    <col min="40" max="40" width="9" customWidth="1"/>
    <col min="41" max="41" width="8" customWidth="1"/>
    <col min="42" max="43" width="9" customWidth="1"/>
  </cols>
  <sheetData>
    <row r="1" spans="1:56" ht="30" customHeight="1" x14ac:dyDescent="0.35">
      <c r="A1" s="78" t="s">
        <v>486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</row>
    <row r="2" spans="1:56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N2" s="38"/>
      <c r="AO2" s="59" t="s">
        <v>311</v>
      </c>
      <c r="AP2" s="60">
        <v>4</v>
      </c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</row>
    <row r="3" spans="1:56" ht="35.15" customHeight="1" x14ac:dyDescent="0.35">
      <c r="A3" s="18" t="s">
        <v>14</v>
      </c>
      <c r="B3" s="18" t="s">
        <v>15</v>
      </c>
      <c r="C3" s="18" t="s">
        <v>312</v>
      </c>
      <c r="D3" s="19" t="s">
        <v>313</v>
      </c>
      <c r="E3" s="19" t="s">
        <v>314</v>
      </c>
      <c r="F3" s="19" t="s">
        <v>315</v>
      </c>
      <c r="G3" s="20" t="s">
        <v>316</v>
      </c>
      <c r="H3" s="21" t="s">
        <v>317</v>
      </c>
      <c r="I3" s="19" t="s">
        <v>318</v>
      </c>
      <c r="J3" s="19" t="s">
        <v>319</v>
      </c>
      <c r="K3" s="19" t="s">
        <v>320</v>
      </c>
      <c r="L3" s="19" t="s">
        <v>321</v>
      </c>
      <c r="M3" s="19" t="s">
        <v>322</v>
      </c>
      <c r="N3" s="20" t="s">
        <v>323</v>
      </c>
      <c r="O3" s="21" t="s">
        <v>324</v>
      </c>
      <c r="P3" s="19" t="s">
        <v>325</v>
      </c>
      <c r="Q3" s="19" t="s">
        <v>326</v>
      </c>
      <c r="R3" s="19" t="s">
        <v>327</v>
      </c>
      <c r="S3" s="19" t="s">
        <v>328</v>
      </c>
      <c r="T3" s="19" t="s">
        <v>329</v>
      </c>
      <c r="U3" s="20" t="s">
        <v>330</v>
      </c>
      <c r="V3" s="21" t="s">
        <v>331</v>
      </c>
      <c r="W3" s="19" t="s">
        <v>332</v>
      </c>
      <c r="X3" s="19" t="s">
        <v>333</v>
      </c>
      <c r="Y3" s="19" t="s">
        <v>334</v>
      </c>
      <c r="Z3" s="19" t="s">
        <v>335</v>
      </c>
      <c r="AA3" s="19" t="s">
        <v>336</v>
      </c>
      <c r="AB3" s="20" t="s">
        <v>337</v>
      </c>
      <c r="AC3" s="21" t="s">
        <v>338</v>
      </c>
      <c r="AD3" s="19" t="s">
        <v>339</v>
      </c>
      <c r="AE3" s="19" t="s">
        <v>340</v>
      </c>
      <c r="AF3" s="19" t="s">
        <v>341</v>
      </c>
      <c r="AG3" s="19" t="s">
        <v>342</v>
      </c>
      <c r="AH3" s="19" t="s">
        <v>343</v>
      </c>
      <c r="AI3" s="7" t="s">
        <v>344</v>
      </c>
      <c r="AJ3" s="7" t="s">
        <v>345</v>
      </c>
      <c r="AK3" s="7" t="s">
        <v>29</v>
      </c>
      <c r="AL3" s="34" t="s">
        <v>346</v>
      </c>
      <c r="AM3" s="34" t="s">
        <v>347</v>
      </c>
      <c r="AN3" s="61" t="s">
        <v>348</v>
      </c>
      <c r="AO3" s="42" t="s">
        <v>349</v>
      </c>
      <c r="AP3" s="43" t="s">
        <v>350</v>
      </c>
      <c r="AQ3" s="40" t="s">
        <v>351</v>
      </c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</row>
    <row r="4" spans="1:56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</row>
    <row r="5" spans="1:56" ht="22" customHeight="1" x14ac:dyDescent="0.35">
      <c r="A5" s="8" t="s">
        <v>43</v>
      </c>
      <c r="B5" s="8" t="s">
        <v>44</v>
      </c>
      <c r="C5" s="8" t="s">
        <v>45</v>
      </c>
      <c r="D5" s="26" t="s">
        <v>3</v>
      </c>
      <c r="E5" s="26" t="s">
        <v>3</v>
      </c>
      <c r="F5" s="26" t="s">
        <v>3</v>
      </c>
      <c r="G5" s="27" t="s">
        <v>7</v>
      </c>
      <c r="H5" s="28" t="s">
        <v>11</v>
      </c>
      <c r="I5" s="26" t="s">
        <v>3</v>
      </c>
      <c r="J5" s="26" t="s">
        <v>3</v>
      </c>
      <c r="K5" s="26" t="s">
        <v>3</v>
      </c>
      <c r="L5" s="26" t="s">
        <v>3</v>
      </c>
      <c r="M5" s="26" t="s">
        <v>3</v>
      </c>
      <c r="N5" s="23" t="s">
        <v>7</v>
      </c>
      <c r="O5" s="24" t="s">
        <v>9</v>
      </c>
      <c r="P5" s="26" t="s">
        <v>3</v>
      </c>
      <c r="Q5" s="26" t="s">
        <v>3</v>
      </c>
      <c r="R5" s="26" t="s">
        <v>3</v>
      </c>
      <c r="S5" s="26" t="s">
        <v>3</v>
      </c>
      <c r="T5" s="26" t="s">
        <v>3</v>
      </c>
      <c r="U5" s="27" t="s">
        <v>7</v>
      </c>
      <c r="V5" s="28" t="s">
        <v>11</v>
      </c>
      <c r="W5" s="26" t="s">
        <v>3</v>
      </c>
      <c r="X5" s="26" t="s">
        <v>3</v>
      </c>
      <c r="Y5" s="26" t="s">
        <v>3</v>
      </c>
      <c r="Z5" s="26" t="s">
        <v>3</v>
      </c>
      <c r="AA5" s="26" t="s">
        <v>3</v>
      </c>
      <c r="AB5" s="23" t="s">
        <v>7</v>
      </c>
      <c r="AC5" s="24" t="s">
        <v>9</v>
      </c>
      <c r="AD5" s="26" t="s">
        <v>3</v>
      </c>
      <c r="AE5" s="26" t="s">
        <v>3</v>
      </c>
      <c r="AF5" s="26" t="s">
        <v>3</v>
      </c>
      <c r="AG5" s="26" t="s">
        <v>3</v>
      </c>
      <c r="AH5" s="26" t="s">
        <v>3</v>
      </c>
      <c r="AI5" s="8">
        <f t="shared" ref="AI5:AI19" si="0">COUNTIF(D5:AH5,"ON")</f>
        <v>23</v>
      </c>
      <c r="AJ5" s="8">
        <f t="shared" ref="AJ5:AJ19" si="1">COUNTIF(D5:AH5,"OFF")</f>
        <v>0</v>
      </c>
      <c r="AK5" s="29">
        <f t="shared" ref="AK5:AK19" si="2">COUNTIF(D5:AH5,"OT")</f>
        <v>2</v>
      </c>
      <c r="AL5" s="62">
        <v>2</v>
      </c>
      <c r="AM5" s="33">
        <f t="shared" ref="AM5:AM19" si="3">AI5+AK5+AL5*0.5</f>
        <v>26</v>
      </c>
      <c r="AN5" s="63">
        <f t="shared" ref="AN5:AN19" si="4">NETWORKDAYS(DATE(2025,10,1),EOMONTH(DATE(2025,10,1),0))*8</f>
        <v>184</v>
      </c>
      <c r="AO5" s="63">
        <f t="shared" ref="AO5:AO19" si="5">MAX(0,COUNTIF(F5,"ON")+COUNTIF(M5,"ON")+COUNTIF(T5,"ON")+COUNTIF(AA5,"ON")+COUNTIF(AH5,"ON")-AL5)</f>
        <v>3</v>
      </c>
      <c r="AP5" s="63">
        <f t="shared" ref="AP5:AP19" si="6">AO5*$AP$2</f>
        <v>12</v>
      </c>
      <c r="AQ5" s="53">
        <f t="shared" ref="AQ5:AQ19" si="7">AM5-AP5/8</f>
        <v>24.5</v>
      </c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</row>
    <row r="6" spans="1:56" ht="22" customHeight="1" x14ac:dyDescent="0.35">
      <c r="A6" s="8" t="s">
        <v>46</v>
      </c>
      <c r="B6" s="8" t="s">
        <v>47</v>
      </c>
      <c r="C6" s="8" t="s">
        <v>45</v>
      </c>
      <c r="D6" s="22" t="s">
        <v>5</v>
      </c>
      <c r="E6" s="22" t="s">
        <v>5</v>
      </c>
      <c r="F6" s="22" t="s">
        <v>5</v>
      </c>
      <c r="G6" s="27" t="s">
        <v>7</v>
      </c>
      <c r="H6" s="28" t="s">
        <v>11</v>
      </c>
      <c r="I6" s="26" t="s">
        <v>3</v>
      </c>
      <c r="J6" s="26" t="s">
        <v>3</v>
      </c>
      <c r="K6" s="26" t="s">
        <v>3</v>
      </c>
      <c r="L6" s="26" t="s">
        <v>3</v>
      </c>
      <c r="M6" s="26" t="s">
        <v>3</v>
      </c>
      <c r="N6" s="27" t="s">
        <v>7</v>
      </c>
      <c r="O6" s="28" t="s">
        <v>11</v>
      </c>
      <c r="P6" s="26" t="s">
        <v>3</v>
      </c>
      <c r="Q6" s="26" t="s">
        <v>3</v>
      </c>
      <c r="R6" s="26" t="s">
        <v>3</v>
      </c>
      <c r="S6" s="26" t="s">
        <v>3</v>
      </c>
      <c r="T6" s="22" t="s">
        <v>5</v>
      </c>
      <c r="U6" s="23" t="s">
        <v>7</v>
      </c>
      <c r="V6" s="24" t="s">
        <v>9</v>
      </c>
      <c r="W6" s="22" t="s">
        <v>5</v>
      </c>
      <c r="X6" s="22" t="s">
        <v>5</v>
      </c>
      <c r="Y6" s="26" t="s">
        <v>3</v>
      </c>
      <c r="Z6" s="26" t="s">
        <v>3</v>
      </c>
      <c r="AA6" s="26" t="s">
        <v>3</v>
      </c>
      <c r="AB6" s="27" t="s">
        <v>7</v>
      </c>
      <c r="AC6" s="28" t="s">
        <v>11</v>
      </c>
      <c r="AD6" s="26" t="s">
        <v>3</v>
      </c>
      <c r="AE6" s="26" t="s">
        <v>3</v>
      </c>
      <c r="AF6" s="26" t="s">
        <v>3</v>
      </c>
      <c r="AG6" s="26" t="s">
        <v>3</v>
      </c>
      <c r="AH6" s="26" t="s">
        <v>3</v>
      </c>
      <c r="AI6" s="8">
        <f t="shared" si="0"/>
        <v>17</v>
      </c>
      <c r="AJ6" s="8">
        <f t="shared" si="1"/>
        <v>6</v>
      </c>
      <c r="AK6" s="29">
        <f t="shared" si="2"/>
        <v>3</v>
      </c>
      <c r="AL6" s="62">
        <v>3</v>
      </c>
      <c r="AM6" s="33">
        <f t="shared" si="3"/>
        <v>21.5</v>
      </c>
      <c r="AN6" s="63">
        <f t="shared" si="4"/>
        <v>184</v>
      </c>
      <c r="AO6" s="63">
        <f t="shared" si="5"/>
        <v>0</v>
      </c>
      <c r="AP6" s="63">
        <f t="shared" si="6"/>
        <v>0</v>
      </c>
      <c r="AQ6" s="53">
        <f t="shared" si="7"/>
        <v>21.5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</row>
    <row r="7" spans="1:56" ht="22" customHeight="1" x14ac:dyDescent="0.35">
      <c r="A7" s="8" t="s">
        <v>48</v>
      </c>
      <c r="B7" s="8" t="s">
        <v>49</v>
      </c>
      <c r="C7" s="8" t="s">
        <v>45</v>
      </c>
      <c r="D7" s="26" t="s">
        <v>3</v>
      </c>
      <c r="E7" s="26" t="s">
        <v>3</v>
      </c>
      <c r="F7" s="26" t="s">
        <v>3</v>
      </c>
      <c r="G7" s="23" t="s">
        <v>7</v>
      </c>
      <c r="H7" s="24" t="s">
        <v>9</v>
      </c>
      <c r="I7" s="26" t="s">
        <v>3</v>
      </c>
      <c r="J7" s="26" t="s">
        <v>3</v>
      </c>
      <c r="K7" s="22" t="s">
        <v>5</v>
      </c>
      <c r="L7" s="22" t="s">
        <v>5</v>
      </c>
      <c r="M7" s="22" t="s">
        <v>5</v>
      </c>
      <c r="N7" s="23" t="s">
        <v>7</v>
      </c>
      <c r="O7" s="24" t="s">
        <v>9</v>
      </c>
      <c r="P7" s="26" t="s">
        <v>3</v>
      </c>
      <c r="Q7" s="26" t="s">
        <v>3</v>
      </c>
      <c r="R7" s="26" t="s">
        <v>3</v>
      </c>
      <c r="S7" s="26" t="s">
        <v>3</v>
      </c>
      <c r="T7" s="22" t="s">
        <v>5</v>
      </c>
      <c r="U7" s="23" t="s">
        <v>7</v>
      </c>
      <c r="V7" s="28" t="s">
        <v>11</v>
      </c>
      <c r="W7" s="26" t="s">
        <v>3</v>
      </c>
      <c r="X7" s="26" t="s">
        <v>3</v>
      </c>
      <c r="Y7" s="26" t="s">
        <v>3</v>
      </c>
      <c r="Z7" s="26" t="s">
        <v>3</v>
      </c>
      <c r="AA7" s="26" t="s">
        <v>3</v>
      </c>
      <c r="AB7" s="23" t="s">
        <v>7</v>
      </c>
      <c r="AC7" s="24" t="s">
        <v>9</v>
      </c>
      <c r="AD7" s="26" t="s">
        <v>3</v>
      </c>
      <c r="AE7" s="26" t="s">
        <v>3</v>
      </c>
      <c r="AF7" s="26" t="s">
        <v>3</v>
      </c>
      <c r="AG7" s="26" t="s">
        <v>3</v>
      </c>
      <c r="AH7" s="26" t="s">
        <v>3</v>
      </c>
      <c r="AI7" s="8">
        <f t="shared" si="0"/>
        <v>19</v>
      </c>
      <c r="AJ7" s="8">
        <f t="shared" si="1"/>
        <v>4</v>
      </c>
      <c r="AK7" s="29">
        <f t="shared" si="2"/>
        <v>1</v>
      </c>
      <c r="AL7" s="62">
        <v>0</v>
      </c>
      <c r="AM7" s="33">
        <f t="shared" si="3"/>
        <v>20</v>
      </c>
      <c r="AN7" s="63">
        <f t="shared" si="4"/>
        <v>184</v>
      </c>
      <c r="AO7" s="63">
        <f t="shared" si="5"/>
        <v>3</v>
      </c>
      <c r="AP7" s="63">
        <f t="shared" si="6"/>
        <v>12</v>
      </c>
      <c r="AQ7" s="53">
        <f t="shared" si="7"/>
        <v>18.5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</row>
    <row r="8" spans="1:56" ht="22" customHeight="1" x14ac:dyDescent="0.35">
      <c r="A8" s="8" t="s">
        <v>50</v>
      </c>
      <c r="B8" s="8" t="s">
        <v>51</v>
      </c>
      <c r="C8" s="8" t="s">
        <v>45</v>
      </c>
      <c r="D8" s="22" t="s">
        <v>5</v>
      </c>
      <c r="E8" s="22" t="s">
        <v>5</v>
      </c>
      <c r="F8" s="26" t="s">
        <v>3</v>
      </c>
      <c r="G8" s="27" t="s">
        <v>7</v>
      </c>
      <c r="H8" s="28" t="s">
        <v>11</v>
      </c>
      <c r="I8" s="26" t="s">
        <v>3</v>
      </c>
      <c r="J8" s="26" t="s">
        <v>3</v>
      </c>
      <c r="K8" s="26" t="s">
        <v>3</v>
      </c>
      <c r="L8" s="26" t="s">
        <v>3</v>
      </c>
      <c r="M8" s="26" t="s">
        <v>3</v>
      </c>
      <c r="N8" s="23" t="s">
        <v>7</v>
      </c>
      <c r="O8" s="24" t="s">
        <v>9</v>
      </c>
      <c r="P8" s="26" t="s">
        <v>3</v>
      </c>
      <c r="Q8" s="26" t="s">
        <v>3</v>
      </c>
      <c r="R8" s="26" t="s">
        <v>3</v>
      </c>
      <c r="S8" s="26" t="s">
        <v>3</v>
      </c>
      <c r="T8" s="26" t="s">
        <v>3</v>
      </c>
      <c r="U8" s="27" t="s">
        <v>7</v>
      </c>
      <c r="V8" s="28" t="s">
        <v>11</v>
      </c>
      <c r="W8" s="26" t="s">
        <v>3</v>
      </c>
      <c r="X8" s="26" t="s">
        <v>3</v>
      </c>
      <c r="Y8" s="26" t="s">
        <v>3</v>
      </c>
      <c r="Z8" s="26" t="s">
        <v>3</v>
      </c>
      <c r="AA8" s="26" t="s">
        <v>3</v>
      </c>
      <c r="AB8" s="27" t="s">
        <v>7</v>
      </c>
      <c r="AC8" s="28" t="s">
        <v>11</v>
      </c>
      <c r="AD8" s="26" t="s">
        <v>3</v>
      </c>
      <c r="AE8" s="26" t="s">
        <v>3</v>
      </c>
      <c r="AF8" s="26" t="s">
        <v>3</v>
      </c>
      <c r="AG8" s="26" t="s">
        <v>3</v>
      </c>
      <c r="AH8" s="26" t="s">
        <v>3</v>
      </c>
      <c r="AI8" s="8">
        <f t="shared" si="0"/>
        <v>21</v>
      </c>
      <c r="AJ8" s="8">
        <f t="shared" si="1"/>
        <v>2</v>
      </c>
      <c r="AK8" s="29">
        <f t="shared" si="2"/>
        <v>3</v>
      </c>
      <c r="AL8" s="62">
        <v>3</v>
      </c>
      <c r="AM8" s="33">
        <f t="shared" si="3"/>
        <v>25.5</v>
      </c>
      <c r="AN8" s="63">
        <f t="shared" si="4"/>
        <v>184</v>
      </c>
      <c r="AO8" s="63">
        <f t="shared" si="5"/>
        <v>2</v>
      </c>
      <c r="AP8" s="63">
        <f t="shared" si="6"/>
        <v>8</v>
      </c>
      <c r="AQ8" s="53">
        <f t="shared" si="7"/>
        <v>24.5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</row>
    <row r="9" spans="1:56" ht="22" customHeight="1" x14ac:dyDescent="0.35">
      <c r="A9" s="8" t="s">
        <v>52</v>
      </c>
      <c r="B9" s="8" t="s">
        <v>53</v>
      </c>
      <c r="C9" s="8" t="s">
        <v>45</v>
      </c>
      <c r="D9" s="26" t="s">
        <v>3</v>
      </c>
      <c r="E9" s="26" t="s">
        <v>3</v>
      </c>
      <c r="F9" s="26" t="s">
        <v>3</v>
      </c>
      <c r="G9" s="27" t="s">
        <v>7</v>
      </c>
      <c r="H9" s="24" t="s">
        <v>9</v>
      </c>
      <c r="I9" s="26" t="s">
        <v>3</v>
      </c>
      <c r="J9" s="26" t="s">
        <v>3</v>
      </c>
      <c r="K9" s="26" t="s">
        <v>3</v>
      </c>
      <c r="L9" s="26" t="s">
        <v>3</v>
      </c>
      <c r="M9" s="26" t="s">
        <v>3</v>
      </c>
      <c r="N9" s="23" t="s">
        <v>7</v>
      </c>
      <c r="O9" s="24" t="s">
        <v>9</v>
      </c>
      <c r="P9" s="22" t="s">
        <v>5</v>
      </c>
      <c r="Q9" s="22" t="s">
        <v>5</v>
      </c>
      <c r="R9" s="22" t="s">
        <v>5</v>
      </c>
      <c r="S9" s="22" t="s">
        <v>5</v>
      </c>
      <c r="T9" s="22" t="s">
        <v>5</v>
      </c>
      <c r="U9" s="23" t="s">
        <v>7</v>
      </c>
      <c r="V9" s="24" t="s">
        <v>9</v>
      </c>
      <c r="W9" s="22" t="s">
        <v>5</v>
      </c>
      <c r="X9" s="22" t="s">
        <v>5</v>
      </c>
      <c r="Y9" s="22" t="s">
        <v>5</v>
      </c>
      <c r="Z9" s="22" t="s">
        <v>5</v>
      </c>
      <c r="AA9" s="22" t="s">
        <v>5</v>
      </c>
      <c r="AB9" s="23" t="s">
        <v>7</v>
      </c>
      <c r="AC9" s="24" t="s">
        <v>9</v>
      </c>
      <c r="AD9" s="22" t="s">
        <v>5</v>
      </c>
      <c r="AE9" s="26" t="s">
        <v>3</v>
      </c>
      <c r="AF9" s="22" t="s">
        <v>5</v>
      </c>
      <c r="AG9" s="26" t="s">
        <v>3</v>
      </c>
      <c r="AH9" s="26" t="s">
        <v>3</v>
      </c>
      <c r="AI9" s="8">
        <f t="shared" si="0"/>
        <v>11</v>
      </c>
      <c r="AJ9" s="25">
        <f t="shared" si="1"/>
        <v>12</v>
      </c>
      <c r="AK9" s="8">
        <f t="shared" si="2"/>
        <v>0</v>
      </c>
      <c r="AL9" s="62">
        <v>1</v>
      </c>
      <c r="AM9" s="33">
        <f t="shared" si="3"/>
        <v>11.5</v>
      </c>
      <c r="AN9" s="63">
        <f t="shared" si="4"/>
        <v>184</v>
      </c>
      <c r="AO9" s="63">
        <f t="shared" si="5"/>
        <v>2</v>
      </c>
      <c r="AP9" s="63">
        <f t="shared" si="6"/>
        <v>8</v>
      </c>
      <c r="AQ9" s="53">
        <f t="shared" si="7"/>
        <v>10.5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</row>
    <row r="10" spans="1:56" ht="22" customHeight="1" x14ac:dyDescent="0.35">
      <c r="A10" s="8" t="s">
        <v>54</v>
      </c>
      <c r="B10" s="8" t="s">
        <v>55</v>
      </c>
      <c r="C10" s="8" t="s">
        <v>45</v>
      </c>
      <c r="D10" s="26" t="s">
        <v>3</v>
      </c>
      <c r="E10" s="26" t="s">
        <v>3</v>
      </c>
      <c r="F10" s="26" t="s">
        <v>3</v>
      </c>
      <c r="G10" s="23" t="s">
        <v>7</v>
      </c>
      <c r="H10" s="24" t="s">
        <v>9</v>
      </c>
      <c r="I10" s="26" t="s">
        <v>3</v>
      </c>
      <c r="J10" s="26" t="s">
        <v>3</v>
      </c>
      <c r="K10" s="26" t="s">
        <v>3</v>
      </c>
      <c r="L10" s="22" t="s">
        <v>5</v>
      </c>
      <c r="M10" s="22" t="s">
        <v>5</v>
      </c>
      <c r="N10" s="23" t="s">
        <v>7</v>
      </c>
      <c r="O10" s="24" t="s">
        <v>9</v>
      </c>
      <c r="P10" s="26" t="s">
        <v>3</v>
      </c>
      <c r="Q10" s="26" t="s">
        <v>3</v>
      </c>
      <c r="R10" s="26" t="s">
        <v>3</v>
      </c>
      <c r="S10" s="26" t="s">
        <v>3</v>
      </c>
      <c r="T10" s="26" t="s">
        <v>3</v>
      </c>
      <c r="U10" s="27" t="s">
        <v>7</v>
      </c>
      <c r="V10" s="24" t="s">
        <v>9</v>
      </c>
      <c r="W10" s="26" t="s">
        <v>3</v>
      </c>
      <c r="X10" s="26" t="s">
        <v>3</v>
      </c>
      <c r="Y10" s="26" t="s">
        <v>3</v>
      </c>
      <c r="Z10" s="26" t="s">
        <v>3</v>
      </c>
      <c r="AA10" s="26" t="s">
        <v>3</v>
      </c>
      <c r="AB10" s="27" t="s">
        <v>7</v>
      </c>
      <c r="AC10" s="28" t="s">
        <v>11</v>
      </c>
      <c r="AD10" s="26" t="s">
        <v>3</v>
      </c>
      <c r="AE10" s="26" t="s">
        <v>3</v>
      </c>
      <c r="AF10" s="26" t="s">
        <v>3</v>
      </c>
      <c r="AG10" s="26" t="s">
        <v>3</v>
      </c>
      <c r="AH10" s="26" t="s">
        <v>3</v>
      </c>
      <c r="AI10" s="8">
        <f t="shared" si="0"/>
        <v>21</v>
      </c>
      <c r="AJ10" s="8">
        <f t="shared" si="1"/>
        <v>2</v>
      </c>
      <c r="AK10" s="29">
        <f t="shared" si="2"/>
        <v>1</v>
      </c>
      <c r="AL10" s="62">
        <v>2</v>
      </c>
      <c r="AM10" s="33">
        <f t="shared" si="3"/>
        <v>23</v>
      </c>
      <c r="AN10" s="63">
        <f t="shared" si="4"/>
        <v>184</v>
      </c>
      <c r="AO10" s="63">
        <f t="shared" si="5"/>
        <v>2</v>
      </c>
      <c r="AP10" s="63">
        <f t="shared" si="6"/>
        <v>8</v>
      </c>
      <c r="AQ10" s="53">
        <f t="shared" si="7"/>
        <v>22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</row>
    <row r="11" spans="1:56" ht="22" customHeight="1" x14ac:dyDescent="0.35">
      <c r="A11" s="8" t="s">
        <v>56</v>
      </c>
      <c r="B11" s="8" t="s">
        <v>57</v>
      </c>
      <c r="C11" s="8" t="s">
        <v>45</v>
      </c>
      <c r="D11" s="26" t="s">
        <v>3</v>
      </c>
      <c r="E11" s="26" t="s">
        <v>3</v>
      </c>
      <c r="F11" s="26" t="s">
        <v>3</v>
      </c>
      <c r="G11" s="27" t="s">
        <v>7</v>
      </c>
      <c r="H11" s="28" t="s">
        <v>11</v>
      </c>
      <c r="I11" s="22" t="s">
        <v>5</v>
      </c>
      <c r="J11" s="26" t="s">
        <v>3</v>
      </c>
      <c r="K11" s="26" t="s">
        <v>3</v>
      </c>
      <c r="L11" s="26" t="s">
        <v>3</v>
      </c>
      <c r="M11" s="26" t="s">
        <v>3</v>
      </c>
      <c r="N11" s="23" t="s">
        <v>7</v>
      </c>
      <c r="O11" s="24" t="s">
        <v>9</v>
      </c>
      <c r="P11" s="22" t="s">
        <v>5</v>
      </c>
      <c r="Q11" s="22" t="s">
        <v>5</v>
      </c>
      <c r="R11" s="22" t="s">
        <v>5</v>
      </c>
      <c r="S11" s="22" t="s">
        <v>5</v>
      </c>
      <c r="T11" s="22" t="s">
        <v>5</v>
      </c>
      <c r="U11" s="23" t="s">
        <v>7</v>
      </c>
      <c r="V11" s="24" t="s">
        <v>9</v>
      </c>
      <c r="W11" s="22" t="s">
        <v>5</v>
      </c>
      <c r="X11" s="22" t="s">
        <v>5</v>
      </c>
      <c r="Y11" s="22" t="s">
        <v>5</v>
      </c>
      <c r="Z11" s="22" t="s">
        <v>5</v>
      </c>
      <c r="AA11" s="22" t="s">
        <v>5</v>
      </c>
      <c r="AB11" s="23" t="s">
        <v>7</v>
      </c>
      <c r="AC11" s="24" t="s">
        <v>9</v>
      </c>
      <c r="AD11" s="22" t="s">
        <v>5</v>
      </c>
      <c r="AE11" s="22" t="s">
        <v>5</v>
      </c>
      <c r="AF11" s="22" t="s">
        <v>5</v>
      </c>
      <c r="AG11" s="26" t="s">
        <v>3</v>
      </c>
      <c r="AH11" s="26" t="s">
        <v>3</v>
      </c>
      <c r="AI11" s="8">
        <f t="shared" si="0"/>
        <v>9</v>
      </c>
      <c r="AJ11" s="25">
        <f t="shared" si="1"/>
        <v>14</v>
      </c>
      <c r="AK11" s="29">
        <f t="shared" si="2"/>
        <v>1</v>
      </c>
      <c r="AL11" s="62">
        <v>1</v>
      </c>
      <c r="AM11" s="33">
        <f t="shared" si="3"/>
        <v>10.5</v>
      </c>
      <c r="AN11" s="63">
        <f t="shared" si="4"/>
        <v>184</v>
      </c>
      <c r="AO11" s="63">
        <f t="shared" si="5"/>
        <v>2</v>
      </c>
      <c r="AP11" s="63">
        <f t="shared" si="6"/>
        <v>8</v>
      </c>
      <c r="AQ11" s="53">
        <f t="shared" si="7"/>
        <v>9.5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</row>
    <row r="12" spans="1:56" ht="22" customHeight="1" x14ac:dyDescent="0.35">
      <c r="A12" s="8" t="s">
        <v>58</v>
      </c>
      <c r="B12" s="8" t="s">
        <v>59</v>
      </c>
      <c r="C12" s="8" t="s">
        <v>45</v>
      </c>
      <c r="D12" s="26" t="s">
        <v>3</v>
      </c>
      <c r="E12" s="26" t="s">
        <v>3</v>
      </c>
      <c r="F12" s="26" t="s">
        <v>3</v>
      </c>
      <c r="G12" s="27" t="s">
        <v>7</v>
      </c>
      <c r="H12" s="28" t="s">
        <v>11</v>
      </c>
      <c r="I12" s="26" t="s">
        <v>3</v>
      </c>
      <c r="J12" s="26" t="s">
        <v>3</v>
      </c>
      <c r="K12" s="26" t="s">
        <v>3</v>
      </c>
      <c r="L12" s="26" t="s">
        <v>3</v>
      </c>
      <c r="M12" s="26" t="s">
        <v>3</v>
      </c>
      <c r="N12" s="27" t="s">
        <v>7</v>
      </c>
      <c r="O12" s="28" t="s">
        <v>11</v>
      </c>
      <c r="P12" s="26" t="s">
        <v>3</v>
      </c>
      <c r="Q12" s="26" t="s">
        <v>3</v>
      </c>
      <c r="R12" s="26" t="s">
        <v>3</v>
      </c>
      <c r="S12" s="26" t="s">
        <v>3</v>
      </c>
      <c r="T12" s="26" t="s">
        <v>3</v>
      </c>
      <c r="U12" s="27" t="s">
        <v>7</v>
      </c>
      <c r="V12" s="28" t="s">
        <v>11</v>
      </c>
      <c r="W12" s="26" t="s">
        <v>3</v>
      </c>
      <c r="X12" s="26" t="s">
        <v>3</v>
      </c>
      <c r="Y12" s="26" t="s">
        <v>3</v>
      </c>
      <c r="Z12" s="26" t="s">
        <v>3</v>
      </c>
      <c r="AA12" s="26" t="s">
        <v>3</v>
      </c>
      <c r="AB12" s="27" t="s">
        <v>7</v>
      </c>
      <c r="AC12" s="28" t="s">
        <v>11</v>
      </c>
      <c r="AD12" s="26" t="s">
        <v>3</v>
      </c>
      <c r="AE12" s="26" t="s">
        <v>3</v>
      </c>
      <c r="AF12" s="26" t="s">
        <v>3</v>
      </c>
      <c r="AG12" s="26" t="s">
        <v>3</v>
      </c>
      <c r="AH12" s="26" t="s">
        <v>3</v>
      </c>
      <c r="AI12" s="8">
        <f t="shared" si="0"/>
        <v>23</v>
      </c>
      <c r="AJ12" s="8">
        <f t="shared" si="1"/>
        <v>0</v>
      </c>
      <c r="AK12" s="29">
        <f t="shared" si="2"/>
        <v>4</v>
      </c>
      <c r="AL12" s="62">
        <v>4</v>
      </c>
      <c r="AM12" s="33">
        <f t="shared" si="3"/>
        <v>29</v>
      </c>
      <c r="AN12" s="63">
        <f t="shared" si="4"/>
        <v>184</v>
      </c>
      <c r="AO12" s="63">
        <f t="shared" si="5"/>
        <v>1</v>
      </c>
      <c r="AP12" s="63">
        <f t="shared" si="6"/>
        <v>4</v>
      </c>
      <c r="AQ12" s="53">
        <f t="shared" si="7"/>
        <v>28.5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</row>
    <row r="13" spans="1:56" ht="22" customHeight="1" x14ac:dyDescent="0.35">
      <c r="A13" s="8" t="s">
        <v>60</v>
      </c>
      <c r="B13" s="8" t="s">
        <v>61</v>
      </c>
      <c r="C13" s="8" t="s">
        <v>45</v>
      </c>
      <c r="D13" s="26" t="s">
        <v>3</v>
      </c>
      <c r="E13" s="26" t="s">
        <v>3</v>
      </c>
      <c r="F13" s="26" t="s">
        <v>3</v>
      </c>
      <c r="G13" s="23" t="s">
        <v>7</v>
      </c>
      <c r="H13" s="24" t="s">
        <v>9</v>
      </c>
      <c r="I13" s="22" t="s">
        <v>5</v>
      </c>
      <c r="J13" s="22" t="s">
        <v>5</v>
      </c>
      <c r="K13" s="22" t="s">
        <v>5</v>
      </c>
      <c r="L13" s="22" t="s">
        <v>5</v>
      </c>
      <c r="M13" s="22" t="s">
        <v>5</v>
      </c>
      <c r="N13" s="23" t="s">
        <v>7</v>
      </c>
      <c r="O13" s="24" t="s">
        <v>9</v>
      </c>
      <c r="P13" s="22" t="s">
        <v>5</v>
      </c>
      <c r="Q13" s="22" t="s">
        <v>5</v>
      </c>
      <c r="R13" s="22" t="s">
        <v>5</v>
      </c>
      <c r="S13" s="22" t="s">
        <v>5</v>
      </c>
      <c r="T13" s="22" t="s">
        <v>5</v>
      </c>
      <c r="U13" s="23" t="s">
        <v>7</v>
      </c>
      <c r="V13" s="24" t="s">
        <v>9</v>
      </c>
      <c r="W13" s="22" t="s">
        <v>5</v>
      </c>
      <c r="X13" s="22" t="s">
        <v>5</v>
      </c>
      <c r="Y13" s="22" t="s">
        <v>5</v>
      </c>
      <c r="Z13" s="22" t="s">
        <v>5</v>
      </c>
      <c r="AA13" s="22" t="s">
        <v>5</v>
      </c>
      <c r="AB13" s="23" t="s">
        <v>7</v>
      </c>
      <c r="AC13" s="24" t="s">
        <v>9</v>
      </c>
      <c r="AD13" s="22" t="s">
        <v>5</v>
      </c>
      <c r="AE13" s="22" t="s">
        <v>5</v>
      </c>
      <c r="AF13" s="22" t="s">
        <v>5</v>
      </c>
      <c r="AG13" s="22" t="s">
        <v>5</v>
      </c>
      <c r="AH13" s="22" t="s">
        <v>5</v>
      </c>
      <c r="AI13" s="8">
        <f t="shared" si="0"/>
        <v>3</v>
      </c>
      <c r="AJ13" s="25">
        <f t="shared" si="1"/>
        <v>20</v>
      </c>
      <c r="AK13" s="8">
        <f t="shared" si="2"/>
        <v>0</v>
      </c>
      <c r="AL13" s="62">
        <v>0</v>
      </c>
      <c r="AM13" s="33">
        <f t="shared" si="3"/>
        <v>3</v>
      </c>
      <c r="AN13" s="63">
        <f t="shared" si="4"/>
        <v>184</v>
      </c>
      <c r="AO13" s="63">
        <f t="shared" si="5"/>
        <v>1</v>
      </c>
      <c r="AP13" s="63">
        <f t="shared" si="6"/>
        <v>4</v>
      </c>
      <c r="AQ13" s="53">
        <f t="shared" si="7"/>
        <v>2.5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</row>
    <row r="14" spans="1:56" ht="22" customHeight="1" x14ac:dyDescent="0.35">
      <c r="A14" s="8" t="s">
        <v>352</v>
      </c>
      <c r="B14" s="8" t="s">
        <v>353</v>
      </c>
      <c r="C14" s="8" t="s">
        <v>45</v>
      </c>
      <c r="D14" s="26" t="s">
        <v>3</v>
      </c>
      <c r="E14" s="26" t="s">
        <v>3</v>
      </c>
      <c r="F14" s="26" t="s">
        <v>3</v>
      </c>
      <c r="G14" s="23" t="s">
        <v>7</v>
      </c>
      <c r="H14" s="24" t="s">
        <v>9</v>
      </c>
      <c r="I14" s="22" t="s">
        <v>5</v>
      </c>
      <c r="J14" s="22" t="s">
        <v>5</v>
      </c>
      <c r="K14" s="26" t="s">
        <v>3</v>
      </c>
      <c r="L14" s="26" t="s">
        <v>3</v>
      </c>
      <c r="M14" s="26" t="s">
        <v>3</v>
      </c>
      <c r="N14" s="27" t="s">
        <v>7</v>
      </c>
      <c r="O14" s="28" t="s">
        <v>11</v>
      </c>
      <c r="P14" s="26" t="s">
        <v>3</v>
      </c>
      <c r="Q14" s="26" t="s">
        <v>3</v>
      </c>
      <c r="R14" s="26" t="s">
        <v>3</v>
      </c>
      <c r="S14" s="26" t="s">
        <v>3</v>
      </c>
      <c r="T14" s="26" t="s">
        <v>3</v>
      </c>
      <c r="U14" s="23" t="s">
        <v>7</v>
      </c>
      <c r="V14" s="24" t="s">
        <v>9</v>
      </c>
      <c r="W14" s="22" t="s">
        <v>5</v>
      </c>
      <c r="X14" s="22" t="s">
        <v>5</v>
      </c>
      <c r="Y14" s="22" t="s">
        <v>5</v>
      </c>
      <c r="Z14" s="22" t="s">
        <v>5</v>
      </c>
      <c r="AA14" s="22" t="s">
        <v>5</v>
      </c>
      <c r="AB14" s="23" t="s">
        <v>7</v>
      </c>
      <c r="AC14" s="24" t="s">
        <v>9</v>
      </c>
      <c r="AD14" s="22" t="s">
        <v>5</v>
      </c>
      <c r="AE14" s="22" t="s">
        <v>5</v>
      </c>
      <c r="AF14" s="22" t="s">
        <v>5</v>
      </c>
      <c r="AG14" s="22" t="s">
        <v>5</v>
      </c>
      <c r="AH14" s="22" t="s">
        <v>5</v>
      </c>
      <c r="AI14" s="8">
        <f t="shared" si="0"/>
        <v>11</v>
      </c>
      <c r="AJ14" s="25">
        <f t="shared" si="1"/>
        <v>12</v>
      </c>
      <c r="AK14" s="29">
        <f t="shared" si="2"/>
        <v>1</v>
      </c>
      <c r="AL14" s="62">
        <v>1</v>
      </c>
      <c r="AM14" s="33">
        <f t="shared" si="3"/>
        <v>12.5</v>
      </c>
      <c r="AN14" s="63">
        <f t="shared" si="4"/>
        <v>184</v>
      </c>
      <c r="AO14" s="63">
        <f t="shared" si="5"/>
        <v>2</v>
      </c>
      <c r="AP14" s="63">
        <f t="shared" si="6"/>
        <v>8</v>
      </c>
      <c r="AQ14" s="53">
        <f t="shared" si="7"/>
        <v>11.5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</row>
    <row r="15" spans="1:56" ht="22" customHeight="1" x14ac:dyDescent="0.35">
      <c r="A15" s="8" t="s">
        <v>62</v>
      </c>
      <c r="B15" s="8" t="s">
        <v>63</v>
      </c>
      <c r="C15" s="8" t="s">
        <v>45</v>
      </c>
      <c r="D15" s="26" t="s">
        <v>3</v>
      </c>
      <c r="E15" s="26" t="s">
        <v>3</v>
      </c>
      <c r="F15" s="26" t="s">
        <v>3</v>
      </c>
      <c r="G15" s="27" t="s">
        <v>7</v>
      </c>
      <c r="H15" s="28" t="s">
        <v>11</v>
      </c>
      <c r="I15" s="26" t="s">
        <v>3</v>
      </c>
      <c r="J15" s="26" t="s">
        <v>3</v>
      </c>
      <c r="K15" s="26" t="s">
        <v>3</v>
      </c>
      <c r="L15" s="26" t="s">
        <v>3</v>
      </c>
      <c r="M15" s="26" t="s">
        <v>3</v>
      </c>
      <c r="N15" s="23" t="s">
        <v>7</v>
      </c>
      <c r="O15" s="24" t="s">
        <v>9</v>
      </c>
      <c r="P15" s="22" t="s">
        <v>5</v>
      </c>
      <c r="Q15" s="22" t="s">
        <v>5</v>
      </c>
      <c r="R15" s="22" t="s">
        <v>5</v>
      </c>
      <c r="S15" s="22" t="s">
        <v>5</v>
      </c>
      <c r="T15" s="26" t="s">
        <v>3</v>
      </c>
      <c r="U15" s="27" t="s">
        <v>7</v>
      </c>
      <c r="V15" s="24" t="s">
        <v>9</v>
      </c>
      <c r="W15" s="22" t="s">
        <v>5</v>
      </c>
      <c r="X15" s="26" t="s">
        <v>3</v>
      </c>
      <c r="Y15" s="22" t="s">
        <v>5</v>
      </c>
      <c r="Z15" s="22" t="s">
        <v>5</v>
      </c>
      <c r="AA15" s="22" t="s">
        <v>5</v>
      </c>
      <c r="AB15" s="23" t="s">
        <v>7</v>
      </c>
      <c r="AC15" s="24" t="s">
        <v>9</v>
      </c>
      <c r="AD15" s="22" t="s">
        <v>5</v>
      </c>
      <c r="AE15" s="22" t="s">
        <v>5</v>
      </c>
      <c r="AF15" s="22" t="s">
        <v>5</v>
      </c>
      <c r="AG15" s="22" t="s">
        <v>5</v>
      </c>
      <c r="AH15" s="22" t="s">
        <v>5</v>
      </c>
      <c r="AI15" s="8">
        <f t="shared" si="0"/>
        <v>10</v>
      </c>
      <c r="AJ15" s="25">
        <f t="shared" si="1"/>
        <v>13</v>
      </c>
      <c r="AK15" s="29">
        <f t="shared" si="2"/>
        <v>1</v>
      </c>
      <c r="AL15" s="62">
        <v>2</v>
      </c>
      <c r="AM15" s="33">
        <f t="shared" si="3"/>
        <v>12</v>
      </c>
      <c r="AN15" s="63">
        <f t="shared" si="4"/>
        <v>184</v>
      </c>
      <c r="AO15" s="63">
        <f t="shared" si="5"/>
        <v>1</v>
      </c>
      <c r="AP15" s="63">
        <f t="shared" si="6"/>
        <v>4</v>
      </c>
      <c r="AQ15" s="53">
        <f t="shared" si="7"/>
        <v>11.5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</row>
    <row r="16" spans="1:56" ht="22" customHeight="1" x14ac:dyDescent="0.35">
      <c r="A16" s="8" t="s">
        <v>64</v>
      </c>
      <c r="B16" s="8" t="s">
        <v>63</v>
      </c>
      <c r="C16" s="8" t="s">
        <v>45</v>
      </c>
      <c r="D16" s="22" t="s">
        <v>5</v>
      </c>
      <c r="E16" s="22" t="s">
        <v>5</v>
      </c>
      <c r="F16" s="22" t="s">
        <v>5</v>
      </c>
      <c r="G16" s="23" t="s">
        <v>7</v>
      </c>
      <c r="H16" s="24" t="s">
        <v>9</v>
      </c>
      <c r="I16" s="22" t="s">
        <v>5</v>
      </c>
      <c r="J16" s="22" t="s">
        <v>5</v>
      </c>
      <c r="K16" s="26" t="s">
        <v>3</v>
      </c>
      <c r="L16" s="22" t="s">
        <v>5</v>
      </c>
      <c r="M16" s="22" t="s">
        <v>5</v>
      </c>
      <c r="N16" s="23" t="s">
        <v>7</v>
      </c>
      <c r="O16" s="24" t="s">
        <v>9</v>
      </c>
      <c r="P16" s="22" t="s">
        <v>5</v>
      </c>
      <c r="Q16" s="22" t="s">
        <v>5</v>
      </c>
      <c r="R16" s="22" t="s">
        <v>5</v>
      </c>
      <c r="S16" s="22" t="s">
        <v>5</v>
      </c>
      <c r="T16" s="26" t="s">
        <v>3</v>
      </c>
      <c r="U16" s="27" t="s">
        <v>7</v>
      </c>
      <c r="V16" s="28" t="s">
        <v>11</v>
      </c>
      <c r="W16" s="26" t="s">
        <v>3</v>
      </c>
      <c r="X16" s="26" t="s">
        <v>3</v>
      </c>
      <c r="Y16" s="22" t="s">
        <v>5</v>
      </c>
      <c r="Z16" s="22" t="s">
        <v>5</v>
      </c>
      <c r="AA16" s="22" t="s">
        <v>5</v>
      </c>
      <c r="AB16" s="23" t="s">
        <v>7</v>
      </c>
      <c r="AC16" s="24" t="s">
        <v>9</v>
      </c>
      <c r="AD16" s="22" t="s">
        <v>5</v>
      </c>
      <c r="AE16" s="22" t="s">
        <v>5</v>
      </c>
      <c r="AF16" s="22" t="s">
        <v>5</v>
      </c>
      <c r="AG16" s="22" t="s">
        <v>5</v>
      </c>
      <c r="AH16" s="22" t="s">
        <v>5</v>
      </c>
      <c r="AI16" s="8">
        <f t="shared" si="0"/>
        <v>4</v>
      </c>
      <c r="AJ16" s="25">
        <f t="shared" si="1"/>
        <v>19</v>
      </c>
      <c r="AK16" s="29">
        <f t="shared" si="2"/>
        <v>1</v>
      </c>
      <c r="AL16" s="62">
        <v>1</v>
      </c>
      <c r="AM16" s="33">
        <f t="shared" si="3"/>
        <v>5.5</v>
      </c>
      <c r="AN16" s="63">
        <f t="shared" si="4"/>
        <v>184</v>
      </c>
      <c r="AO16" s="63">
        <f t="shared" si="5"/>
        <v>0</v>
      </c>
      <c r="AP16" s="63">
        <f t="shared" si="6"/>
        <v>0</v>
      </c>
      <c r="AQ16" s="53">
        <f t="shared" si="7"/>
        <v>5.5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</row>
    <row r="17" spans="1:56" ht="22" customHeight="1" x14ac:dyDescent="0.35">
      <c r="A17" s="8" t="s">
        <v>65</v>
      </c>
      <c r="B17" s="8" t="s">
        <v>66</v>
      </c>
      <c r="C17" s="8" t="s">
        <v>45</v>
      </c>
      <c r="D17" s="26" t="s">
        <v>3</v>
      </c>
      <c r="E17" s="26" t="s">
        <v>3</v>
      </c>
      <c r="F17" s="26" t="s">
        <v>3</v>
      </c>
      <c r="G17" s="23" t="s">
        <v>7</v>
      </c>
      <c r="H17" s="24" t="s">
        <v>9</v>
      </c>
      <c r="I17" s="26" t="s">
        <v>3</v>
      </c>
      <c r="J17" s="26" t="s">
        <v>3</v>
      </c>
      <c r="K17" s="26" t="s">
        <v>3</v>
      </c>
      <c r="L17" s="26" t="s">
        <v>3</v>
      </c>
      <c r="M17" s="26" t="s">
        <v>3</v>
      </c>
      <c r="N17" s="27" t="s">
        <v>7</v>
      </c>
      <c r="O17" s="28" t="s">
        <v>11</v>
      </c>
      <c r="P17" s="26" t="s">
        <v>3</v>
      </c>
      <c r="Q17" s="26" t="s">
        <v>3</v>
      </c>
      <c r="R17" s="26" t="s">
        <v>3</v>
      </c>
      <c r="S17" s="26" t="s">
        <v>3</v>
      </c>
      <c r="T17" s="26" t="s">
        <v>3</v>
      </c>
      <c r="U17" s="23" t="s">
        <v>7</v>
      </c>
      <c r="V17" s="24" t="s">
        <v>9</v>
      </c>
      <c r="W17" s="22" t="s">
        <v>5</v>
      </c>
      <c r="X17" s="22" t="s">
        <v>5</v>
      </c>
      <c r="Y17" s="22" t="s">
        <v>5</v>
      </c>
      <c r="Z17" s="22" t="s">
        <v>5</v>
      </c>
      <c r="AA17" s="22" t="s">
        <v>5</v>
      </c>
      <c r="AB17" s="23" t="s">
        <v>7</v>
      </c>
      <c r="AC17" s="24" t="s">
        <v>9</v>
      </c>
      <c r="AD17" s="22" t="s">
        <v>5</v>
      </c>
      <c r="AE17" s="22" t="s">
        <v>5</v>
      </c>
      <c r="AF17" s="22" t="s">
        <v>5</v>
      </c>
      <c r="AG17" s="22" t="s">
        <v>5</v>
      </c>
      <c r="AH17" s="22" t="s">
        <v>5</v>
      </c>
      <c r="AI17" s="8">
        <f t="shared" si="0"/>
        <v>13</v>
      </c>
      <c r="AJ17" s="8">
        <f t="shared" si="1"/>
        <v>10</v>
      </c>
      <c r="AK17" s="29">
        <f t="shared" si="2"/>
        <v>1</v>
      </c>
      <c r="AL17" s="62">
        <v>1</v>
      </c>
      <c r="AM17" s="33">
        <f t="shared" si="3"/>
        <v>14.5</v>
      </c>
      <c r="AN17" s="63">
        <f t="shared" si="4"/>
        <v>184</v>
      </c>
      <c r="AO17" s="63">
        <f t="shared" si="5"/>
        <v>2</v>
      </c>
      <c r="AP17" s="63">
        <f t="shared" si="6"/>
        <v>8</v>
      </c>
      <c r="AQ17" s="53">
        <f t="shared" si="7"/>
        <v>13.5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</row>
    <row r="18" spans="1:56" ht="22" customHeight="1" x14ac:dyDescent="0.35">
      <c r="A18" s="8" t="s">
        <v>67</v>
      </c>
      <c r="B18" s="8" t="s">
        <v>68</v>
      </c>
      <c r="C18" s="8" t="s">
        <v>45</v>
      </c>
      <c r="D18" s="26" t="s">
        <v>3</v>
      </c>
      <c r="E18" s="26" t="s">
        <v>3</v>
      </c>
      <c r="F18" s="26" t="s">
        <v>3</v>
      </c>
      <c r="G18" s="27" t="s">
        <v>7</v>
      </c>
      <c r="H18" s="28" t="s">
        <v>11</v>
      </c>
      <c r="I18" s="26" t="s">
        <v>3</v>
      </c>
      <c r="J18" s="26" t="s">
        <v>3</v>
      </c>
      <c r="K18" s="26" t="s">
        <v>3</v>
      </c>
      <c r="L18" s="26" t="s">
        <v>3</v>
      </c>
      <c r="M18" s="26" t="s">
        <v>3</v>
      </c>
      <c r="N18" s="23" t="s">
        <v>7</v>
      </c>
      <c r="O18" s="24" t="s">
        <v>9</v>
      </c>
      <c r="P18" s="26" t="s">
        <v>3</v>
      </c>
      <c r="Q18" s="26" t="s">
        <v>3</v>
      </c>
      <c r="R18" s="26" t="s">
        <v>3</v>
      </c>
      <c r="S18" s="26" t="s">
        <v>3</v>
      </c>
      <c r="T18" s="26" t="s">
        <v>3</v>
      </c>
      <c r="U18" s="23" t="s">
        <v>7</v>
      </c>
      <c r="V18" s="24" t="s">
        <v>9</v>
      </c>
      <c r="W18" s="26" t="s">
        <v>3</v>
      </c>
      <c r="X18" s="26" t="s">
        <v>3</v>
      </c>
      <c r="Y18" s="26" t="s">
        <v>3</v>
      </c>
      <c r="Z18" s="26" t="s">
        <v>3</v>
      </c>
      <c r="AA18" s="26" t="s">
        <v>3</v>
      </c>
      <c r="AB18" s="23" t="s">
        <v>7</v>
      </c>
      <c r="AC18" s="24" t="s">
        <v>9</v>
      </c>
      <c r="AD18" s="26" t="s">
        <v>3</v>
      </c>
      <c r="AE18" s="26" t="s">
        <v>3</v>
      </c>
      <c r="AF18" s="26" t="s">
        <v>3</v>
      </c>
      <c r="AG18" s="26" t="s">
        <v>3</v>
      </c>
      <c r="AH18" s="26" t="s">
        <v>3</v>
      </c>
      <c r="AI18" s="8">
        <f t="shared" si="0"/>
        <v>23</v>
      </c>
      <c r="AJ18" s="8">
        <f t="shared" si="1"/>
        <v>0</v>
      </c>
      <c r="AK18" s="29">
        <f t="shared" si="2"/>
        <v>1</v>
      </c>
      <c r="AL18" s="62">
        <v>1</v>
      </c>
      <c r="AM18" s="33">
        <f t="shared" si="3"/>
        <v>24.5</v>
      </c>
      <c r="AN18" s="63">
        <f t="shared" si="4"/>
        <v>184</v>
      </c>
      <c r="AO18" s="63">
        <f t="shared" si="5"/>
        <v>4</v>
      </c>
      <c r="AP18" s="63">
        <f t="shared" si="6"/>
        <v>16</v>
      </c>
      <c r="AQ18" s="53">
        <f t="shared" si="7"/>
        <v>22.5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</row>
    <row r="19" spans="1:56" ht="22" customHeight="1" x14ac:dyDescent="0.35">
      <c r="A19" s="8" t="s">
        <v>69</v>
      </c>
      <c r="B19" s="8" t="s">
        <v>70</v>
      </c>
      <c r="C19" s="8" t="s">
        <v>45</v>
      </c>
      <c r="D19" s="26" t="s">
        <v>3</v>
      </c>
      <c r="E19" s="26" t="s">
        <v>3</v>
      </c>
      <c r="F19" s="26" t="s">
        <v>3</v>
      </c>
      <c r="G19" s="27" t="s">
        <v>7</v>
      </c>
      <c r="H19" s="24" t="s">
        <v>9</v>
      </c>
      <c r="I19" s="26" t="s">
        <v>3</v>
      </c>
      <c r="J19" s="26" t="s">
        <v>3</v>
      </c>
      <c r="K19" s="26" t="s">
        <v>3</v>
      </c>
      <c r="L19" s="26" t="s">
        <v>3</v>
      </c>
      <c r="M19" s="26" t="s">
        <v>3</v>
      </c>
      <c r="N19" s="23" t="s">
        <v>7</v>
      </c>
      <c r="O19" s="24" t="s">
        <v>9</v>
      </c>
      <c r="P19" s="26" t="s">
        <v>3</v>
      </c>
      <c r="Q19" s="26" t="s">
        <v>3</v>
      </c>
      <c r="R19" s="26" t="s">
        <v>3</v>
      </c>
      <c r="S19" s="26" t="s">
        <v>3</v>
      </c>
      <c r="T19" s="26" t="s">
        <v>3</v>
      </c>
      <c r="U19" s="27" t="s">
        <v>7</v>
      </c>
      <c r="V19" s="24" t="s">
        <v>9</v>
      </c>
      <c r="W19" s="26" t="s">
        <v>3</v>
      </c>
      <c r="X19" s="26" t="s">
        <v>3</v>
      </c>
      <c r="Y19" s="26" t="s">
        <v>3</v>
      </c>
      <c r="Z19" s="26" t="s">
        <v>3</v>
      </c>
      <c r="AA19" s="26" t="s">
        <v>3</v>
      </c>
      <c r="AB19" s="27" t="s">
        <v>7</v>
      </c>
      <c r="AC19" s="28" t="s">
        <v>11</v>
      </c>
      <c r="AD19" s="26" t="s">
        <v>3</v>
      </c>
      <c r="AE19" s="26" t="s">
        <v>3</v>
      </c>
      <c r="AF19" s="26" t="s">
        <v>3</v>
      </c>
      <c r="AG19" s="26" t="s">
        <v>3</v>
      </c>
      <c r="AH19" s="26" t="s">
        <v>3</v>
      </c>
      <c r="AI19" s="8">
        <f t="shared" si="0"/>
        <v>23</v>
      </c>
      <c r="AJ19" s="8">
        <f t="shared" si="1"/>
        <v>0</v>
      </c>
      <c r="AK19" s="29">
        <f t="shared" si="2"/>
        <v>1</v>
      </c>
      <c r="AL19" s="62">
        <v>3</v>
      </c>
      <c r="AM19" s="33">
        <f t="shared" si="3"/>
        <v>25.5</v>
      </c>
      <c r="AN19" s="63">
        <f t="shared" si="4"/>
        <v>184</v>
      </c>
      <c r="AO19" s="63">
        <f t="shared" si="5"/>
        <v>2</v>
      </c>
      <c r="AP19" s="63">
        <f t="shared" si="6"/>
        <v>8</v>
      </c>
      <c r="AQ19" s="53">
        <f t="shared" si="7"/>
        <v>24.5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</row>
    <row r="20" spans="1:56" x14ac:dyDescent="0.35"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</row>
    <row r="21" spans="1:56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</row>
    <row r="22" spans="1:56" ht="22" customHeight="1" x14ac:dyDescent="0.35">
      <c r="A22" s="8" t="s">
        <v>72</v>
      </c>
      <c r="B22" s="8" t="s">
        <v>73</v>
      </c>
      <c r="C22" s="8" t="s">
        <v>74</v>
      </c>
      <c r="D22" s="26" t="s">
        <v>3</v>
      </c>
      <c r="E22" s="26" t="s">
        <v>3</v>
      </c>
      <c r="F22" s="26" t="s">
        <v>3</v>
      </c>
      <c r="G22" s="27" t="s">
        <v>7</v>
      </c>
      <c r="H22" s="28" t="s">
        <v>11</v>
      </c>
      <c r="I22" s="26" t="s">
        <v>3</v>
      </c>
      <c r="J22" s="26" t="s">
        <v>3</v>
      </c>
      <c r="K22" s="26" t="s">
        <v>3</v>
      </c>
      <c r="L22" s="26" t="s">
        <v>3</v>
      </c>
      <c r="M22" s="26" t="s">
        <v>3</v>
      </c>
      <c r="N22" s="27" t="s">
        <v>7</v>
      </c>
      <c r="O22" s="24" t="s">
        <v>9</v>
      </c>
      <c r="P22" s="22" t="s">
        <v>5</v>
      </c>
      <c r="Q22" s="22" t="s">
        <v>5</v>
      </c>
      <c r="R22" s="22" t="s">
        <v>5</v>
      </c>
      <c r="S22" s="22" t="s">
        <v>5</v>
      </c>
      <c r="T22" s="22" t="s">
        <v>5</v>
      </c>
      <c r="U22" s="23" t="s">
        <v>7</v>
      </c>
      <c r="V22" s="24" t="s">
        <v>9</v>
      </c>
      <c r="W22" s="22" t="s">
        <v>5</v>
      </c>
      <c r="X22" s="22" t="s">
        <v>5</v>
      </c>
      <c r="Y22" s="22" t="s">
        <v>5</v>
      </c>
      <c r="Z22" s="22" t="s">
        <v>5</v>
      </c>
      <c r="AA22" s="22" t="s">
        <v>5</v>
      </c>
      <c r="AB22" s="23" t="s">
        <v>7</v>
      </c>
      <c r="AC22" s="24" t="s">
        <v>9</v>
      </c>
      <c r="AD22" s="22" t="s">
        <v>5</v>
      </c>
      <c r="AE22" s="22" t="s">
        <v>5</v>
      </c>
      <c r="AF22" s="22" t="s">
        <v>5</v>
      </c>
      <c r="AG22" s="22" t="s">
        <v>5</v>
      </c>
      <c r="AH22" s="22" t="s">
        <v>5</v>
      </c>
      <c r="AI22" s="8">
        <f t="shared" ref="AI22:AI35" si="8">COUNTIF(D22:AH22,"ON")</f>
        <v>8</v>
      </c>
      <c r="AJ22" s="25">
        <f t="shared" ref="AJ22:AJ35" si="9">COUNTIF(D22:AH22,"OFF")</f>
        <v>15</v>
      </c>
      <c r="AK22" s="29">
        <f t="shared" ref="AK22:AK35" si="10">COUNTIF(D22:AH22,"OT")</f>
        <v>1</v>
      </c>
      <c r="AL22" s="62">
        <v>2</v>
      </c>
      <c r="AM22" s="33">
        <f t="shared" ref="AM22:AM35" si="11">AI22+AK22+AL22*0.5</f>
        <v>10</v>
      </c>
      <c r="AN22" s="63">
        <f t="shared" ref="AN22:AN35" si="12">NETWORKDAYS(DATE(2025,10,1),EOMONTH(DATE(2025,10,1),0))*8</f>
        <v>184</v>
      </c>
      <c r="AO22" s="63">
        <f t="shared" ref="AO22:AO35" si="13">MAX(0,COUNTIF(F22,"ON")+COUNTIF(M22,"ON")+COUNTIF(T22,"ON")+COUNTIF(AA22,"ON")+COUNTIF(AH22,"ON")-AL22)</f>
        <v>0</v>
      </c>
      <c r="AP22" s="63">
        <f t="shared" ref="AP22:AP35" si="14">AO22*$AP$2</f>
        <v>0</v>
      </c>
      <c r="AQ22" s="53">
        <f t="shared" ref="AQ22:AQ35" si="15">AM22-AP22/8</f>
        <v>10</v>
      </c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</row>
    <row r="23" spans="1:56" ht="22" customHeight="1" x14ac:dyDescent="0.35">
      <c r="A23" s="8" t="s">
        <v>75</v>
      </c>
      <c r="B23" s="8" t="s">
        <v>76</v>
      </c>
      <c r="C23" s="8" t="s">
        <v>74</v>
      </c>
      <c r="D23" s="26" t="s">
        <v>3</v>
      </c>
      <c r="E23" s="26" t="s">
        <v>3</v>
      </c>
      <c r="F23" s="26" t="s">
        <v>3</v>
      </c>
      <c r="G23" s="23" t="s">
        <v>7</v>
      </c>
      <c r="H23" s="24" t="s">
        <v>9</v>
      </c>
      <c r="I23" s="26" t="s">
        <v>3</v>
      </c>
      <c r="J23" s="26" t="s">
        <v>3</v>
      </c>
      <c r="K23" s="26" t="s">
        <v>3</v>
      </c>
      <c r="L23" s="26" t="s">
        <v>3</v>
      </c>
      <c r="M23" s="26" t="s">
        <v>3</v>
      </c>
      <c r="N23" s="27" t="s">
        <v>7</v>
      </c>
      <c r="O23" s="28" t="s">
        <v>11</v>
      </c>
      <c r="P23" s="26" t="s">
        <v>3</v>
      </c>
      <c r="Q23" s="26" t="s">
        <v>3</v>
      </c>
      <c r="R23" s="26" t="s">
        <v>3</v>
      </c>
      <c r="S23" s="26" t="s">
        <v>3</v>
      </c>
      <c r="T23" s="26" t="s">
        <v>3</v>
      </c>
      <c r="U23" s="23" t="s">
        <v>7</v>
      </c>
      <c r="V23" s="24" t="s">
        <v>9</v>
      </c>
      <c r="W23" s="26" t="s">
        <v>3</v>
      </c>
      <c r="X23" s="26" t="s">
        <v>3</v>
      </c>
      <c r="Y23" s="26" t="s">
        <v>3</v>
      </c>
      <c r="Z23" s="26" t="s">
        <v>3</v>
      </c>
      <c r="AA23" s="26" t="s">
        <v>3</v>
      </c>
      <c r="AB23" s="27" t="s">
        <v>7</v>
      </c>
      <c r="AC23" s="28" t="s">
        <v>11</v>
      </c>
      <c r="AD23" s="26" t="s">
        <v>3</v>
      </c>
      <c r="AE23" s="26" t="s">
        <v>3</v>
      </c>
      <c r="AF23" s="26" t="s">
        <v>3</v>
      </c>
      <c r="AG23" s="26" t="s">
        <v>3</v>
      </c>
      <c r="AH23" s="26" t="s">
        <v>3</v>
      </c>
      <c r="AI23" s="8">
        <f t="shared" si="8"/>
        <v>23</v>
      </c>
      <c r="AJ23" s="8">
        <f t="shared" si="9"/>
        <v>0</v>
      </c>
      <c r="AK23" s="29">
        <f t="shared" si="10"/>
        <v>2</v>
      </c>
      <c r="AL23" s="62">
        <v>2</v>
      </c>
      <c r="AM23" s="33">
        <f t="shared" si="11"/>
        <v>26</v>
      </c>
      <c r="AN23" s="63">
        <f t="shared" si="12"/>
        <v>184</v>
      </c>
      <c r="AO23" s="63">
        <f t="shared" si="13"/>
        <v>3</v>
      </c>
      <c r="AP23" s="63">
        <f t="shared" si="14"/>
        <v>12</v>
      </c>
      <c r="AQ23" s="53">
        <f t="shared" si="15"/>
        <v>24.5</v>
      </c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</row>
    <row r="24" spans="1:56" ht="22" customHeight="1" x14ac:dyDescent="0.35">
      <c r="A24" s="8" t="s">
        <v>77</v>
      </c>
      <c r="B24" s="8" t="s">
        <v>78</v>
      </c>
      <c r="C24" s="8" t="s">
        <v>74</v>
      </c>
      <c r="D24" s="26" t="s">
        <v>3</v>
      </c>
      <c r="E24" s="26" t="s">
        <v>3</v>
      </c>
      <c r="F24" s="26" t="s">
        <v>3</v>
      </c>
      <c r="G24" s="27" t="s">
        <v>7</v>
      </c>
      <c r="H24" s="28" t="s">
        <v>11</v>
      </c>
      <c r="I24" s="26" t="s">
        <v>3</v>
      </c>
      <c r="J24" s="26" t="s">
        <v>3</v>
      </c>
      <c r="K24" s="26" t="s">
        <v>3</v>
      </c>
      <c r="L24" s="26" t="s">
        <v>3</v>
      </c>
      <c r="M24" s="26" t="s">
        <v>3</v>
      </c>
      <c r="N24" s="27" t="s">
        <v>7</v>
      </c>
      <c r="O24" s="24" t="s">
        <v>9</v>
      </c>
      <c r="P24" s="22" t="s">
        <v>5</v>
      </c>
      <c r="Q24" s="26" t="s">
        <v>3</v>
      </c>
      <c r="R24" s="26" t="s">
        <v>3</v>
      </c>
      <c r="S24" s="26" t="s">
        <v>3</v>
      </c>
      <c r="T24" s="26" t="s">
        <v>3</v>
      </c>
      <c r="U24" s="27" t="s">
        <v>7</v>
      </c>
      <c r="V24" s="24" t="s">
        <v>9</v>
      </c>
      <c r="W24" s="26" t="s">
        <v>3</v>
      </c>
      <c r="X24" s="26" t="s">
        <v>3</v>
      </c>
      <c r="Y24" s="26" t="s">
        <v>3</v>
      </c>
      <c r="Z24" s="26" t="s">
        <v>3</v>
      </c>
      <c r="AA24" s="26" t="s">
        <v>3</v>
      </c>
      <c r="AB24" s="27" t="s">
        <v>7</v>
      </c>
      <c r="AC24" s="28" t="s">
        <v>11</v>
      </c>
      <c r="AD24" s="26" t="s">
        <v>3</v>
      </c>
      <c r="AE24" s="26" t="s">
        <v>3</v>
      </c>
      <c r="AF24" s="26" t="s">
        <v>3</v>
      </c>
      <c r="AG24" s="26" t="s">
        <v>3</v>
      </c>
      <c r="AH24" s="26" t="s">
        <v>3</v>
      </c>
      <c r="AI24" s="8">
        <f t="shared" si="8"/>
        <v>22</v>
      </c>
      <c r="AJ24" s="8">
        <f t="shared" si="9"/>
        <v>1</v>
      </c>
      <c r="AK24" s="29">
        <f t="shared" si="10"/>
        <v>2</v>
      </c>
      <c r="AL24" s="62">
        <v>4</v>
      </c>
      <c r="AM24" s="33">
        <f t="shared" si="11"/>
        <v>26</v>
      </c>
      <c r="AN24" s="63">
        <f t="shared" si="12"/>
        <v>184</v>
      </c>
      <c r="AO24" s="63">
        <f t="shared" si="13"/>
        <v>1</v>
      </c>
      <c r="AP24" s="63">
        <f t="shared" si="14"/>
        <v>4</v>
      </c>
      <c r="AQ24" s="53">
        <f t="shared" si="15"/>
        <v>25.5</v>
      </c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</row>
    <row r="25" spans="1:56" ht="22" customHeight="1" x14ac:dyDescent="0.35">
      <c r="A25" s="8" t="s">
        <v>79</v>
      </c>
      <c r="B25" s="8" t="s">
        <v>80</v>
      </c>
      <c r="C25" s="8" t="s">
        <v>74</v>
      </c>
      <c r="D25" s="26" t="s">
        <v>3</v>
      </c>
      <c r="E25" s="26" t="s">
        <v>3</v>
      </c>
      <c r="F25" s="26" t="s">
        <v>3</v>
      </c>
      <c r="G25" s="23" t="s">
        <v>7</v>
      </c>
      <c r="H25" s="24" t="s">
        <v>9</v>
      </c>
      <c r="I25" s="26" t="s">
        <v>3</v>
      </c>
      <c r="J25" s="26" t="s">
        <v>3</v>
      </c>
      <c r="K25" s="26" t="s">
        <v>3</v>
      </c>
      <c r="L25" s="26" t="s">
        <v>3</v>
      </c>
      <c r="M25" s="26" t="s">
        <v>3</v>
      </c>
      <c r="N25" s="27" t="s">
        <v>7</v>
      </c>
      <c r="O25" s="28" t="s">
        <v>11</v>
      </c>
      <c r="P25" s="26" t="s">
        <v>3</v>
      </c>
      <c r="Q25" s="26" t="s">
        <v>3</v>
      </c>
      <c r="R25" s="26" t="s">
        <v>3</v>
      </c>
      <c r="S25" s="26" t="s">
        <v>3</v>
      </c>
      <c r="T25" s="26" t="s">
        <v>3</v>
      </c>
      <c r="U25" s="27" t="s">
        <v>7</v>
      </c>
      <c r="V25" s="28" t="s">
        <v>11</v>
      </c>
      <c r="W25" s="26" t="s">
        <v>3</v>
      </c>
      <c r="X25" s="26" t="s">
        <v>3</v>
      </c>
      <c r="Y25" s="26" t="s">
        <v>3</v>
      </c>
      <c r="Z25" s="26" t="s">
        <v>3</v>
      </c>
      <c r="AA25" s="26" t="s">
        <v>3</v>
      </c>
      <c r="AB25" s="23" t="s">
        <v>7</v>
      </c>
      <c r="AC25" s="24" t="s">
        <v>9</v>
      </c>
      <c r="AD25" s="26" t="s">
        <v>3</v>
      </c>
      <c r="AE25" s="26" t="s">
        <v>3</v>
      </c>
      <c r="AF25" s="26" t="s">
        <v>3</v>
      </c>
      <c r="AG25" s="26" t="s">
        <v>3</v>
      </c>
      <c r="AH25" s="26" t="s">
        <v>3</v>
      </c>
      <c r="AI25" s="8">
        <f t="shared" si="8"/>
        <v>23</v>
      </c>
      <c r="AJ25" s="8">
        <f t="shared" si="9"/>
        <v>0</v>
      </c>
      <c r="AK25" s="29">
        <f t="shared" si="10"/>
        <v>2</v>
      </c>
      <c r="AL25" s="62">
        <v>2</v>
      </c>
      <c r="AM25" s="33">
        <f t="shared" si="11"/>
        <v>26</v>
      </c>
      <c r="AN25" s="63">
        <f t="shared" si="12"/>
        <v>184</v>
      </c>
      <c r="AO25" s="63">
        <f t="shared" si="13"/>
        <v>3</v>
      </c>
      <c r="AP25" s="63">
        <f t="shared" si="14"/>
        <v>12</v>
      </c>
      <c r="AQ25" s="53">
        <f t="shared" si="15"/>
        <v>24.5</v>
      </c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</row>
    <row r="26" spans="1:56" ht="22" customHeight="1" x14ac:dyDescent="0.35">
      <c r="A26" s="8" t="s">
        <v>81</v>
      </c>
      <c r="B26" s="8" t="s">
        <v>82</v>
      </c>
      <c r="C26" s="8" t="s">
        <v>74</v>
      </c>
      <c r="D26" s="26" t="s">
        <v>3</v>
      </c>
      <c r="E26" s="26" t="s">
        <v>3</v>
      </c>
      <c r="F26" s="26" t="s">
        <v>3</v>
      </c>
      <c r="G26" s="23" t="s">
        <v>7</v>
      </c>
      <c r="H26" s="24" t="s">
        <v>9</v>
      </c>
      <c r="I26" s="26" t="s">
        <v>3</v>
      </c>
      <c r="J26" s="26" t="s">
        <v>3</v>
      </c>
      <c r="K26" s="26" t="s">
        <v>3</v>
      </c>
      <c r="L26" s="26" t="s">
        <v>3</v>
      </c>
      <c r="M26" s="26" t="s">
        <v>3</v>
      </c>
      <c r="N26" s="27" t="s">
        <v>7</v>
      </c>
      <c r="O26" s="28" t="s">
        <v>11</v>
      </c>
      <c r="P26" s="26" t="s">
        <v>3</v>
      </c>
      <c r="Q26" s="26" t="s">
        <v>3</v>
      </c>
      <c r="R26" s="26" t="s">
        <v>3</v>
      </c>
      <c r="S26" s="26" t="s">
        <v>3</v>
      </c>
      <c r="T26" s="22" t="s">
        <v>5</v>
      </c>
      <c r="U26" s="23" t="s">
        <v>7</v>
      </c>
      <c r="V26" s="24" t="s">
        <v>9</v>
      </c>
      <c r="W26" s="26" t="s">
        <v>3</v>
      </c>
      <c r="X26" s="26" t="s">
        <v>3</v>
      </c>
      <c r="Y26" s="26" t="s">
        <v>3</v>
      </c>
      <c r="Z26" s="26" t="s">
        <v>3</v>
      </c>
      <c r="AA26" s="26" t="s">
        <v>3</v>
      </c>
      <c r="AB26" s="27" t="s">
        <v>7</v>
      </c>
      <c r="AC26" s="28" t="s">
        <v>11</v>
      </c>
      <c r="AD26" s="26" t="s">
        <v>3</v>
      </c>
      <c r="AE26" s="26" t="s">
        <v>3</v>
      </c>
      <c r="AF26" s="26" t="s">
        <v>3</v>
      </c>
      <c r="AG26" s="26" t="s">
        <v>3</v>
      </c>
      <c r="AH26" s="26" t="s">
        <v>3</v>
      </c>
      <c r="AI26" s="8">
        <f t="shared" si="8"/>
        <v>22</v>
      </c>
      <c r="AJ26" s="8">
        <f t="shared" si="9"/>
        <v>1</v>
      </c>
      <c r="AK26" s="29">
        <f t="shared" si="10"/>
        <v>2</v>
      </c>
      <c r="AL26" s="62">
        <v>2</v>
      </c>
      <c r="AM26" s="33">
        <f t="shared" si="11"/>
        <v>25</v>
      </c>
      <c r="AN26" s="63">
        <f t="shared" si="12"/>
        <v>184</v>
      </c>
      <c r="AO26" s="63">
        <f t="shared" si="13"/>
        <v>2</v>
      </c>
      <c r="AP26" s="63">
        <f t="shared" si="14"/>
        <v>8</v>
      </c>
      <c r="AQ26" s="53">
        <f t="shared" si="15"/>
        <v>24</v>
      </c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</row>
    <row r="27" spans="1:56" ht="22" customHeight="1" x14ac:dyDescent="0.35">
      <c r="A27" s="8" t="s">
        <v>83</v>
      </c>
      <c r="B27" s="8" t="s">
        <v>84</v>
      </c>
      <c r="C27" s="8" t="s">
        <v>74</v>
      </c>
      <c r="D27" s="26" t="s">
        <v>3</v>
      </c>
      <c r="E27" s="26" t="s">
        <v>3</v>
      </c>
      <c r="F27" s="26" t="s">
        <v>3</v>
      </c>
      <c r="G27" s="23" t="s">
        <v>7</v>
      </c>
      <c r="H27" s="24" t="s">
        <v>9</v>
      </c>
      <c r="I27" s="26" t="s">
        <v>3</v>
      </c>
      <c r="J27" s="26" t="s">
        <v>3</v>
      </c>
      <c r="K27" s="26" t="s">
        <v>3</v>
      </c>
      <c r="L27" s="26" t="s">
        <v>3</v>
      </c>
      <c r="M27" s="26" t="s">
        <v>3</v>
      </c>
      <c r="N27" s="27" t="s">
        <v>7</v>
      </c>
      <c r="O27" s="28" t="s">
        <v>11</v>
      </c>
      <c r="P27" s="26" t="s">
        <v>3</v>
      </c>
      <c r="Q27" s="26" t="s">
        <v>3</v>
      </c>
      <c r="R27" s="26" t="s">
        <v>3</v>
      </c>
      <c r="S27" s="26" t="s">
        <v>3</v>
      </c>
      <c r="T27" s="26" t="s">
        <v>3</v>
      </c>
      <c r="U27" s="27" t="s">
        <v>7</v>
      </c>
      <c r="V27" s="28" t="s">
        <v>11</v>
      </c>
      <c r="W27" s="26" t="s">
        <v>3</v>
      </c>
      <c r="X27" s="26" t="s">
        <v>3</v>
      </c>
      <c r="Y27" s="26" t="s">
        <v>3</v>
      </c>
      <c r="Z27" s="26" t="s">
        <v>3</v>
      </c>
      <c r="AA27" s="26" t="s">
        <v>3</v>
      </c>
      <c r="AB27" s="23" t="s">
        <v>7</v>
      </c>
      <c r="AC27" s="24" t="s">
        <v>9</v>
      </c>
      <c r="AD27" s="26" t="s">
        <v>3</v>
      </c>
      <c r="AE27" s="26" t="s">
        <v>3</v>
      </c>
      <c r="AF27" s="26" t="s">
        <v>3</v>
      </c>
      <c r="AG27" s="26" t="s">
        <v>3</v>
      </c>
      <c r="AH27" s="26" t="s">
        <v>3</v>
      </c>
      <c r="AI27" s="8">
        <f t="shared" si="8"/>
        <v>23</v>
      </c>
      <c r="AJ27" s="8">
        <f t="shared" si="9"/>
        <v>0</v>
      </c>
      <c r="AK27" s="29">
        <f t="shared" si="10"/>
        <v>2</v>
      </c>
      <c r="AL27" s="62">
        <v>2</v>
      </c>
      <c r="AM27" s="33">
        <f t="shared" si="11"/>
        <v>26</v>
      </c>
      <c r="AN27" s="63">
        <f t="shared" si="12"/>
        <v>184</v>
      </c>
      <c r="AO27" s="63">
        <f t="shared" si="13"/>
        <v>3</v>
      </c>
      <c r="AP27" s="63">
        <f t="shared" si="14"/>
        <v>12</v>
      </c>
      <c r="AQ27" s="53">
        <f t="shared" si="15"/>
        <v>24.5</v>
      </c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</row>
    <row r="28" spans="1:56" ht="22" customHeight="1" x14ac:dyDescent="0.35">
      <c r="A28" s="8" t="s">
        <v>85</v>
      </c>
      <c r="B28" s="8" t="s">
        <v>86</v>
      </c>
      <c r="C28" s="8" t="s">
        <v>74</v>
      </c>
      <c r="D28" s="26" t="s">
        <v>3</v>
      </c>
      <c r="E28" s="26" t="s">
        <v>3</v>
      </c>
      <c r="F28" s="26" t="s">
        <v>3</v>
      </c>
      <c r="G28" s="27" t="s">
        <v>7</v>
      </c>
      <c r="H28" s="28" t="s">
        <v>11</v>
      </c>
      <c r="I28" s="26" t="s">
        <v>3</v>
      </c>
      <c r="J28" s="26" t="s">
        <v>3</v>
      </c>
      <c r="K28" s="26" t="s">
        <v>3</v>
      </c>
      <c r="L28" s="26" t="s">
        <v>3</v>
      </c>
      <c r="M28" s="26" t="s">
        <v>3</v>
      </c>
      <c r="N28" s="27" t="s">
        <v>7</v>
      </c>
      <c r="O28" s="24" t="s">
        <v>9</v>
      </c>
      <c r="P28" s="22" t="s">
        <v>5</v>
      </c>
      <c r="Q28" s="26" t="s">
        <v>3</v>
      </c>
      <c r="R28" s="26" t="s">
        <v>3</v>
      </c>
      <c r="S28" s="26" t="s">
        <v>3</v>
      </c>
      <c r="T28" s="26" t="s">
        <v>3</v>
      </c>
      <c r="U28" s="27" t="s">
        <v>7</v>
      </c>
      <c r="V28" s="28" t="s">
        <v>11</v>
      </c>
      <c r="W28" s="26" t="s">
        <v>3</v>
      </c>
      <c r="X28" s="26" t="s">
        <v>3</v>
      </c>
      <c r="Y28" s="26" t="s">
        <v>3</v>
      </c>
      <c r="Z28" s="26" t="s">
        <v>3</v>
      </c>
      <c r="AA28" s="26" t="s">
        <v>3</v>
      </c>
      <c r="AB28" s="23" t="s">
        <v>7</v>
      </c>
      <c r="AC28" s="24" t="s">
        <v>9</v>
      </c>
      <c r="AD28" s="26" t="s">
        <v>3</v>
      </c>
      <c r="AE28" s="26" t="s">
        <v>3</v>
      </c>
      <c r="AF28" s="26" t="s">
        <v>3</v>
      </c>
      <c r="AG28" s="26" t="s">
        <v>3</v>
      </c>
      <c r="AH28" s="26" t="s">
        <v>3</v>
      </c>
      <c r="AI28" s="8">
        <f t="shared" si="8"/>
        <v>22</v>
      </c>
      <c r="AJ28" s="8">
        <f t="shared" si="9"/>
        <v>1</v>
      </c>
      <c r="AK28" s="29">
        <f t="shared" si="10"/>
        <v>2</v>
      </c>
      <c r="AL28" s="62">
        <v>3</v>
      </c>
      <c r="AM28" s="33">
        <f t="shared" si="11"/>
        <v>25.5</v>
      </c>
      <c r="AN28" s="63">
        <f t="shared" si="12"/>
        <v>184</v>
      </c>
      <c r="AO28" s="63">
        <f t="shared" si="13"/>
        <v>2</v>
      </c>
      <c r="AP28" s="63">
        <f t="shared" si="14"/>
        <v>8</v>
      </c>
      <c r="AQ28" s="53">
        <f t="shared" si="15"/>
        <v>24.5</v>
      </c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</row>
    <row r="29" spans="1:56" ht="22" customHeight="1" x14ac:dyDescent="0.35">
      <c r="A29" s="8" t="s">
        <v>87</v>
      </c>
      <c r="B29" s="8" t="s">
        <v>88</v>
      </c>
      <c r="C29" s="8" t="s">
        <v>74</v>
      </c>
      <c r="D29" s="26" t="s">
        <v>3</v>
      </c>
      <c r="E29" s="26" t="s">
        <v>3</v>
      </c>
      <c r="F29" s="26" t="s">
        <v>3</v>
      </c>
      <c r="G29" s="27" t="s">
        <v>7</v>
      </c>
      <c r="H29" s="28" t="s">
        <v>11</v>
      </c>
      <c r="I29" s="26" t="s">
        <v>3</v>
      </c>
      <c r="J29" s="26" t="s">
        <v>3</v>
      </c>
      <c r="K29" s="26" t="s">
        <v>3</v>
      </c>
      <c r="L29" s="26" t="s">
        <v>3</v>
      </c>
      <c r="M29" s="26" t="s">
        <v>3</v>
      </c>
      <c r="N29" s="27" t="s">
        <v>7</v>
      </c>
      <c r="O29" s="24" t="s">
        <v>9</v>
      </c>
      <c r="P29" s="22" t="s">
        <v>5</v>
      </c>
      <c r="Q29" s="22" t="s">
        <v>5</v>
      </c>
      <c r="R29" s="22" t="s">
        <v>5</v>
      </c>
      <c r="S29" s="22" t="s">
        <v>5</v>
      </c>
      <c r="T29" s="22" t="s">
        <v>5</v>
      </c>
      <c r="U29" s="23" t="s">
        <v>7</v>
      </c>
      <c r="V29" s="24" t="s">
        <v>9</v>
      </c>
      <c r="W29" s="22" t="s">
        <v>5</v>
      </c>
      <c r="X29" s="22" t="s">
        <v>5</v>
      </c>
      <c r="Y29" s="22" t="s">
        <v>5</v>
      </c>
      <c r="Z29" s="22" t="s">
        <v>5</v>
      </c>
      <c r="AA29" s="22" t="s">
        <v>5</v>
      </c>
      <c r="AB29" s="23" t="s">
        <v>7</v>
      </c>
      <c r="AC29" s="24" t="s">
        <v>9</v>
      </c>
      <c r="AD29" s="22" t="s">
        <v>5</v>
      </c>
      <c r="AE29" s="22" t="s">
        <v>5</v>
      </c>
      <c r="AF29" s="22" t="s">
        <v>5</v>
      </c>
      <c r="AG29" s="22" t="s">
        <v>5</v>
      </c>
      <c r="AH29" s="22" t="s">
        <v>5</v>
      </c>
      <c r="AI29" s="8">
        <f t="shared" si="8"/>
        <v>8</v>
      </c>
      <c r="AJ29" s="25">
        <f t="shared" si="9"/>
        <v>15</v>
      </c>
      <c r="AK29" s="29">
        <f t="shared" si="10"/>
        <v>1</v>
      </c>
      <c r="AL29" s="62">
        <v>2</v>
      </c>
      <c r="AM29" s="33">
        <f t="shared" si="11"/>
        <v>10</v>
      </c>
      <c r="AN29" s="63">
        <f t="shared" si="12"/>
        <v>184</v>
      </c>
      <c r="AO29" s="63">
        <f t="shared" si="13"/>
        <v>0</v>
      </c>
      <c r="AP29" s="63">
        <f t="shared" si="14"/>
        <v>0</v>
      </c>
      <c r="AQ29" s="53">
        <f t="shared" si="15"/>
        <v>10</v>
      </c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</row>
    <row r="30" spans="1:56" ht="22" customHeight="1" x14ac:dyDescent="0.35">
      <c r="A30" s="8" t="s">
        <v>89</v>
      </c>
      <c r="B30" s="8" t="s">
        <v>90</v>
      </c>
      <c r="C30" s="8" t="s">
        <v>74</v>
      </c>
      <c r="D30" s="26" t="s">
        <v>3</v>
      </c>
      <c r="E30" s="26" t="s">
        <v>3</v>
      </c>
      <c r="F30" s="26" t="s">
        <v>3</v>
      </c>
      <c r="G30" s="27" t="s">
        <v>7</v>
      </c>
      <c r="H30" s="28" t="s">
        <v>11</v>
      </c>
      <c r="I30" s="26" t="s">
        <v>3</v>
      </c>
      <c r="J30" s="26" t="s">
        <v>3</v>
      </c>
      <c r="K30" s="26" t="s">
        <v>3</v>
      </c>
      <c r="L30" s="26" t="s">
        <v>3</v>
      </c>
      <c r="M30" s="26" t="s">
        <v>3</v>
      </c>
      <c r="N30" s="27" t="s">
        <v>7</v>
      </c>
      <c r="O30" s="24" t="s">
        <v>9</v>
      </c>
      <c r="P30" s="22" t="s">
        <v>5</v>
      </c>
      <c r="Q30" s="22" t="s">
        <v>5</v>
      </c>
      <c r="R30" s="22" t="s">
        <v>5</v>
      </c>
      <c r="S30" s="22" t="s">
        <v>5</v>
      </c>
      <c r="T30" s="22" t="s">
        <v>5</v>
      </c>
      <c r="U30" s="23" t="s">
        <v>7</v>
      </c>
      <c r="V30" s="24" t="s">
        <v>9</v>
      </c>
      <c r="W30" s="22" t="s">
        <v>5</v>
      </c>
      <c r="X30" s="22" t="s">
        <v>5</v>
      </c>
      <c r="Y30" s="22" t="s">
        <v>5</v>
      </c>
      <c r="Z30" s="22" t="s">
        <v>5</v>
      </c>
      <c r="AA30" s="22" t="s">
        <v>5</v>
      </c>
      <c r="AB30" s="23" t="s">
        <v>7</v>
      </c>
      <c r="AC30" s="24" t="s">
        <v>9</v>
      </c>
      <c r="AD30" s="22" t="s">
        <v>5</v>
      </c>
      <c r="AE30" s="22" t="s">
        <v>5</v>
      </c>
      <c r="AF30" s="22" t="s">
        <v>5</v>
      </c>
      <c r="AG30" s="22" t="s">
        <v>5</v>
      </c>
      <c r="AH30" s="22" t="s">
        <v>5</v>
      </c>
      <c r="AI30" s="8">
        <f t="shared" si="8"/>
        <v>8</v>
      </c>
      <c r="AJ30" s="25">
        <f t="shared" si="9"/>
        <v>15</v>
      </c>
      <c r="AK30" s="29">
        <f t="shared" si="10"/>
        <v>1</v>
      </c>
      <c r="AL30" s="62">
        <v>2</v>
      </c>
      <c r="AM30" s="33">
        <f t="shared" si="11"/>
        <v>10</v>
      </c>
      <c r="AN30" s="63">
        <f t="shared" si="12"/>
        <v>184</v>
      </c>
      <c r="AO30" s="63">
        <f t="shared" si="13"/>
        <v>0</v>
      </c>
      <c r="AP30" s="63">
        <f t="shared" si="14"/>
        <v>0</v>
      </c>
      <c r="AQ30" s="53">
        <f t="shared" si="15"/>
        <v>10</v>
      </c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</row>
    <row r="31" spans="1:56" ht="22" customHeight="1" x14ac:dyDescent="0.35">
      <c r="A31" s="8" t="s">
        <v>91</v>
      </c>
      <c r="B31" s="8" t="s">
        <v>92</v>
      </c>
      <c r="C31" s="8" t="s">
        <v>74</v>
      </c>
      <c r="D31" s="26" t="s">
        <v>3</v>
      </c>
      <c r="E31" s="26" t="s">
        <v>3</v>
      </c>
      <c r="F31" s="26" t="s">
        <v>3</v>
      </c>
      <c r="G31" s="27" t="s">
        <v>7</v>
      </c>
      <c r="H31" s="28" t="s">
        <v>11</v>
      </c>
      <c r="I31" s="26" t="s">
        <v>3</v>
      </c>
      <c r="J31" s="26" t="s">
        <v>3</v>
      </c>
      <c r="K31" s="26" t="s">
        <v>3</v>
      </c>
      <c r="L31" s="26" t="s">
        <v>3</v>
      </c>
      <c r="M31" s="26" t="s">
        <v>3</v>
      </c>
      <c r="N31" s="27" t="s">
        <v>7</v>
      </c>
      <c r="O31" s="24" t="s">
        <v>9</v>
      </c>
      <c r="P31" s="22" t="s">
        <v>5</v>
      </c>
      <c r="Q31" s="22" t="s">
        <v>5</v>
      </c>
      <c r="R31" s="22" t="s">
        <v>5</v>
      </c>
      <c r="S31" s="22" t="s">
        <v>5</v>
      </c>
      <c r="T31" s="22" t="s">
        <v>5</v>
      </c>
      <c r="U31" s="23" t="s">
        <v>7</v>
      </c>
      <c r="V31" s="24" t="s">
        <v>9</v>
      </c>
      <c r="W31" s="22" t="s">
        <v>5</v>
      </c>
      <c r="X31" s="22" t="s">
        <v>5</v>
      </c>
      <c r="Y31" s="22" t="s">
        <v>5</v>
      </c>
      <c r="Z31" s="22" t="s">
        <v>5</v>
      </c>
      <c r="AA31" s="22" t="s">
        <v>5</v>
      </c>
      <c r="AB31" s="23" t="s">
        <v>7</v>
      </c>
      <c r="AC31" s="24" t="s">
        <v>9</v>
      </c>
      <c r="AD31" s="22" t="s">
        <v>5</v>
      </c>
      <c r="AE31" s="22" t="s">
        <v>5</v>
      </c>
      <c r="AF31" s="22" t="s">
        <v>5</v>
      </c>
      <c r="AG31" s="22" t="s">
        <v>5</v>
      </c>
      <c r="AH31" s="22" t="s">
        <v>5</v>
      </c>
      <c r="AI31" s="8">
        <f t="shared" si="8"/>
        <v>8</v>
      </c>
      <c r="AJ31" s="25">
        <f t="shared" si="9"/>
        <v>15</v>
      </c>
      <c r="AK31" s="29">
        <f t="shared" si="10"/>
        <v>1</v>
      </c>
      <c r="AL31" s="62">
        <v>2</v>
      </c>
      <c r="AM31" s="33">
        <f t="shared" si="11"/>
        <v>10</v>
      </c>
      <c r="AN31" s="63">
        <f t="shared" si="12"/>
        <v>184</v>
      </c>
      <c r="AO31" s="63">
        <f t="shared" si="13"/>
        <v>0</v>
      </c>
      <c r="AP31" s="63">
        <f t="shared" si="14"/>
        <v>0</v>
      </c>
      <c r="AQ31" s="53">
        <f t="shared" si="15"/>
        <v>10</v>
      </c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 spans="1:56" ht="22" customHeight="1" x14ac:dyDescent="0.35">
      <c r="A32" s="8" t="s">
        <v>93</v>
      </c>
      <c r="B32" s="8" t="s">
        <v>94</v>
      </c>
      <c r="C32" s="8" t="s">
        <v>74</v>
      </c>
      <c r="D32" s="26" t="s">
        <v>3</v>
      </c>
      <c r="E32" s="26" t="s">
        <v>3</v>
      </c>
      <c r="F32" s="26" t="s">
        <v>3</v>
      </c>
      <c r="G32" s="23" t="s">
        <v>7</v>
      </c>
      <c r="H32" s="24" t="s">
        <v>9</v>
      </c>
      <c r="I32" s="26" t="s">
        <v>3</v>
      </c>
      <c r="J32" s="26" t="s">
        <v>3</v>
      </c>
      <c r="K32" s="26" t="s">
        <v>3</v>
      </c>
      <c r="L32" s="26" t="s">
        <v>3</v>
      </c>
      <c r="M32" s="26" t="s">
        <v>3</v>
      </c>
      <c r="N32" s="27" t="s">
        <v>7</v>
      </c>
      <c r="O32" s="28" t="s">
        <v>11</v>
      </c>
      <c r="P32" s="26" t="s">
        <v>3</v>
      </c>
      <c r="Q32" s="26" t="s">
        <v>3</v>
      </c>
      <c r="R32" s="26" t="s">
        <v>3</v>
      </c>
      <c r="S32" s="26" t="s">
        <v>3</v>
      </c>
      <c r="T32" s="26" t="s">
        <v>3</v>
      </c>
      <c r="U32" s="23" t="s">
        <v>7</v>
      </c>
      <c r="V32" s="24" t="s">
        <v>9</v>
      </c>
      <c r="W32" s="26" t="s">
        <v>3</v>
      </c>
      <c r="X32" s="26" t="s">
        <v>3</v>
      </c>
      <c r="Y32" s="26" t="s">
        <v>3</v>
      </c>
      <c r="Z32" s="26" t="s">
        <v>3</v>
      </c>
      <c r="AA32" s="26" t="s">
        <v>3</v>
      </c>
      <c r="AB32" s="27" t="s">
        <v>7</v>
      </c>
      <c r="AC32" s="28" t="s">
        <v>11</v>
      </c>
      <c r="AD32" s="26" t="s">
        <v>3</v>
      </c>
      <c r="AE32" s="26" t="s">
        <v>3</v>
      </c>
      <c r="AF32" s="26" t="s">
        <v>3</v>
      </c>
      <c r="AG32" s="26" t="s">
        <v>3</v>
      </c>
      <c r="AH32" s="22" t="s">
        <v>5</v>
      </c>
      <c r="AI32" s="8">
        <f t="shared" si="8"/>
        <v>22</v>
      </c>
      <c r="AJ32" s="8">
        <f t="shared" si="9"/>
        <v>1</v>
      </c>
      <c r="AK32" s="29">
        <f t="shared" si="10"/>
        <v>2</v>
      </c>
      <c r="AL32" s="62">
        <v>2</v>
      </c>
      <c r="AM32" s="33">
        <f t="shared" si="11"/>
        <v>25</v>
      </c>
      <c r="AN32" s="63">
        <f t="shared" si="12"/>
        <v>184</v>
      </c>
      <c r="AO32" s="63">
        <f t="shared" si="13"/>
        <v>2</v>
      </c>
      <c r="AP32" s="63">
        <f t="shared" si="14"/>
        <v>8</v>
      </c>
      <c r="AQ32" s="53">
        <f t="shared" si="15"/>
        <v>24</v>
      </c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</row>
    <row r="33" spans="1:56" ht="22" customHeight="1" x14ac:dyDescent="0.35">
      <c r="A33" s="8" t="s">
        <v>95</v>
      </c>
      <c r="B33" s="8" t="s">
        <v>96</v>
      </c>
      <c r="C33" s="8" t="s">
        <v>74</v>
      </c>
      <c r="D33" s="26" t="s">
        <v>3</v>
      </c>
      <c r="E33" s="26" t="s">
        <v>3</v>
      </c>
      <c r="F33" s="26" t="s">
        <v>3</v>
      </c>
      <c r="G33" s="23" t="s">
        <v>7</v>
      </c>
      <c r="H33" s="24" t="s">
        <v>9</v>
      </c>
      <c r="I33" s="26" t="s">
        <v>3</v>
      </c>
      <c r="J33" s="26" t="s">
        <v>3</v>
      </c>
      <c r="K33" s="26" t="s">
        <v>3</v>
      </c>
      <c r="L33" s="26" t="s">
        <v>3</v>
      </c>
      <c r="M33" s="26" t="s">
        <v>3</v>
      </c>
      <c r="N33" s="23" t="s">
        <v>7</v>
      </c>
      <c r="O33" s="24" t="s">
        <v>9</v>
      </c>
      <c r="P33" s="26" t="s">
        <v>3</v>
      </c>
      <c r="Q33" s="26" t="s">
        <v>3</v>
      </c>
      <c r="R33" s="26" t="s">
        <v>3</v>
      </c>
      <c r="S33" s="26" t="s">
        <v>3</v>
      </c>
      <c r="T33" s="26" t="s">
        <v>3</v>
      </c>
      <c r="U33" s="27" t="s">
        <v>7</v>
      </c>
      <c r="V33" s="24" t="s">
        <v>9</v>
      </c>
      <c r="W33" s="26" t="s">
        <v>3</v>
      </c>
      <c r="X33" s="26" t="s">
        <v>3</v>
      </c>
      <c r="Y33" s="26" t="s">
        <v>3</v>
      </c>
      <c r="Z33" s="26" t="s">
        <v>3</v>
      </c>
      <c r="AA33" s="26" t="s">
        <v>3</v>
      </c>
      <c r="AB33" s="23" t="s">
        <v>7</v>
      </c>
      <c r="AC33" s="24" t="s">
        <v>9</v>
      </c>
      <c r="AD33" s="26" t="s">
        <v>3</v>
      </c>
      <c r="AE33" s="26" t="s">
        <v>3</v>
      </c>
      <c r="AF33" s="26" t="s">
        <v>3</v>
      </c>
      <c r="AG33" s="26" t="s">
        <v>3</v>
      </c>
      <c r="AH33" s="26" t="s">
        <v>3</v>
      </c>
      <c r="AI33" s="8">
        <f t="shared" si="8"/>
        <v>23</v>
      </c>
      <c r="AJ33" s="8">
        <f t="shared" si="9"/>
        <v>0</v>
      </c>
      <c r="AK33" s="8">
        <f t="shared" si="10"/>
        <v>0</v>
      </c>
      <c r="AL33" s="62">
        <v>1</v>
      </c>
      <c r="AM33" s="33">
        <f t="shared" si="11"/>
        <v>23.5</v>
      </c>
      <c r="AN33" s="63">
        <f t="shared" si="12"/>
        <v>184</v>
      </c>
      <c r="AO33" s="63">
        <f t="shared" si="13"/>
        <v>4</v>
      </c>
      <c r="AP33" s="63">
        <f t="shared" si="14"/>
        <v>16</v>
      </c>
      <c r="AQ33" s="53">
        <f t="shared" si="15"/>
        <v>21.5</v>
      </c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</row>
    <row r="34" spans="1:56" ht="22" customHeight="1" x14ac:dyDescent="0.35">
      <c r="A34" s="8" t="s">
        <v>97</v>
      </c>
      <c r="B34" s="8" t="s">
        <v>98</v>
      </c>
      <c r="C34" s="8" t="s">
        <v>74</v>
      </c>
      <c r="D34" s="22" t="s">
        <v>5</v>
      </c>
      <c r="E34" s="26" t="s">
        <v>3</v>
      </c>
      <c r="F34" s="26" t="s">
        <v>3</v>
      </c>
      <c r="G34" s="23" t="s">
        <v>7</v>
      </c>
      <c r="H34" s="24" t="s">
        <v>9</v>
      </c>
      <c r="I34" s="26" t="s">
        <v>3</v>
      </c>
      <c r="J34" s="26" t="s">
        <v>3</v>
      </c>
      <c r="K34" s="26" t="s">
        <v>3</v>
      </c>
      <c r="L34" s="26" t="s">
        <v>3</v>
      </c>
      <c r="M34" s="26" t="s">
        <v>3</v>
      </c>
      <c r="N34" s="27" t="s">
        <v>7</v>
      </c>
      <c r="O34" s="28" t="s">
        <v>11</v>
      </c>
      <c r="P34" s="26" t="s">
        <v>3</v>
      </c>
      <c r="Q34" s="26" t="s">
        <v>3</v>
      </c>
      <c r="R34" s="26" t="s">
        <v>3</v>
      </c>
      <c r="S34" s="26" t="s">
        <v>3</v>
      </c>
      <c r="T34" s="26" t="s">
        <v>3</v>
      </c>
      <c r="U34" s="27" t="s">
        <v>7</v>
      </c>
      <c r="V34" s="28" t="s">
        <v>11</v>
      </c>
      <c r="W34" s="26" t="s">
        <v>3</v>
      </c>
      <c r="X34" s="26" t="s">
        <v>3</v>
      </c>
      <c r="Y34" s="26" t="s">
        <v>3</v>
      </c>
      <c r="Z34" s="26" t="s">
        <v>3</v>
      </c>
      <c r="AA34" s="26" t="s">
        <v>3</v>
      </c>
      <c r="AB34" s="27" t="s">
        <v>7</v>
      </c>
      <c r="AC34" s="28" t="s">
        <v>11</v>
      </c>
      <c r="AD34" s="26" t="s">
        <v>3</v>
      </c>
      <c r="AE34" s="26" t="s">
        <v>3</v>
      </c>
      <c r="AF34" s="26" t="s">
        <v>3</v>
      </c>
      <c r="AG34" s="26" t="s">
        <v>3</v>
      </c>
      <c r="AH34" s="26" t="s">
        <v>3</v>
      </c>
      <c r="AI34" s="8">
        <f t="shared" si="8"/>
        <v>22</v>
      </c>
      <c r="AJ34" s="8">
        <f t="shared" si="9"/>
        <v>1</v>
      </c>
      <c r="AK34" s="29">
        <f t="shared" si="10"/>
        <v>3</v>
      </c>
      <c r="AL34" s="62">
        <v>3</v>
      </c>
      <c r="AM34" s="33">
        <f t="shared" si="11"/>
        <v>26.5</v>
      </c>
      <c r="AN34" s="63">
        <f t="shared" si="12"/>
        <v>184</v>
      </c>
      <c r="AO34" s="63">
        <f t="shared" si="13"/>
        <v>2</v>
      </c>
      <c r="AP34" s="63">
        <f t="shared" si="14"/>
        <v>8</v>
      </c>
      <c r="AQ34" s="53">
        <f t="shared" si="15"/>
        <v>25.5</v>
      </c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</row>
    <row r="35" spans="1:56" ht="22" customHeight="1" x14ac:dyDescent="0.35">
      <c r="A35" s="8" t="s">
        <v>99</v>
      </c>
      <c r="B35" s="8" t="s">
        <v>100</v>
      </c>
      <c r="C35" s="8" t="s">
        <v>74</v>
      </c>
      <c r="D35" s="22" t="s">
        <v>5</v>
      </c>
      <c r="E35" s="22" t="s">
        <v>5</v>
      </c>
      <c r="F35" s="22" t="s">
        <v>5</v>
      </c>
      <c r="G35" s="23" t="s">
        <v>7</v>
      </c>
      <c r="H35" s="24" t="s">
        <v>9</v>
      </c>
      <c r="I35" s="22" t="s">
        <v>5</v>
      </c>
      <c r="J35" s="22" t="s">
        <v>5</v>
      </c>
      <c r="K35" s="22" t="s">
        <v>5</v>
      </c>
      <c r="L35" s="22" t="s">
        <v>5</v>
      </c>
      <c r="M35" s="22" t="s">
        <v>5</v>
      </c>
      <c r="N35" s="23" t="s">
        <v>7</v>
      </c>
      <c r="O35" s="24" t="s">
        <v>9</v>
      </c>
      <c r="P35" s="22" t="s">
        <v>5</v>
      </c>
      <c r="Q35" s="22" t="s">
        <v>5</v>
      </c>
      <c r="R35" s="22" t="s">
        <v>5</v>
      </c>
      <c r="S35" s="22" t="s">
        <v>5</v>
      </c>
      <c r="T35" s="22" t="s">
        <v>5</v>
      </c>
      <c r="U35" s="23" t="s">
        <v>7</v>
      </c>
      <c r="V35" s="24" t="s">
        <v>9</v>
      </c>
      <c r="W35" s="22" t="s">
        <v>5</v>
      </c>
      <c r="X35" s="22" t="s">
        <v>5</v>
      </c>
      <c r="Y35" s="22" t="s">
        <v>5</v>
      </c>
      <c r="Z35" s="22" t="s">
        <v>5</v>
      </c>
      <c r="AA35" s="22" t="s">
        <v>5</v>
      </c>
      <c r="AB35" s="23" t="s">
        <v>7</v>
      </c>
      <c r="AC35" s="24" t="s">
        <v>9</v>
      </c>
      <c r="AD35" s="22" t="s">
        <v>5</v>
      </c>
      <c r="AE35" s="22" t="s">
        <v>5</v>
      </c>
      <c r="AF35" s="22" t="s">
        <v>5</v>
      </c>
      <c r="AG35" s="22" t="s">
        <v>5</v>
      </c>
      <c r="AH35" s="22" t="s">
        <v>5</v>
      </c>
      <c r="AI35" s="8">
        <f t="shared" si="8"/>
        <v>0</v>
      </c>
      <c r="AJ35" s="25">
        <f t="shared" si="9"/>
        <v>23</v>
      </c>
      <c r="AK35" s="8">
        <f t="shared" si="10"/>
        <v>0</v>
      </c>
      <c r="AL35" s="62">
        <v>0</v>
      </c>
      <c r="AM35" s="33">
        <f t="shared" si="11"/>
        <v>0</v>
      </c>
      <c r="AN35" s="63">
        <f t="shared" si="12"/>
        <v>184</v>
      </c>
      <c r="AO35" s="63">
        <f t="shared" si="13"/>
        <v>0</v>
      </c>
      <c r="AP35" s="63">
        <f t="shared" si="14"/>
        <v>0</v>
      </c>
      <c r="AQ35" s="53">
        <f t="shared" si="15"/>
        <v>0</v>
      </c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</row>
    <row r="36" spans="1:56" x14ac:dyDescent="0.35"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</row>
    <row r="37" spans="1:56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</row>
    <row r="38" spans="1:56" ht="22" customHeight="1" x14ac:dyDescent="0.35">
      <c r="A38" s="8" t="s">
        <v>102</v>
      </c>
      <c r="B38" s="8" t="s">
        <v>103</v>
      </c>
      <c r="C38" s="8" t="s">
        <v>104</v>
      </c>
      <c r="D38" s="26" t="s">
        <v>3</v>
      </c>
      <c r="E38" s="26" t="s">
        <v>3</v>
      </c>
      <c r="F38" s="26" t="s">
        <v>3</v>
      </c>
      <c r="G38" s="27" t="s">
        <v>7</v>
      </c>
      <c r="H38" s="28" t="s">
        <v>11</v>
      </c>
      <c r="I38" s="26" t="s">
        <v>3</v>
      </c>
      <c r="J38" s="26" t="s">
        <v>3</v>
      </c>
      <c r="K38" s="22" t="s">
        <v>5</v>
      </c>
      <c r="L38" s="22" t="s">
        <v>5</v>
      </c>
      <c r="M38" s="22" t="s">
        <v>5</v>
      </c>
      <c r="N38" s="23" t="s">
        <v>7</v>
      </c>
      <c r="O38" s="24" t="s">
        <v>9</v>
      </c>
      <c r="P38" s="22" t="s">
        <v>5</v>
      </c>
      <c r="Q38" s="22" t="s">
        <v>5</v>
      </c>
      <c r="R38" s="22" t="s">
        <v>5</v>
      </c>
      <c r="S38" s="22" t="s">
        <v>5</v>
      </c>
      <c r="T38" s="22" t="s">
        <v>5</v>
      </c>
      <c r="U38" s="23" t="s">
        <v>7</v>
      </c>
      <c r="V38" s="24" t="s">
        <v>9</v>
      </c>
      <c r="W38" s="22" t="s">
        <v>5</v>
      </c>
      <c r="X38" s="22" t="s">
        <v>5</v>
      </c>
      <c r="Y38" s="26" t="s">
        <v>3</v>
      </c>
      <c r="Z38" s="26" t="s">
        <v>3</v>
      </c>
      <c r="AA38" s="26" t="s">
        <v>3</v>
      </c>
      <c r="AB38" s="27" t="s">
        <v>7</v>
      </c>
      <c r="AC38" s="24" t="s">
        <v>9</v>
      </c>
      <c r="AD38" s="22" t="s">
        <v>5</v>
      </c>
      <c r="AE38" s="26" t="s">
        <v>3</v>
      </c>
      <c r="AF38" s="26" t="s">
        <v>3</v>
      </c>
      <c r="AG38" s="22" t="s">
        <v>5</v>
      </c>
      <c r="AH38" s="22" t="s">
        <v>5</v>
      </c>
      <c r="AI38" s="8">
        <f t="shared" ref="AI38:AI74" si="16">COUNTIF(D38:AH38,"ON")</f>
        <v>10</v>
      </c>
      <c r="AJ38" s="25">
        <f t="shared" ref="AJ38:AJ74" si="17">COUNTIF(D38:AH38,"OFF")</f>
        <v>13</v>
      </c>
      <c r="AK38" s="29">
        <f t="shared" ref="AK38:AK74" si="18">COUNTIF(D38:AH38,"OT")</f>
        <v>1</v>
      </c>
      <c r="AL38" s="62">
        <v>2</v>
      </c>
      <c r="AM38" s="33">
        <f t="shared" ref="AM38:AM74" si="19">AI38+AK38+AL38*0.5</f>
        <v>12</v>
      </c>
      <c r="AN38" s="63">
        <f t="shared" ref="AN38:AN74" si="20">NETWORKDAYS(DATE(2025,10,1),EOMONTH(DATE(2025,10,1),0))*8</f>
        <v>184</v>
      </c>
      <c r="AO38" s="63">
        <f t="shared" ref="AO38:AO74" si="21">MAX(0,COUNTIF(F38,"ON")+COUNTIF(M38,"ON")+COUNTIF(T38,"ON")+COUNTIF(AA38,"ON")+COUNTIF(AH38,"ON")-AL38)</f>
        <v>0</v>
      </c>
      <c r="AP38" s="63">
        <f t="shared" ref="AP38:AP74" si="22">AO38*$AP$2</f>
        <v>0</v>
      </c>
      <c r="AQ38" s="53">
        <f t="shared" ref="AQ38:AQ74" si="23">AM38-AP38/8</f>
        <v>12</v>
      </c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</row>
    <row r="39" spans="1:56" ht="22" customHeight="1" x14ac:dyDescent="0.35">
      <c r="A39" s="8" t="s">
        <v>105</v>
      </c>
      <c r="B39" s="8" t="s">
        <v>106</v>
      </c>
      <c r="C39" s="8" t="s">
        <v>104</v>
      </c>
      <c r="D39" s="22" t="s">
        <v>5</v>
      </c>
      <c r="E39" s="22" t="s">
        <v>5</v>
      </c>
      <c r="F39" s="22" t="s">
        <v>5</v>
      </c>
      <c r="G39" s="23" t="s">
        <v>7</v>
      </c>
      <c r="H39" s="24" t="s">
        <v>9</v>
      </c>
      <c r="I39" s="26" t="s">
        <v>3</v>
      </c>
      <c r="J39" s="26" t="s">
        <v>3</v>
      </c>
      <c r="K39" s="26" t="s">
        <v>3</v>
      </c>
      <c r="L39" s="26" t="s">
        <v>3</v>
      </c>
      <c r="M39" s="26" t="s">
        <v>3</v>
      </c>
      <c r="N39" s="23" t="s">
        <v>7</v>
      </c>
      <c r="O39" s="24" t="s">
        <v>9</v>
      </c>
      <c r="P39" s="22" t="s">
        <v>5</v>
      </c>
      <c r="Q39" s="22" t="s">
        <v>5</v>
      </c>
      <c r="R39" s="22" t="s">
        <v>5</v>
      </c>
      <c r="S39" s="22" t="s">
        <v>5</v>
      </c>
      <c r="T39" s="22" t="s">
        <v>5</v>
      </c>
      <c r="U39" s="23" t="s">
        <v>7</v>
      </c>
      <c r="V39" s="24" t="s">
        <v>9</v>
      </c>
      <c r="W39" s="22" t="s">
        <v>5</v>
      </c>
      <c r="X39" s="22" t="s">
        <v>5</v>
      </c>
      <c r="Y39" s="22" t="s">
        <v>5</v>
      </c>
      <c r="Z39" s="22" t="s">
        <v>5</v>
      </c>
      <c r="AA39" s="22" t="s">
        <v>5</v>
      </c>
      <c r="AB39" s="23" t="s">
        <v>7</v>
      </c>
      <c r="AC39" s="24" t="s">
        <v>9</v>
      </c>
      <c r="AD39" s="22" t="s">
        <v>5</v>
      </c>
      <c r="AE39" s="22" t="s">
        <v>5</v>
      </c>
      <c r="AF39" s="22" t="s">
        <v>5</v>
      </c>
      <c r="AG39" s="22" t="s">
        <v>5</v>
      </c>
      <c r="AH39" s="22" t="s">
        <v>5</v>
      </c>
      <c r="AI39" s="8">
        <f t="shared" si="16"/>
        <v>5</v>
      </c>
      <c r="AJ39" s="25">
        <f t="shared" si="17"/>
        <v>18</v>
      </c>
      <c r="AK39" s="8">
        <f t="shared" si="18"/>
        <v>0</v>
      </c>
      <c r="AL39" s="62">
        <v>0</v>
      </c>
      <c r="AM39" s="33">
        <f t="shared" si="19"/>
        <v>5</v>
      </c>
      <c r="AN39" s="63">
        <f t="shared" si="20"/>
        <v>184</v>
      </c>
      <c r="AO39" s="63">
        <f t="shared" si="21"/>
        <v>1</v>
      </c>
      <c r="AP39" s="63">
        <f t="shared" si="22"/>
        <v>4</v>
      </c>
      <c r="AQ39" s="53">
        <f t="shared" si="23"/>
        <v>4.5</v>
      </c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</row>
    <row r="40" spans="1:56" ht="22" customHeight="1" x14ac:dyDescent="0.35">
      <c r="A40" s="8" t="s">
        <v>107</v>
      </c>
      <c r="B40" s="8" t="s">
        <v>108</v>
      </c>
      <c r="C40" s="8" t="s">
        <v>104</v>
      </c>
      <c r="D40" s="26" t="s">
        <v>3</v>
      </c>
      <c r="E40" s="22" t="s">
        <v>5</v>
      </c>
      <c r="F40" s="26" t="s">
        <v>3</v>
      </c>
      <c r="G40" s="27" t="s">
        <v>7</v>
      </c>
      <c r="H40" s="28" t="s">
        <v>11</v>
      </c>
      <c r="I40" s="22" t="s">
        <v>5</v>
      </c>
      <c r="J40" s="22" t="s">
        <v>5</v>
      </c>
      <c r="K40" s="22" t="s">
        <v>5</v>
      </c>
      <c r="L40" s="22" t="s">
        <v>5</v>
      </c>
      <c r="M40" s="22" t="s">
        <v>5</v>
      </c>
      <c r="N40" s="27" t="s">
        <v>7</v>
      </c>
      <c r="O40" s="28" t="s">
        <v>11</v>
      </c>
      <c r="P40" s="26" t="s">
        <v>3</v>
      </c>
      <c r="Q40" s="26" t="s">
        <v>3</v>
      </c>
      <c r="R40" s="26" t="s">
        <v>3</v>
      </c>
      <c r="S40" s="26" t="s">
        <v>3</v>
      </c>
      <c r="T40" s="26" t="s">
        <v>3</v>
      </c>
      <c r="U40" s="27" t="s">
        <v>7</v>
      </c>
      <c r="V40" s="28" t="s">
        <v>11</v>
      </c>
      <c r="W40" s="26" t="s">
        <v>3</v>
      </c>
      <c r="X40" s="26" t="s">
        <v>3</v>
      </c>
      <c r="Y40" s="26" t="s">
        <v>3</v>
      </c>
      <c r="Z40" s="26" t="s">
        <v>3</v>
      </c>
      <c r="AA40" s="26" t="s">
        <v>3</v>
      </c>
      <c r="AB40" s="27" t="s">
        <v>7</v>
      </c>
      <c r="AC40" s="28" t="s">
        <v>11</v>
      </c>
      <c r="AD40" s="26" t="s">
        <v>3</v>
      </c>
      <c r="AE40" s="26" t="s">
        <v>3</v>
      </c>
      <c r="AF40" s="26" t="s">
        <v>3</v>
      </c>
      <c r="AG40" s="26" t="s">
        <v>3</v>
      </c>
      <c r="AH40" s="26" t="s">
        <v>3</v>
      </c>
      <c r="AI40" s="8">
        <f t="shared" si="16"/>
        <v>17</v>
      </c>
      <c r="AJ40" s="8">
        <f t="shared" si="17"/>
        <v>6</v>
      </c>
      <c r="AK40" s="29">
        <f t="shared" si="18"/>
        <v>4</v>
      </c>
      <c r="AL40" s="62">
        <v>4</v>
      </c>
      <c r="AM40" s="33">
        <f t="shared" si="19"/>
        <v>23</v>
      </c>
      <c r="AN40" s="63">
        <f t="shared" si="20"/>
        <v>184</v>
      </c>
      <c r="AO40" s="63">
        <f t="shared" si="21"/>
        <v>0</v>
      </c>
      <c r="AP40" s="63">
        <f t="shared" si="22"/>
        <v>0</v>
      </c>
      <c r="AQ40" s="53">
        <f t="shared" si="23"/>
        <v>23</v>
      </c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</row>
    <row r="41" spans="1:56" ht="22" customHeight="1" x14ac:dyDescent="0.35">
      <c r="A41" s="8" t="s">
        <v>109</v>
      </c>
      <c r="B41" s="8" t="s">
        <v>110</v>
      </c>
      <c r="C41" s="8" t="s">
        <v>104</v>
      </c>
      <c r="D41" s="26" t="s">
        <v>3</v>
      </c>
      <c r="E41" s="26" t="s">
        <v>3</v>
      </c>
      <c r="F41" s="26" t="s">
        <v>3</v>
      </c>
      <c r="G41" s="27" t="s">
        <v>7</v>
      </c>
      <c r="H41" s="28" t="s">
        <v>11</v>
      </c>
      <c r="I41" s="22" t="s">
        <v>5</v>
      </c>
      <c r="J41" s="22" t="s">
        <v>5</v>
      </c>
      <c r="K41" s="22" t="s">
        <v>5</v>
      </c>
      <c r="L41" s="22" t="s">
        <v>5</v>
      </c>
      <c r="M41" s="26" t="s">
        <v>3</v>
      </c>
      <c r="N41" s="27" t="s">
        <v>7</v>
      </c>
      <c r="O41" s="28" t="s">
        <v>11</v>
      </c>
      <c r="P41" s="26" t="s">
        <v>3</v>
      </c>
      <c r="Q41" s="26" t="s">
        <v>3</v>
      </c>
      <c r="R41" s="26" t="s">
        <v>3</v>
      </c>
      <c r="S41" s="26" t="s">
        <v>3</v>
      </c>
      <c r="T41" s="26" t="s">
        <v>3</v>
      </c>
      <c r="U41" s="27" t="s">
        <v>7</v>
      </c>
      <c r="V41" s="28" t="s">
        <v>11</v>
      </c>
      <c r="W41" s="26" t="s">
        <v>3</v>
      </c>
      <c r="X41" s="26" t="s">
        <v>3</v>
      </c>
      <c r="Y41" s="26" t="s">
        <v>3</v>
      </c>
      <c r="Z41" s="26" t="s">
        <v>3</v>
      </c>
      <c r="AA41" s="26" t="s">
        <v>3</v>
      </c>
      <c r="AB41" s="27" t="s">
        <v>7</v>
      </c>
      <c r="AC41" s="28" t="s">
        <v>11</v>
      </c>
      <c r="AD41" s="26" t="s">
        <v>3</v>
      </c>
      <c r="AE41" s="26" t="s">
        <v>3</v>
      </c>
      <c r="AF41" s="26" t="s">
        <v>3</v>
      </c>
      <c r="AG41" s="26" t="s">
        <v>3</v>
      </c>
      <c r="AH41" s="26" t="s">
        <v>3</v>
      </c>
      <c r="AI41" s="8">
        <f t="shared" si="16"/>
        <v>19</v>
      </c>
      <c r="AJ41" s="8">
        <f t="shared" si="17"/>
        <v>4</v>
      </c>
      <c r="AK41" s="29">
        <f t="shared" si="18"/>
        <v>4</v>
      </c>
      <c r="AL41" s="62">
        <v>4</v>
      </c>
      <c r="AM41" s="33">
        <f t="shared" si="19"/>
        <v>25</v>
      </c>
      <c r="AN41" s="63">
        <f t="shared" si="20"/>
        <v>184</v>
      </c>
      <c r="AO41" s="63">
        <f t="shared" si="21"/>
        <v>1</v>
      </c>
      <c r="AP41" s="63">
        <f t="shared" si="22"/>
        <v>4</v>
      </c>
      <c r="AQ41" s="53">
        <f t="shared" si="23"/>
        <v>24.5</v>
      </c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</row>
    <row r="42" spans="1:56" ht="22" customHeight="1" x14ac:dyDescent="0.35">
      <c r="A42" s="8" t="s">
        <v>111</v>
      </c>
      <c r="B42" s="8" t="s">
        <v>112</v>
      </c>
      <c r="C42" s="8" t="s">
        <v>104</v>
      </c>
      <c r="D42" s="26" t="s">
        <v>3</v>
      </c>
      <c r="E42" s="26" t="s">
        <v>3</v>
      </c>
      <c r="F42" s="26" t="s">
        <v>3</v>
      </c>
      <c r="G42" s="27" t="s">
        <v>7</v>
      </c>
      <c r="H42" s="28" t="s">
        <v>11</v>
      </c>
      <c r="I42" s="26" t="s">
        <v>3</v>
      </c>
      <c r="J42" s="26" t="s">
        <v>3</v>
      </c>
      <c r="K42" s="26" t="s">
        <v>3</v>
      </c>
      <c r="L42" s="26" t="s">
        <v>3</v>
      </c>
      <c r="M42" s="26" t="s">
        <v>3</v>
      </c>
      <c r="N42" s="23" t="s">
        <v>7</v>
      </c>
      <c r="O42" s="24" t="s">
        <v>9</v>
      </c>
      <c r="P42" s="22" t="s">
        <v>5</v>
      </c>
      <c r="Q42" s="22" t="s">
        <v>5</v>
      </c>
      <c r="R42" s="22" t="s">
        <v>5</v>
      </c>
      <c r="S42" s="22" t="s">
        <v>5</v>
      </c>
      <c r="T42" s="22" t="s">
        <v>5</v>
      </c>
      <c r="U42" s="23" t="s">
        <v>7</v>
      </c>
      <c r="V42" s="24" t="s">
        <v>9</v>
      </c>
      <c r="W42" s="22" t="s">
        <v>5</v>
      </c>
      <c r="X42" s="22" t="s">
        <v>5</v>
      </c>
      <c r="Y42" s="22" t="s">
        <v>5</v>
      </c>
      <c r="Z42" s="22" t="s">
        <v>5</v>
      </c>
      <c r="AA42" s="22" t="s">
        <v>5</v>
      </c>
      <c r="AB42" s="23" t="s">
        <v>7</v>
      </c>
      <c r="AC42" s="24" t="s">
        <v>9</v>
      </c>
      <c r="AD42" s="22" t="s">
        <v>5</v>
      </c>
      <c r="AE42" s="22" t="s">
        <v>5</v>
      </c>
      <c r="AF42" s="22" t="s">
        <v>5</v>
      </c>
      <c r="AG42" s="22" t="s">
        <v>5</v>
      </c>
      <c r="AH42" s="22" t="s">
        <v>5</v>
      </c>
      <c r="AI42" s="8">
        <f t="shared" si="16"/>
        <v>8</v>
      </c>
      <c r="AJ42" s="25">
        <f t="shared" si="17"/>
        <v>15</v>
      </c>
      <c r="AK42" s="29">
        <f t="shared" si="18"/>
        <v>1</v>
      </c>
      <c r="AL42" s="62">
        <v>1</v>
      </c>
      <c r="AM42" s="33">
        <f t="shared" si="19"/>
        <v>9.5</v>
      </c>
      <c r="AN42" s="63">
        <f t="shared" si="20"/>
        <v>184</v>
      </c>
      <c r="AO42" s="63">
        <f t="shared" si="21"/>
        <v>1</v>
      </c>
      <c r="AP42" s="63">
        <f t="shared" si="22"/>
        <v>4</v>
      </c>
      <c r="AQ42" s="53">
        <f t="shared" si="23"/>
        <v>9</v>
      </c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</row>
    <row r="43" spans="1:56" ht="22" customHeight="1" x14ac:dyDescent="0.35">
      <c r="A43" s="8" t="s">
        <v>113</v>
      </c>
      <c r="B43" s="8" t="s">
        <v>114</v>
      </c>
      <c r="C43" s="8" t="s">
        <v>104</v>
      </c>
      <c r="D43" s="26" t="s">
        <v>3</v>
      </c>
      <c r="E43" s="26" t="s">
        <v>3</v>
      </c>
      <c r="F43" s="22" t="s">
        <v>5</v>
      </c>
      <c r="G43" s="23" t="s">
        <v>7</v>
      </c>
      <c r="H43" s="24" t="s">
        <v>9</v>
      </c>
      <c r="I43" s="22" t="s">
        <v>5</v>
      </c>
      <c r="J43" s="22" t="s">
        <v>5</v>
      </c>
      <c r="K43" s="26" t="s">
        <v>3</v>
      </c>
      <c r="L43" s="26" t="s">
        <v>3</v>
      </c>
      <c r="M43" s="26" t="s">
        <v>3</v>
      </c>
      <c r="N43" s="23" t="s">
        <v>7</v>
      </c>
      <c r="O43" s="24" t="s">
        <v>9</v>
      </c>
      <c r="P43" s="22" t="s">
        <v>5</v>
      </c>
      <c r="Q43" s="22" t="s">
        <v>5</v>
      </c>
      <c r="R43" s="22" t="s">
        <v>5</v>
      </c>
      <c r="S43" s="22" t="s">
        <v>5</v>
      </c>
      <c r="T43" s="22" t="s">
        <v>5</v>
      </c>
      <c r="U43" s="23" t="s">
        <v>7</v>
      </c>
      <c r="V43" s="24" t="s">
        <v>9</v>
      </c>
      <c r="W43" s="22" t="s">
        <v>5</v>
      </c>
      <c r="X43" s="22" t="s">
        <v>5</v>
      </c>
      <c r="Y43" s="22" t="s">
        <v>5</v>
      </c>
      <c r="Z43" s="22" t="s">
        <v>5</v>
      </c>
      <c r="AA43" s="22" t="s">
        <v>5</v>
      </c>
      <c r="AB43" s="23" t="s">
        <v>7</v>
      </c>
      <c r="AC43" s="24" t="s">
        <v>9</v>
      </c>
      <c r="AD43" s="22" t="s">
        <v>5</v>
      </c>
      <c r="AE43" s="22" t="s">
        <v>5</v>
      </c>
      <c r="AF43" s="22" t="s">
        <v>5</v>
      </c>
      <c r="AG43" s="22" t="s">
        <v>5</v>
      </c>
      <c r="AH43" s="22" t="s">
        <v>5</v>
      </c>
      <c r="AI43" s="8">
        <f t="shared" si="16"/>
        <v>5</v>
      </c>
      <c r="AJ43" s="25">
        <f t="shared" si="17"/>
        <v>18</v>
      </c>
      <c r="AK43" s="8">
        <f t="shared" si="18"/>
        <v>0</v>
      </c>
      <c r="AL43" s="62">
        <v>0</v>
      </c>
      <c r="AM43" s="33">
        <f t="shared" si="19"/>
        <v>5</v>
      </c>
      <c r="AN43" s="63">
        <f t="shared" si="20"/>
        <v>184</v>
      </c>
      <c r="AO43" s="63">
        <f t="shared" si="21"/>
        <v>1</v>
      </c>
      <c r="AP43" s="63">
        <f t="shared" si="22"/>
        <v>4</v>
      </c>
      <c r="AQ43" s="53">
        <f t="shared" si="23"/>
        <v>4.5</v>
      </c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</row>
    <row r="44" spans="1:56" ht="22" customHeight="1" x14ac:dyDescent="0.35">
      <c r="A44" s="8" t="s">
        <v>115</v>
      </c>
      <c r="B44" s="8" t="s">
        <v>116</v>
      </c>
      <c r="C44" s="8" t="s">
        <v>104</v>
      </c>
      <c r="D44" s="26" t="s">
        <v>3</v>
      </c>
      <c r="E44" s="26" t="s">
        <v>3</v>
      </c>
      <c r="F44" s="26" t="s">
        <v>3</v>
      </c>
      <c r="G44" s="27" t="s">
        <v>7</v>
      </c>
      <c r="H44" s="28" t="s">
        <v>11</v>
      </c>
      <c r="I44" s="26" t="s">
        <v>3</v>
      </c>
      <c r="J44" s="26" t="s">
        <v>3</v>
      </c>
      <c r="K44" s="26" t="s">
        <v>3</v>
      </c>
      <c r="L44" s="26" t="s">
        <v>3</v>
      </c>
      <c r="M44" s="26" t="s">
        <v>3</v>
      </c>
      <c r="N44" s="27" t="s">
        <v>7</v>
      </c>
      <c r="O44" s="28" t="s">
        <v>11</v>
      </c>
      <c r="P44" s="26" t="s">
        <v>3</v>
      </c>
      <c r="Q44" s="26" t="s">
        <v>3</v>
      </c>
      <c r="R44" s="26" t="s">
        <v>3</v>
      </c>
      <c r="S44" s="26" t="s">
        <v>3</v>
      </c>
      <c r="T44" s="26" t="s">
        <v>3</v>
      </c>
      <c r="U44" s="27" t="s">
        <v>7</v>
      </c>
      <c r="V44" s="28" t="s">
        <v>11</v>
      </c>
      <c r="W44" s="26" t="s">
        <v>3</v>
      </c>
      <c r="X44" s="26" t="s">
        <v>3</v>
      </c>
      <c r="Y44" s="26" t="s">
        <v>3</v>
      </c>
      <c r="Z44" s="26" t="s">
        <v>3</v>
      </c>
      <c r="AA44" s="26" t="s">
        <v>3</v>
      </c>
      <c r="AB44" s="27" t="s">
        <v>7</v>
      </c>
      <c r="AC44" s="28" t="s">
        <v>11</v>
      </c>
      <c r="AD44" s="26" t="s">
        <v>3</v>
      </c>
      <c r="AE44" s="26" t="s">
        <v>3</v>
      </c>
      <c r="AF44" s="26" t="s">
        <v>3</v>
      </c>
      <c r="AG44" s="26" t="s">
        <v>3</v>
      </c>
      <c r="AH44" s="26" t="s">
        <v>3</v>
      </c>
      <c r="AI44" s="8">
        <f t="shared" si="16"/>
        <v>23</v>
      </c>
      <c r="AJ44" s="8">
        <f t="shared" si="17"/>
        <v>0</v>
      </c>
      <c r="AK44" s="29">
        <f t="shared" si="18"/>
        <v>4</v>
      </c>
      <c r="AL44" s="62">
        <v>4</v>
      </c>
      <c r="AM44" s="33">
        <f t="shared" si="19"/>
        <v>29</v>
      </c>
      <c r="AN44" s="63">
        <f t="shared" si="20"/>
        <v>184</v>
      </c>
      <c r="AO44" s="63">
        <f t="shared" si="21"/>
        <v>1</v>
      </c>
      <c r="AP44" s="63">
        <f t="shared" si="22"/>
        <v>4</v>
      </c>
      <c r="AQ44" s="53">
        <f t="shared" si="23"/>
        <v>28.5</v>
      </c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</row>
    <row r="45" spans="1:56" ht="22" customHeight="1" x14ac:dyDescent="0.35">
      <c r="A45" s="8" t="s">
        <v>117</v>
      </c>
      <c r="B45" s="8" t="s">
        <v>118</v>
      </c>
      <c r="C45" s="8" t="s">
        <v>104</v>
      </c>
      <c r="D45" s="26" t="s">
        <v>3</v>
      </c>
      <c r="E45" s="26" t="s">
        <v>3</v>
      </c>
      <c r="F45" s="26" t="s">
        <v>3</v>
      </c>
      <c r="G45" s="27" t="s">
        <v>7</v>
      </c>
      <c r="H45" s="28" t="s">
        <v>11</v>
      </c>
      <c r="I45" s="26" t="s">
        <v>3</v>
      </c>
      <c r="J45" s="26" t="s">
        <v>3</v>
      </c>
      <c r="K45" s="26" t="s">
        <v>3</v>
      </c>
      <c r="L45" s="26" t="s">
        <v>3</v>
      </c>
      <c r="M45" s="26" t="s">
        <v>3</v>
      </c>
      <c r="N45" s="27" t="s">
        <v>7</v>
      </c>
      <c r="O45" s="28" t="s">
        <v>11</v>
      </c>
      <c r="P45" s="26" t="s">
        <v>3</v>
      </c>
      <c r="Q45" s="26" t="s">
        <v>3</v>
      </c>
      <c r="R45" s="26" t="s">
        <v>3</v>
      </c>
      <c r="S45" s="26" t="s">
        <v>3</v>
      </c>
      <c r="T45" s="26" t="s">
        <v>3</v>
      </c>
      <c r="U45" s="27" t="s">
        <v>7</v>
      </c>
      <c r="V45" s="28" t="s">
        <v>11</v>
      </c>
      <c r="W45" s="26" t="s">
        <v>3</v>
      </c>
      <c r="X45" s="26" t="s">
        <v>3</v>
      </c>
      <c r="Y45" s="26" t="s">
        <v>3</v>
      </c>
      <c r="Z45" s="26" t="s">
        <v>3</v>
      </c>
      <c r="AA45" s="26" t="s">
        <v>3</v>
      </c>
      <c r="AB45" s="27" t="s">
        <v>7</v>
      </c>
      <c r="AC45" s="28" t="s">
        <v>11</v>
      </c>
      <c r="AD45" s="26" t="s">
        <v>3</v>
      </c>
      <c r="AE45" s="26" t="s">
        <v>3</v>
      </c>
      <c r="AF45" s="26" t="s">
        <v>3</v>
      </c>
      <c r="AG45" s="26" t="s">
        <v>3</v>
      </c>
      <c r="AH45" s="26" t="s">
        <v>3</v>
      </c>
      <c r="AI45" s="8">
        <f t="shared" si="16"/>
        <v>23</v>
      </c>
      <c r="AJ45" s="8">
        <f t="shared" si="17"/>
        <v>0</v>
      </c>
      <c r="AK45" s="29">
        <f t="shared" si="18"/>
        <v>4</v>
      </c>
      <c r="AL45" s="62">
        <v>4</v>
      </c>
      <c r="AM45" s="33">
        <f t="shared" si="19"/>
        <v>29</v>
      </c>
      <c r="AN45" s="63">
        <f t="shared" si="20"/>
        <v>184</v>
      </c>
      <c r="AO45" s="63">
        <f t="shared" si="21"/>
        <v>1</v>
      </c>
      <c r="AP45" s="63">
        <f t="shared" si="22"/>
        <v>4</v>
      </c>
      <c r="AQ45" s="53">
        <f t="shared" si="23"/>
        <v>28.5</v>
      </c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</row>
    <row r="46" spans="1:56" ht="22" customHeight="1" x14ac:dyDescent="0.35">
      <c r="A46" s="8" t="s">
        <v>119</v>
      </c>
      <c r="B46" s="8" t="s">
        <v>120</v>
      </c>
      <c r="C46" s="8" t="s">
        <v>104</v>
      </c>
      <c r="D46" s="26" t="s">
        <v>3</v>
      </c>
      <c r="E46" s="26" t="s">
        <v>3</v>
      </c>
      <c r="F46" s="26" t="s">
        <v>3</v>
      </c>
      <c r="G46" s="27" t="s">
        <v>7</v>
      </c>
      <c r="H46" s="28" t="s">
        <v>11</v>
      </c>
      <c r="I46" s="22" t="s">
        <v>5</v>
      </c>
      <c r="J46" s="22" t="s">
        <v>5</v>
      </c>
      <c r="K46" s="22" t="s">
        <v>5</v>
      </c>
      <c r="L46" s="22" t="s">
        <v>5</v>
      </c>
      <c r="M46" s="22" t="s">
        <v>5</v>
      </c>
      <c r="N46" s="23" t="s">
        <v>7</v>
      </c>
      <c r="O46" s="24" t="s">
        <v>9</v>
      </c>
      <c r="P46" s="22" t="s">
        <v>5</v>
      </c>
      <c r="Q46" s="22" t="s">
        <v>5</v>
      </c>
      <c r="R46" s="22" t="s">
        <v>5</v>
      </c>
      <c r="S46" s="22" t="s">
        <v>5</v>
      </c>
      <c r="T46" s="22" t="s">
        <v>5</v>
      </c>
      <c r="U46" s="23" t="s">
        <v>7</v>
      </c>
      <c r="V46" s="24" t="s">
        <v>9</v>
      </c>
      <c r="W46" s="22" t="s">
        <v>5</v>
      </c>
      <c r="X46" s="22" t="s">
        <v>5</v>
      </c>
      <c r="Y46" s="22" t="s">
        <v>5</v>
      </c>
      <c r="Z46" s="22" t="s">
        <v>5</v>
      </c>
      <c r="AA46" s="22" t="s">
        <v>5</v>
      </c>
      <c r="AB46" s="23" t="s">
        <v>7</v>
      </c>
      <c r="AC46" s="24" t="s">
        <v>9</v>
      </c>
      <c r="AD46" s="22" t="s">
        <v>5</v>
      </c>
      <c r="AE46" s="22" t="s">
        <v>5</v>
      </c>
      <c r="AF46" s="22" t="s">
        <v>5</v>
      </c>
      <c r="AG46" s="22" t="s">
        <v>5</v>
      </c>
      <c r="AH46" s="22" t="s">
        <v>5</v>
      </c>
      <c r="AI46" s="8">
        <f t="shared" si="16"/>
        <v>3</v>
      </c>
      <c r="AJ46" s="25">
        <f t="shared" si="17"/>
        <v>20</v>
      </c>
      <c r="AK46" s="29">
        <f t="shared" si="18"/>
        <v>1</v>
      </c>
      <c r="AL46" s="62">
        <v>1</v>
      </c>
      <c r="AM46" s="33">
        <f t="shared" si="19"/>
        <v>4.5</v>
      </c>
      <c r="AN46" s="63">
        <f t="shared" si="20"/>
        <v>184</v>
      </c>
      <c r="AO46" s="63">
        <f t="shared" si="21"/>
        <v>0</v>
      </c>
      <c r="AP46" s="63">
        <f t="shared" si="22"/>
        <v>0</v>
      </c>
      <c r="AQ46" s="53">
        <f t="shared" si="23"/>
        <v>4.5</v>
      </c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</row>
    <row r="47" spans="1:56" ht="22" customHeight="1" x14ac:dyDescent="0.35">
      <c r="A47" s="8" t="s">
        <v>121</v>
      </c>
      <c r="B47" s="8" t="s">
        <v>122</v>
      </c>
      <c r="C47" s="8" t="s">
        <v>104</v>
      </c>
      <c r="D47" s="22" t="s">
        <v>5</v>
      </c>
      <c r="E47" s="26" t="s">
        <v>3</v>
      </c>
      <c r="F47" s="26" t="s">
        <v>3</v>
      </c>
      <c r="G47" s="27" t="s">
        <v>7</v>
      </c>
      <c r="H47" s="28" t="s">
        <v>11</v>
      </c>
      <c r="I47" s="26" t="s">
        <v>3</v>
      </c>
      <c r="J47" s="26" t="s">
        <v>3</v>
      </c>
      <c r="K47" s="26" t="s">
        <v>3</v>
      </c>
      <c r="L47" s="26" t="s">
        <v>3</v>
      </c>
      <c r="M47" s="26" t="s">
        <v>3</v>
      </c>
      <c r="N47" s="27" t="s">
        <v>7</v>
      </c>
      <c r="O47" s="28" t="s">
        <v>11</v>
      </c>
      <c r="P47" s="26" t="s">
        <v>3</v>
      </c>
      <c r="Q47" s="26" t="s">
        <v>3</v>
      </c>
      <c r="R47" s="26" t="s">
        <v>3</v>
      </c>
      <c r="S47" s="26" t="s">
        <v>3</v>
      </c>
      <c r="T47" s="26" t="s">
        <v>3</v>
      </c>
      <c r="U47" s="27" t="s">
        <v>7</v>
      </c>
      <c r="V47" s="28" t="s">
        <v>11</v>
      </c>
      <c r="W47" s="26" t="s">
        <v>3</v>
      </c>
      <c r="X47" s="26" t="s">
        <v>3</v>
      </c>
      <c r="Y47" s="26" t="s">
        <v>3</v>
      </c>
      <c r="Z47" s="26" t="s">
        <v>3</v>
      </c>
      <c r="AA47" s="26" t="s">
        <v>3</v>
      </c>
      <c r="AB47" s="27" t="s">
        <v>7</v>
      </c>
      <c r="AC47" s="28" t="s">
        <v>11</v>
      </c>
      <c r="AD47" s="26" t="s">
        <v>3</v>
      </c>
      <c r="AE47" s="26" t="s">
        <v>3</v>
      </c>
      <c r="AF47" s="26" t="s">
        <v>3</v>
      </c>
      <c r="AG47" s="26" t="s">
        <v>3</v>
      </c>
      <c r="AH47" s="26" t="s">
        <v>3</v>
      </c>
      <c r="AI47" s="8">
        <f t="shared" si="16"/>
        <v>22</v>
      </c>
      <c r="AJ47" s="8">
        <f t="shared" si="17"/>
        <v>1</v>
      </c>
      <c r="AK47" s="29">
        <f t="shared" si="18"/>
        <v>4</v>
      </c>
      <c r="AL47" s="62">
        <v>4</v>
      </c>
      <c r="AM47" s="33">
        <f t="shared" si="19"/>
        <v>28</v>
      </c>
      <c r="AN47" s="63">
        <f t="shared" si="20"/>
        <v>184</v>
      </c>
      <c r="AO47" s="63">
        <f t="shared" si="21"/>
        <v>1</v>
      </c>
      <c r="AP47" s="63">
        <f t="shared" si="22"/>
        <v>4</v>
      </c>
      <c r="AQ47" s="53">
        <f t="shared" si="23"/>
        <v>27.5</v>
      </c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</row>
    <row r="48" spans="1:56" ht="22" customHeight="1" x14ac:dyDescent="0.35">
      <c r="A48" s="8" t="s">
        <v>123</v>
      </c>
      <c r="B48" s="8" t="s">
        <v>124</v>
      </c>
      <c r="C48" s="8" t="s">
        <v>104</v>
      </c>
      <c r="D48" s="26" t="s">
        <v>3</v>
      </c>
      <c r="E48" s="26" t="s">
        <v>3</v>
      </c>
      <c r="F48" s="22" t="s">
        <v>5</v>
      </c>
      <c r="G48" s="27" t="s">
        <v>7</v>
      </c>
      <c r="H48" s="28" t="s">
        <v>11</v>
      </c>
      <c r="I48" s="26" t="s">
        <v>3</v>
      </c>
      <c r="J48" s="26" t="s">
        <v>3</v>
      </c>
      <c r="K48" s="26" t="s">
        <v>3</v>
      </c>
      <c r="L48" s="26" t="s">
        <v>3</v>
      </c>
      <c r="M48" s="26" t="s">
        <v>3</v>
      </c>
      <c r="N48" s="27" t="s">
        <v>7</v>
      </c>
      <c r="O48" s="28" t="s">
        <v>11</v>
      </c>
      <c r="P48" s="26" t="s">
        <v>3</v>
      </c>
      <c r="Q48" s="26" t="s">
        <v>3</v>
      </c>
      <c r="R48" s="26" t="s">
        <v>3</v>
      </c>
      <c r="S48" s="26" t="s">
        <v>3</v>
      </c>
      <c r="T48" s="26" t="s">
        <v>3</v>
      </c>
      <c r="U48" s="27" t="s">
        <v>7</v>
      </c>
      <c r="V48" s="28" t="s">
        <v>11</v>
      </c>
      <c r="W48" s="26" t="s">
        <v>3</v>
      </c>
      <c r="X48" s="26" t="s">
        <v>3</v>
      </c>
      <c r="Y48" s="26" t="s">
        <v>3</v>
      </c>
      <c r="Z48" s="26" t="s">
        <v>3</v>
      </c>
      <c r="AA48" s="26" t="s">
        <v>3</v>
      </c>
      <c r="AB48" s="27" t="s">
        <v>7</v>
      </c>
      <c r="AC48" s="28" t="s">
        <v>11</v>
      </c>
      <c r="AD48" s="26" t="s">
        <v>3</v>
      </c>
      <c r="AE48" s="26" t="s">
        <v>3</v>
      </c>
      <c r="AF48" s="26" t="s">
        <v>3</v>
      </c>
      <c r="AG48" s="26" t="s">
        <v>3</v>
      </c>
      <c r="AH48" s="22" t="s">
        <v>5</v>
      </c>
      <c r="AI48" s="8">
        <f t="shared" si="16"/>
        <v>21</v>
      </c>
      <c r="AJ48" s="8">
        <f t="shared" si="17"/>
        <v>2</v>
      </c>
      <c r="AK48" s="29">
        <f t="shared" si="18"/>
        <v>4</v>
      </c>
      <c r="AL48" s="62">
        <v>4</v>
      </c>
      <c r="AM48" s="33">
        <f t="shared" si="19"/>
        <v>27</v>
      </c>
      <c r="AN48" s="63">
        <f t="shared" si="20"/>
        <v>184</v>
      </c>
      <c r="AO48" s="63">
        <f t="shared" si="21"/>
        <v>0</v>
      </c>
      <c r="AP48" s="63">
        <f t="shared" si="22"/>
        <v>0</v>
      </c>
      <c r="AQ48" s="53">
        <f t="shared" si="23"/>
        <v>27</v>
      </c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</row>
    <row r="49" spans="1:56" ht="22" customHeight="1" x14ac:dyDescent="0.35">
      <c r="A49" s="8" t="s">
        <v>125</v>
      </c>
      <c r="B49" s="8" t="s">
        <v>126</v>
      </c>
      <c r="C49" s="8" t="s">
        <v>104</v>
      </c>
      <c r="D49" s="26" t="s">
        <v>3</v>
      </c>
      <c r="E49" s="26" t="s">
        <v>3</v>
      </c>
      <c r="F49" s="26" t="s">
        <v>3</v>
      </c>
      <c r="G49" s="27" t="s">
        <v>7</v>
      </c>
      <c r="H49" s="28" t="s">
        <v>11</v>
      </c>
      <c r="I49" s="26" t="s">
        <v>3</v>
      </c>
      <c r="J49" s="26" t="s">
        <v>3</v>
      </c>
      <c r="K49" s="26" t="s">
        <v>3</v>
      </c>
      <c r="L49" s="26" t="s">
        <v>3</v>
      </c>
      <c r="M49" s="26" t="s">
        <v>3</v>
      </c>
      <c r="N49" s="27" t="s">
        <v>7</v>
      </c>
      <c r="O49" s="24" t="s">
        <v>9</v>
      </c>
      <c r="P49" s="22" t="s">
        <v>5</v>
      </c>
      <c r="Q49" s="22" t="s">
        <v>5</v>
      </c>
      <c r="R49" s="22" t="s">
        <v>5</v>
      </c>
      <c r="S49" s="22" t="s">
        <v>5</v>
      </c>
      <c r="T49" s="22" t="s">
        <v>5</v>
      </c>
      <c r="U49" s="23" t="s">
        <v>7</v>
      </c>
      <c r="V49" s="24" t="s">
        <v>9</v>
      </c>
      <c r="W49" s="22" t="s">
        <v>5</v>
      </c>
      <c r="X49" s="22" t="s">
        <v>5</v>
      </c>
      <c r="Y49" s="22" t="s">
        <v>5</v>
      </c>
      <c r="Z49" s="22" t="s">
        <v>5</v>
      </c>
      <c r="AA49" s="22" t="s">
        <v>5</v>
      </c>
      <c r="AB49" s="23" t="s">
        <v>7</v>
      </c>
      <c r="AC49" s="24" t="s">
        <v>9</v>
      </c>
      <c r="AD49" s="22" t="s">
        <v>5</v>
      </c>
      <c r="AE49" s="22" t="s">
        <v>5</v>
      </c>
      <c r="AF49" s="22" t="s">
        <v>5</v>
      </c>
      <c r="AG49" s="22" t="s">
        <v>5</v>
      </c>
      <c r="AH49" s="22" t="s">
        <v>5</v>
      </c>
      <c r="AI49" s="8">
        <f t="shared" si="16"/>
        <v>8</v>
      </c>
      <c r="AJ49" s="25">
        <f t="shared" si="17"/>
        <v>15</v>
      </c>
      <c r="AK49" s="29">
        <f t="shared" si="18"/>
        <v>1</v>
      </c>
      <c r="AL49" s="62">
        <v>2</v>
      </c>
      <c r="AM49" s="33">
        <f t="shared" si="19"/>
        <v>10</v>
      </c>
      <c r="AN49" s="63">
        <f t="shared" si="20"/>
        <v>184</v>
      </c>
      <c r="AO49" s="63">
        <f t="shared" si="21"/>
        <v>0</v>
      </c>
      <c r="AP49" s="63">
        <f t="shared" si="22"/>
        <v>0</v>
      </c>
      <c r="AQ49" s="53">
        <f t="shared" si="23"/>
        <v>10</v>
      </c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</row>
    <row r="50" spans="1:56" ht="22" customHeight="1" x14ac:dyDescent="0.35">
      <c r="A50" s="8" t="s">
        <v>127</v>
      </c>
      <c r="B50" s="8" t="s">
        <v>128</v>
      </c>
      <c r="C50" s="8" t="s">
        <v>104</v>
      </c>
      <c r="D50" s="26" t="s">
        <v>3</v>
      </c>
      <c r="E50" s="26" t="s">
        <v>3</v>
      </c>
      <c r="F50" s="26" t="s">
        <v>3</v>
      </c>
      <c r="G50" s="27" t="s">
        <v>7</v>
      </c>
      <c r="H50" s="28" t="s">
        <v>11</v>
      </c>
      <c r="I50" s="26" t="s">
        <v>3</v>
      </c>
      <c r="J50" s="26" t="s">
        <v>3</v>
      </c>
      <c r="K50" s="26" t="s">
        <v>3</v>
      </c>
      <c r="L50" s="26" t="s">
        <v>3</v>
      </c>
      <c r="M50" s="26" t="s">
        <v>3</v>
      </c>
      <c r="N50" s="27" t="s">
        <v>7</v>
      </c>
      <c r="O50" s="28" t="s">
        <v>11</v>
      </c>
      <c r="P50" s="26" t="s">
        <v>3</v>
      </c>
      <c r="Q50" s="26" t="s">
        <v>3</v>
      </c>
      <c r="R50" s="26" t="s">
        <v>3</v>
      </c>
      <c r="S50" s="26" t="s">
        <v>3</v>
      </c>
      <c r="T50" s="26" t="s">
        <v>3</v>
      </c>
      <c r="U50" s="27" t="s">
        <v>7</v>
      </c>
      <c r="V50" s="28" t="s">
        <v>11</v>
      </c>
      <c r="W50" s="26" t="s">
        <v>3</v>
      </c>
      <c r="X50" s="26" t="s">
        <v>3</v>
      </c>
      <c r="Y50" s="26" t="s">
        <v>3</v>
      </c>
      <c r="Z50" s="26" t="s">
        <v>3</v>
      </c>
      <c r="AA50" s="26" t="s">
        <v>3</v>
      </c>
      <c r="AB50" s="27" t="s">
        <v>7</v>
      </c>
      <c r="AC50" s="28" t="s">
        <v>11</v>
      </c>
      <c r="AD50" s="26" t="s">
        <v>3</v>
      </c>
      <c r="AE50" s="26" t="s">
        <v>3</v>
      </c>
      <c r="AF50" s="26" t="s">
        <v>3</v>
      </c>
      <c r="AG50" s="26" t="s">
        <v>3</v>
      </c>
      <c r="AH50" s="26" t="s">
        <v>3</v>
      </c>
      <c r="AI50" s="8">
        <f t="shared" si="16"/>
        <v>23</v>
      </c>
      <c r="AJ50" s="8">
        <f t="shared" si="17"/>
        <v>0</v>
      </c>
      <c r="AK50" s="29">
        <f t="shared" si="18"/>
        <v>4</v>
      </c>
      <c r="AL50" s="62">
        <v>4</v>
      </c>
      <c r="AM50" s="33">
        <f t="shared" si="19"/>
        <v>29</v>
      </c>
      <c r="AN50" s="63">
        <f t="shared" si="20"/>
        <v>184</v>
      </c>
      <c r="AO50" s="63">
        <f t="shared" si="21"/>
        <v>1</v>
      </c>
      <c r="AP50" s="63">
        <f t="shared" si="22"/>
        <v>4</v>
      </c>
      <c r="AQ50" s="53">
        <f t="shared" si="23"/>
        <v>28.5</v>
      </c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</row>
    <row r="51" spans="1:56" ht="22" customHeight="1" x14ac:dyDescent="0.35">
      <c r="A51" s="8" t="s">
        <v>129</v>
      </c>
      <c r="B51" s="8" t="s">
        <v>130</v>
      </c>
      <c r="C51" s="8" t="s">
        <v>104</v>
      </c>
      <c r="D51" s="26" t="s">
        <v>3</v>
      </c>
      <c r="E51" s="26" t="s">
        <v>3</v>
      </c>
      <c r="F51" s="26" t="s">
        <v>3</v>
      </c>
      <c r="G51" s="23" t="s">
        <v>7</v>
      </c>
      <c r="H51" s="24" t="s">
        <v>9</v>
      </c>
      <c r="I51" s="26" t="s">
        <v>3</v>
      </c>
      <c r="J51" s="26" t="s">
        <v>3</v>
      </c>
      <c r="K51" s="26" t="s">
        <v>3</v>
      </c>
      <c r="L51" s="26" t="s">
        <v>3</v>
      </c>
      <c r="M51" s="26" t="s">
        <v>3</v>
      </c>
      <c r="N51" s="23" t="s">
        <v>7</v>
      </c>
      <c r="O51" s="24" t="s">
        <v>9</v>
      </c>
      <c r="P51" s="22" t="s">
        <v>5</v>
      </c>
      <c r="Q51" s="22" t="s">
        <v>5</v>
      </c>
      <c r="R51" s="22" t="s">
        <v>5</v>
      </c>
      <c r="S51" s="22" t="s">
        <v>5</v>
      </c>
      <c r="T51" s="22" t="s">
        <v>5</v>
      </c>
      <c r="U51" s="23" t="s">
        <v>7</v>
      </c>
      <c r="V51" s="24" t="s">
        <v>9</v>
      </c>
      <c r="W51" s="22" t="s">
        <v>5</v>
      </c>
      <c r="X51" s="22" t="s">
        <v>5</v>
      </c>
      <c r="Y51" s="22" t="s">
        <v>5</v>
      </c>
      <c r="Z51" s="22" t="s">
        <v>5</v>
      </c>
      <c r="AA51" s="22" t="s">
        <v>5</v>
      </c>
      <c r="AB51" s="23" t="s">
        <v>7</v>
      </c>
      <c r="AC51" s="24" t="s">
        <v>9</v>
      </c>
      <c r="AD51" s="22" t="s">
        <v>5</v>
      </c>
      <c r="AE51" s="22" t="s">
        <v>5</v>
      </c>
      <c r="AF51" s="22" t="s">
        <v>5</v>
      </c>
      <c r="AG51" s="22" t="s">
        <v>5</v>
      </c>
      <c r="AH51" s="22" t="s">
        <v>5</v>
      </c>
      <c r="AI51" s="8">
        <f t="shared" si="16"/>
        <v>8</v>
      </c>
      <c r="AJ51" s="25">
        <f t="shared" si="17"/>
        <v>15</v>
      </c>
      <c r="AK51" s="8">
        <f t="shared" si="18"/>
        <v>0</v>
      </c>
      <c r="AL51" s="62">
        <v>0</v>
      </c>
      <c r="AM51" s="33">
        <f t="shared" si="19"/>
        <v>8</v>
      </c>
      <c r="AN51" s="63">
        <f t="shared" si="20"/>
        <v>184</v>
      </c>
      <c r="AO51" s="63">
        <f t="shared" si="21"/>
        <v>2</v>
      </c>
      <c r="AP51" s="63">
        <f t="shared" si="22"/>
        <v>8</v>
      </c>
      <c r="AQ51" s="53">
        <f t="shared" si="23"/>
        <v>7</v>
      </c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</row>
    <row r="52" spans="1:56" ht="22" customHeight="1" x14ac:dyDescent="0.35">
      <c r="A52" s="8" t="s">
        <v>131</v>
      </c>
      <c r="B52" s="8" t="s">
        <v>132</v>
      </c>
      <c r="C52" s="8" t="s">
        <v>104</v>
      </c>
      <c r="D52" s="26" t="s">
        <v>3</v>
      </c>
      <c r="E52" s="22" t="s">
        <v>5</v>
      </c>
      <c r="F52" s="22" t="s">
        <v>5</v>
      </c>
      <c r="G52" s="23" t="s">
        <v>7</v>
      </c>
      <c r="H52" s="24" t="s">
        <v>9</v>
      </c>
      <c r="I52" s="22" t="s">
        <v>5</v>
      </c>
      <c r="J52" s="22" t="s">
        <v>5</v>
      </c>
      <c r="K52" s="26" t="s">
        <v>3</v>
      </c>
      <c r="L52" s="22" t="s">
        <v>5</v>
      </c>
      <c r="M52" s="22" t="s">
        <v>5</v>
      </c>
      <c r="N52" s="23" t="s">
        <v>7</v>
      </c>
      <c r="O52" s="24" t="s">
        <v>9</v>
      </c>
      <c r="P52" s="22" t="s">
        <v>5</v>
      </c>
      <c r="Q52" s="22" t="s">
        <v>5</v>
      </c>
      <c r="R52" s="22" t="s">
        <v>5</v>
      </c>
      <c r="S52" s="22" t="s">
        <v>5</v>
      </c>
      <c r="T52" s="22" t="s">
        <v>5</v>
      </c>
      <c r="U52" s="23" t="s">
        <v>7</v>
      </c>
      <c r="V52" s="24" t="s">
        <v>9</v>
      </c>
      <c r="W52" s="22" t="s">
        <v>5</v>
      </c>
      <c r="X52" s="22" t="s">
        <v>5</v>
      </c>
      <c r="Y52" s="26" t="s">
        <v>3</v>
      </c>
      <c r="Z52" s="26" t="s">
        <v>3</v>
      </c>
      <c r="AA52" s="26" t="s">
        <v>3</v>
      </c>
      <c r="AB52" s="27" t="s">
        <v>7</v>
      </c>
      <c r="AC52" s="24" t="s">
        <v>9</v>
      </c>
      <c r="AD52" s="22" t="s">
        <v>5</v>
      </c>
      <c r="AE52" s="26" t="s">
        <v>3</v>
      </c>
      <c r="AF52" s="26" t="s">
        <v>3</v>
      </c>
      <c r="AG52" s="22" t="s">
        <v>5</v>
      </c>
      <c r="AH52" s="22" t="s">
        <v>5</v>
      </c>
      <c r="AI52" s="8">
        <f t="shared" si="16"/>
        <v>7</v>
      </c>
      <c r="AJ52" s="25">
        <f t="shared" si="17"/>
        <v>16</v>
      </c>
      <c r="AK52" s="8">
        <f t="shared" si="18"/>
        <v>0</v>
      </c>
      <c r="AL52" s="62">
        <v>1</v>
      </c>
      <c r="AM52" s="33">
        <f t="shared" si="19"/>
        <v>7.5</v>
      </c>
      <c r="AN52" s="63">
        <f t="shared" si="20"/>
        <v>184</v>
      </c>
      <c r="AO52" s="63">
        <f t="shared" si="21"/>
        <v>0</v>
      </c>
      <c r="AP52" s="63">
        <f t="shared" si="22"/>
        <v>0</v>
      </c>
      <c r="AQ52" s="53">
        <f t="shared" si="23"/>
        <v>7.5</v>
      </c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</row>
    <row r="53" spans="1:56" ht="22" customHeight="1" x14ac:dyDescent="0.35">
      <c r="A53" s="8" t="s">
        <v>133</v>
      </c>
      <c r="B53" s="8" t="s">
        <v>134</v>
      </c>
      <c r="C53" s="8" t="s">
        <v>104</v>
      </c>
      <c r="D53" s="22" t="s">
        <v>5</v>
      </c>
      <c r="E53" s="26" t="s">
        <v>3</v>
      </c>
      <c r="F53" s="26" t="s">
        <v>3</v>
      </c>
      <c r="G53" s="27" t="s">
        <v>7</v>
      </c>
      <c r="H53" s="28" t="s">
        <v>11</v>
      </c>
      <c r="I53" s="26" t="s">
        <v>3</v>
      </c>
      <c r="J53" s="26" t="s">
        <v>3</v>
      </c>
      <c r="K53" s="26" t="s">
        <v>3</v>
      </c>
      <c r="L53" s="26" t="s">
        <v>3</v>
      </c>
      <c r="M53" s="26" t="s">
        <v>3</v>
      </c>
      <c r="N53" s="23" t="s">
        <v>7</v>
      </c>
      <c r="O53" s="24" t="s">
        <v>9</v>
      </c>
      <c r="P53" s="22" t="s">
        <v>5</v>
      </c>
      <c r="Q53" s="22" t="s">
        <v>5</v>
      </c>
      <c r="R53" s="22" t="s">
        <v>5</v>
      </c>
      <c r="S53" s="22" t="s">
        <v>5</v>
      </c>
      <c r="T53" s="22" t="s">
        <v>5</v>
      </c>
      <c r="U53" s="23" t="s">
        <v>7</v>
      </c>
      <c r="V53" s="24" t="s">
        <v>9</v>
      </c>
      <c r="W53" s="22" t="s">
        <v>5</v>
      </c>
      <c r="X53" s="22" t="s">
        <v>5</v>
      </c>
      <c r="Y53" s="22" t="s">
        <v>5</v>
      </c>
      <c r="Z53" s="22" t="s">
        <v>5</v>
      </c>
      <c r="AA53" s="22" t="s">
        <v>5</v>
      </c>
      <c r="AB53" s="23" t="s">
        <v>7</v>
      </c>
      <c r="AC53" s="24" t="s">
        <v>9</v>
      </c>
      <c r="AD53" s="22" t="s">
        <v>5</v>
      </c>
      <c r="AE53" s="22" t="s">
        <v>5</v>
      </c>
      <c r="AF53" s="22" t="s">
        <v>5</v>
      </c>
      <c r="AG53" s="22" t="s">
        <v>5</v>
      </c>
      <c r="AH53" s="22" t="s">
        <v>5</v>
      </c>
      <c r="AI53" s="8">
        <f t="shared" si="16"/>
        <v>7</v>
      </c>
      <c r="AJ53" s="25">
        <f t="shared" si="17"/>
        <v>16</v>
      </c>
      <c r="AK53" s="29">
        <f t="shared" si="18"/>
        <v>1</v>
      </c>
      <c r="AL53" s="62">
        <v>1</v>
      </c>
      <c r="AM53" s="33">
        <f t="shared" si="19"/>
        <v>8.5</v>
      </c>
      <c r="AN53" s="63">
        <f t="shared" si="20"/>
        <v>184</v>
      </c>
      <c r="AO53" s="63">
        <f t="shared" si="21"/>
        <v>1</v>
      </c>
      <c r="AP53" s="63">
        <f t="shared" si="22"/>
        <v>4</v>
      </c>
      <c r="AQ53" s="53">
        <f t="shared" si="23"/>
        <v>8</v>
      </c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</row>
    <row r="54" spans="1:56" ht="22" customHeight="1" x14ac:dyDescent="0.35">
      <c r="A54" s="8" t="s">
        <v>135</v>
      </c>
      <c r="B54" s="8" t="s">
        <v>136</v>
      </c>
      <c r="C54" s="8" t="s">
        <v>104</v>
      </c>
      <c r="D54" s="26" t="s">
        <v>3</v>
      </c>
      <c r="E54" s="26" t="s">
        <v>3</v>
      </c>
      <c r="F54" s="26" t="s">
        <v>3</v>
      </c>
      <c r="G54" s="27" t="s">
        <v>7</v>
      </c>
      <c r="H54" s="28" t="s">
        <v>11</v>
      </c>
      <c r="I54" s="26" t="s">
        <v>3</v>
      </c>
      <c r="J54" s="26" t="s">
        <v>3</v>
      </c>
      <c r="K54" s="26" t="s">
        <v>3</v>
      </c>
      <c r="L54" s="26" t="s">
        <v>3</v>
      </c>
      <c r="M54" s="26" t="s">
        <v>3</v>
      </c>
      <c r="N54" s="27" t="s">
        <v>7</v>
      </c>
      <c r="O54" s="28" t="s">
        <v>11</v>
      </c>
      <c r="P54" s="26" t="s">
        <v>3</v>
      </c>
      <c r="Q54" s="26" t="s">
        <v>3</v>
      </c>
      <c r="R54" s="26" t="s">
        <v>3</v>
      </c>
      <c r="S54" s="26" t="s">
        <v>3</v>
      </c>
      <c r="T54" s="26" t="s">
        <v>3</v>
      </c>
      <c r="U54" s="27" t="s">
        <v>7</v>
      </c>
      <c r="V54" s="28" t="s">
        <v>11</v>
      </c>
      <c r="W54" s="26" t="s">
        <v>3</v>
      </c>
      <c r="X54" s="26" t="s">
        <v>3</v>
      </c>
      <c r="Y54" s="26" t="s">
        <v>3</v>
      </c>
      <c r="Z54" s="26" t="s">
        <v>3</v>
      </c>
      <c r="AA54" s="26" t="s">
        <v>3</v>
      </c>
      <c r="AB54" s="27" t="s">
        <v>7</v>
      </c>
      <c r="AC54" s="28" t="s">
        <v>11</v>
      </c>
      <c r="AD54" s="26" t="s">
        <v>3</v>
      </c>
      <c r="AE54" s="26" t="s">
        <v>3</v>
      </c>
      <c r="AF54" s="26" t="s">
        <v>3</v>
      </c>
      <c r="AG54" s="26" t="s">
        <v>3</v>
      </c>
      <c r="AH54" s="26" t="s">
        <v>3</v>
      </c>
      <c r="AI54" s="8">
        <f t="shared" si="16"/>
        <v>23</v>
      </c>
      <c r="AJ54" s="8">
        <f t="shared" si="17"/>
        <v>0</v>
      </c>
      <c r="AK54" s="29">
        <f t="shared" si="18"/>
        <v>4</v>
      </c>
      <c r="AL54" s="62">
        <v>4</v>
      </c>
      <c r="AM54" s="33">
        <f t="shared" si="19"/>
        <v>29</v>
      </c>
      <c r="AN54" s="63">
        <f t="shared" si="20"/>
        <v>184</v>
      </c>
      <c r="AO54" s="63">
        <f t="shared" si="21"/>
        <v>1</v>
      </c>
      <c r="AP54" s="63">
        <f t="shared" si="22"/>
        <v>4</v>
      </c>
      <c r="AQ54" s="53">
        <f t="shared" si="23"/>
        <v>28.5</v>
      </c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</row>
    <row r="55" spans="1:56" ht="22" customHeight="1" x14ac:dyDescent="0.35">
      <c r="A55" s="8" t="s">
        <v>137</v>
      </c>
      <c r="B55" s="8" t="s">
        <v>138</v>
      </c>
      <c r="C55" s="8" t="s">
        <v>104</v>
      </c>
      <c r="D55" s="26" t="s">
        <v>3</v>
      </c>
      <c r="E55" s="26" t="s">
        <v>3</v>
      </c>
      <c r="F55" s="22" t="s">
        <v>5</v>
      </c>
      <c r="G55" s="27" t="s">
        <v>7</v>
      </c>
      <c r="H55" s="28" t="s">
        <v>11</v>
      </c>
      <c r="I55" s="26" t="s">
        <v>3</v>
      </c>
      <c r="J55" s="26" t="s">
        <v>3</v>
      </c>
      <c r="K55" s="26" t="s">
        <v>3</v>
      </c>
      <c r="L55" s="26" t="s">
        <v>3</v>
      </c>
      <c r="M55" s="26" t="s">
        <v>3</v>
      </c>
      <c r="N55" s="27" t="s">
        <v>7</v>
      </c>
      <c r="O55" s="28" t="s">
        <v>11</v>
      </c>
      <c r="P55" s="26" t="s">
        <v>3</v>
      </c>
      <c r="Q55" s="26" t="s">
        <v>3</v>
      </c>
      <c r="R55" s="26" t="s">
        <v>3</v>
      </c>
      <c r="S55" s="26" t="s">
        <v>3</v>
      </c>
      <c r="T55" s="26" t="s">
        <v>3</v>
      </c>
      <c r="U55" s="27" t="s">
        <v>7</v>
      </c>
      <c r="V55" s="28" t="s">
        <v>11</v>
      </c>
      <c r="W55" s="26" t="s">
        <v>3</v>
      </c>
      <c r="X55" s="26" t="s">
        <v>3</v>
      </c>
      <c r="Y55" s="26" t="s">
        <v>3</v>
      </c>
      <c r="Z55" s="26" t="s">
        <v>3</v>
      </c>
      <c r="AA55" s="26" t="s">
        <v>3</v>
      </c>
      <c r="AB55" s="27" t="s">
        <v>7</v>
      </c>
      <c r="AC55" s="28" t="s">
        <v>11</v>
      </c>
      <c r="AD55" s="26" t="s">
        <v>3</v>
      </c>
      <c r="AE55" s="26" t="s">
        <v>3</v>
      </c>
      <c r="AF55" s="26" t="s">
        <v>3</v>
      </c>
      <c r="AG55" s="26" t="s">
        <v>3</v>
      </c>
      <c r="AH55" s="26" t="s">
        <v>3</v>
      </c>
      <c r="AI55" s="8">
        <f t="shared" si="16"/>
        <v>22</v>
      </c>
      <c r="AJ55" s="8">
        <f t="shared" si="17"/>
        <v>1</v>
      </c>
      <c r="AK55" s="29">
        <f t="shared" si="18"/>
        <v>4</v>
      </c>
      <c r="AL55" s="62">
        <v>4</v>
      </c>
      <c r="AM55" s="33">
        <f t="shared" si="19"/>
        <v>28</v>
      </c>
      <c r="AN55" s="63">
        <f t="shared" si="20"/>
        <v>184</v>
      </c>
      <c r="AO55" s="63">
        <f t="shared" si="21"/>
        <v>0</v>
      </c>
      <c r="AP55" s="63">
        <f t="shared" si="22"/>
        <v>0</v>
      </c>
      <c r="AQ55" s="53">
        <f t="shared" si="23"/>
        <v>28</v>
      </c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</row>
    <row r="56" spans="1:56" ht="22" customHeight="1" x14ac:dyDescent="0.35">
      <c r="A56" s="8" t="s">
        <v>139</v>
      </c>
      <c r="B56" s="8" t="s">
        <v>140</v>
      </c>
      <c r="C56" s="8" t="s">
        <v>104</v>
      </c>
      <c r="D56" s="26" t="s">
        <v>3</v>
      </c>
      <c r="E56" s="22" t="s">
        <v>5</v>
      </c>
      <c r="F56" s="26" t="s">
        <v>3</v>
      </c>
      <c r="G56" s="23" t="s">
        <v>7</v>
      </c>
      <c r="H56" s="24" t="s">
        <v>9</v>
      </c>
      <c r="I56" s="22" t="s">
        <v>5</v>
      </c>
      <c r="J56" s="22" t="s">
        <v>5</v>
      </c>
      <c r="K56" s="22" t="s">
        <v>5</v>
      </c>
      <c r="L56" s="26" t="s">
        <v>3</v>
      </c>
      <c r="M56" s="26" t="s">
        <v>3</v>
      </c>
      <c r="N56" s="27" t="s">
        <v>7</v>
      </c>
      <c r="O56" s="28" t="s">
        <v>11</v>
      </c>
      <c r="P56" s="26" t="s">
        <v>3</v>
      </c>
      <c r="Q56" s="26" t="s">
        <v>3</v>
      </c>
      <c r="R56" s="26" t="s">
        <v>3</v>
      </c>
      <c r="S56" s="26" t="s">
        <v>3</v>
      </c>
      <c r="T56" s="26" t="s">
        <v>3</v>
      </c>
      <c r="U56" s="27" t="s">
        <v>7</v>
      </c>
      <c r="V56" s="28" t="s">
        <v>11</v>
      </c>
      <c r="W56" s="26" t="s">
        <v>3</v>
      </c>
      <c r="X56" s="26" t="s">
        <v>3</v>
      </c>
      <c r="Y56" s="26" t="s">
        <v>3</v>
      </c>
      <c r="Z56" s="26" t="s">
        <v>3</v>
      </c>
      <c r="AA56" s="26" t="s">
        <v>3</v>
      </c>
      <c r="AB56" s="27" t="s">
        <v>7</v>
      </c>
      <c r="AC56" s="28" t="s">
        <v>11</v>
      </c>
      <c r="AD56" s="26" t="s">
        <v>3</v>
      </c>
      <c r="AE56" s="26" t="s">
        <v>3</v>
      </c>
      <c r="AF56" s="26" t="s">
        <v>3</v>
      </c>
      <c r="AG56" s="26" t="s">
        <v>3</v>
      </c>
      <c r="AH56" s="26" t="s">
        <v>3</v>
      </c>
      <c r="AI56" s="8">
        <f t="shared" si="16"/>
        <v>19</v>
      </c>
      <c r="AJ56" s="8">
        <f t="shared" si="17"/>
        <v>4</v>
      </c>
      <c r="AK56" s="29">
        <f t="shared" si="18"/>
        <v>3</v>
      </c>
      <c r="AL56" s="62">
        <v>3</v>
      </c>
      <c r="AM56" s="33">
        <f t="shared" si="19"/>
        <v>23.5</v>
      </c>
      <c r="AN56" s="63">
        <f t="shared" si="20"/>
        <v>184</v>
      </c>
      <c r="AO56" s="63">
        <f t="shared" si="21"/>
        <v>2</v>
      </c>
      <c r="AP56" s="63">
        <f t="shared" si="22"/>
        <v>8</v>
      </c>
      <c r="AQ56" s="53">
        <f t="shared" si="23"/>
        <v>22.5</v>
      </c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spans="1:56" ht="22" customHeight="1" x14ac:dyDescent="0.35">
      <c r="A57" s="8" t="s">
        <v>141</v>
      </c>
      <c r="B57" s="8" t="s">
        <v>142</v>
      </c>
      <c r="C57" s="8" t="s">
        <v>104</v>
      </c>
      <c r="D57" s="22" t="s">
        <v>5</v>
      </c>
      <c r="E57" s="26" t="s">
        <v>3</v>
      </c>
      <c r="F57" s="26" t="s">
        <v>3</v>
      </c>
      <c r="G57" s="27" t="s">
        <v>7</v>
      </c>
      <c r="H57" s="28" t="s">
        <v>11</v>
      </c>
      <c r="I57" s="26" t="s">
        <v>3</v>
      </c>
      <c r="J57" s="26" t="s">
        <v>3</v>
      </c>
      <c r="K57" s="26" t="s">
        <v>3</v>
      </c>
      <c r="L57" s="26" t="s">
        <v>3</v>
      </c>
      <c r="M57" s="26" t="s">
        <v>3</v>
      </c>
      <c r="N57" s="27" t="s">
        <v>7</v>
      </c>
      <c r="O57" s="28" t="s">
        <v>11</v>
      </c>
      <c r="P57" s="26" t="s">
        <v>3</v>
      </c>
      <c r="Q57" s="26" t="s">
        <v>3</v>
      </c>
      <c r="R57" s="26" t="s">
        <v>3</v>
      </c>
      <c r="S57" s="26" t="s">
        <v>3</v>
      </c>
      <c r="T57" s="26" t="s">
        <v>3</v>
      </c>
      <c r="U57" s="27" t="s">
        <v>7</v>
      </c>
      <c r="V57" s="28" t="s">
        <v>11</v>
      </c>
      <c r="W57" s="26" t="s">
        <v>3</v>
      </c>
      <c r="X57" s="26" t="s">
        <v>3</v>
      </c>
      <c r="Y57" s="26" t="s">
        <v>3</v>
      </c>
      <c r="Z57" s="26" t="s">
        <v>3</v>
      </c>
      <c r="AA57" s="26" t="s">
        <v>3</v>
      </c>
      <c r="AB57" s="27" t="s">
        <v>7</v>
      </c>
      <c r="AC57" s="28" t="s">
        <v>11</v>
      </c>
      <c r="AD57" s="26" t="s">
        <v>3</v>
      </c>
      <c r="AE57" s="26" t="s">
        <v>3</v>
      </c>
      <c r="AF57" s="26" t="s">
        <v>3</v>
      </c>
      <c r="AG57" s="26" t="s">
        <v>3</v>
      </c>
      <c r="AH57" s="22" t="s">
        <v>5</v>
      </c>
      <c r="AI57" s="8">
        <f t="shared" si="16"/>
        <v>21</v>
      </c>
      <c r="AJ57" s="8">
        <f t="shared" si="17"/>
        <v>2</v>
      </c>
      <c r="AK57" s="29">
        <f t="shared" si="18"/>
        <v>4</v>
      </c>
      <c r="AL57" s="62">
        <v>4</v>
      </c>
      <c r="AM57" s="33">
        <f t="shared" si="19"/>
        <v>27</v>
      </c>
      <c r="AN57" s="63">
        <f t="shared" si="20"/>
        <v>184</v>
      </c>
      <c r="AO57" s="63">
        <f t="shared" si="21"/>
        <v>0</v>
      </c>
      <c r="AP57" s="63">
        <f t="shared" si="22"/>
        <v>0</v>
      </c>
      <c r="AQ57" s="53">
        <f t="shared" si="23"/>
        <v>27</v>
      </c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</row>
    <row r="58" spans="1:56" ht="22" customHeight="1" x14ac:dyDescent="0.35">
      <c r="A58" s="8" t="s">
        <v>143</v>
      </c>
      <c r="B58" s="8" t="s">
        <v>144</v>
      </c>
      <c r="C58" s="8" t="s">
        <v>104</v>
      </c>
      <c r="D58" s="22" t="s">
        <v>5</v>
      </c>
      <c r="E58" s="26" t="s">
        <v>3</v>
      </c>
      <c r="F58" s="26" t="s">
        <v>3</v>
      </c>
      <c r="G58" s="27" t="s">
        <v>7</v>
      </c>
      <c r="H58" s="24" t="s">
        <v>9</v>
      </c>
      <c r="I58" s="22" t="s">
        <v>5</v>
      </c>
      <c r="J58" s="22" t="s">
        <v>5</v>
      </c>
      <c r="K58" s="22" t="s">
        <v>5</v>
      </c>
      <c r="L58" s="22" t="s">
        <v>5</v>
      </c>
      <c r="M58" s="22" t="s">
        <v>5</v>
      </c>
      <c r="N58" s="23" t="s">
        <v>7</v>
      </c>
      <c r="O58" s="24" t="s">
        <v>9</v>
      </c>
      <c r="P58" s="22" t="s">
        <v>5</v>
      </c>
      <c r="Q58" s="22" t="s">
        <v>5</v>
      </c>
      <c r="R58" s="22" t="s">
        <v>5</v>
      </c>
      <c r="S58" s="22" t="s">
        <v>5</v>
      </c>
      <c r="T58" s="22" t="s">
        <v>5</v>
      </c>
      <c r="U58" s="23" t="s">
        <v>7</v>
      </c>
      <c r="V58" s="24" t="s">
        <v>9</v>
      </c>
      <c r="W58" s="22" t="s">
        <v>5</v>
      </c>
      <c r="X58" s="22" t="s">
        <v>5</v>
      </c>
      <c r="Y58" s="22" t="s">
        <v>5</v>
      </c>
      <c r="Z58" s="22" t="s">
        <v>5</v>
      </c>
      <c r="AA58" s="22" t="s">
        <v>5</v>
      </c>
      <c r="AB58" s="23" t="s">
        <v>7</v>
      </c>
      <c r="AC58" s="24" t="s">
        <v>9</v>
      </c>
      <c r="AD58" s="22" t="s">
        <v>5</v>
      </c>
      <c r="AE58" s="22" t="s">
        <v>5</v>
      </c>
      <c r="AF58" s="22" t="s">
        <v>5</v>
      </c>
      <c r="AG58" s="22" t="s">
        <v>5</v>
      </c>
      <c r="AH58" s="22" t="s">
        <v>5</v>
      </c>
      <c r="AI58" s="8">
        <f t="shared" si="16"/>
        <v>2</v>
      </c>
      <c r="AJ58" s="25">
        <f t="shared" si="17"/>
        <v>21</v>
      </c>
      <c r="AK58" s="8">
        <f t="shared" si="18"/>
        <v>0</v>
      </c>
      <c r="AL58" s="62">
        <v>1</v>
      </c>
      <c r="AM58" s="33">
        <f t="shared" si="19"/>
        <v>2.5</v>
      </c>
      <c r="AN58" s="63">
        <f t="shared" si="20"/>
        <v>184</v>
      </c>
      <c r="AO58" s="63">
        <f t="shared" si="21"/>
        <v>0</v>
      </c>
      <c r="AP58" s="63">
        <f t="shared" si="22"/>
        <v>0</v>
      </c>
      <c r="AQ58" s="53">
        <f t="shared" si="23"/>
        <v>2.5</v>
      </c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</row>
    <row r="59" spans="1:56" ht="22" customHeight="1" x14ac:dyDescent="0.35">
      <c r="A59" s="8" t="s">
        <v>145</v>
      </c>
      <c r="B59" s="8" t="s">
        <v>146</v>
      </c>
      <c r="C59" s="8" t="s">
        <v>104</v>
      </c>
      <c r="D59" s="26" t="s">
        <v>3</v>
      </c>
      <c r="E59" s="26" t="s">
        <v>3</v>
      </c>
      <c r="F59" s="22" t="s">
        <v>5</v>
      </c>
      <c r="G59" s="23" t="s">
        <v>7</v>
      </c>
      <c r="H59" s="24" t="s">
        <v>9</v>
      </c>
      <c r="I59" s="22" t="s">
        <v>5</v>
      </c>
      <c r="J59" s="22" t="s">
        <v>5</v>
      </c>
      <c r="K59" s="22" t="s">
        <v>5</v>
      </c>
      <c r="L59" s="22" t="s">
        <v>5</v>
      </c>
      <c r="M59" s="22" t="s">
        <v>5</v>
      </c>
      <c r="N59" s="23" t="s">
        <v>7</v>
      </c>
      <c r="O59" s="24" t="s">
        <v>9</v>
      </c>
      <c r="P59" s="22" t="s">
        <v>5</v>
      </c>
      <c r="Q59" s="22" t="s">
        <v>5</v>
      </c>
      <c r="R59" s="22" t="s">
        <v>5</v>
      </c>
      <c r="S59" s="22" t="s">
        <v>5</v>
      </c>
      <c r="T59" s="22" t="s">
        <v>5</v>
      </c>
      <c r="U59" s="23" t="s">
        <v>7</v>
      </c>
      <c r="V59" s="24" t="s">
        <v>9</v>
      </c>
      <c r="W59" s="22" t="s">
        <v>5</v>
      </c>
      <c r="X59" s="22" t="s">
        <v>5</v>
      </c>
      <c r="Y59" s="22" t="s">
        <v>5</v>
      </c>
      <c r="Z59" s="22" t="s">
        <v>5</v>
      </c>
      <c r="AA59" s="22" t="s">
        <v>5</v>
      </c>
      <c r="AB59" s="23" t="s">
        <v>7</v>
      </c>
      <c r="AC59" s="24" t="s">
        <v>9</v>
      </c>
      <c r="AD59" s="22" t="s">
        <v>5</v>
      </c>
      <c r="AE59" s="22" t="s">
        <v>5</v>
      </c>
      <c r="AF59" s="22" t="s">
        <v>5</v>
      </c>
      <c r="AG59" s="22" t="s">
        <v>5</v>
      </c>
      <c r="AH59" s="22" t="s">
        <v>5</v>
      </c>
      <c r="AI59" s="8">
        <f t="shared" si="16"/>
        <v>2</v>
      </c>
      <c r="AJ59" s="25">
        <f t="shared" si="17"/>
        <v>21</v>
      </c>
      <c r="AK59" s="8">
        <f t="shared" si="18"/>
        <v>0</v>
      </c>
      <c r="AL59" s="62">
        <v>0</v>
      </c>
      <c r="AM59" s="33">
        <f t="shared" si="19"/>
        <v>2</v>
      </c>
      <c r="AN59" s="63">
        <f t="shared" si="20"/>
        <v>184</v>
      </c>
      <c r="AO59" s="63">
        <f t="shared" si="21"/>
        <v>0</v>
      </c>
      <c r="AP59" s="63">
        <f t="shared" si="22"/>
        <v>0</v>
      </c>
      <c r="AQ59" s="53">
        <f t="shared" si="23"/>
        <v>2</v>
      </c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</row>
    <row r="60" spans="1:56" ht="22" customHeight="1" x14ac:dyDescent="0.35">
      <c r="A60" s="8" t="s">
        <v>147</v>
      </c>
      <c r="B60" s="8" t="s">
        <v>148</v>
      </c>
      <c r="C60" s="8" t="s">
        <v>104</v>
      </c>
      <c r="D60" s="26" t="s">
        <v>3</v>
      </c>
      <c r="E60" s="26" t="s">
        <v>3</v>
      </c>
      <c r="F60" s="22" t="s">
        <v>5</v>
      </c>
      <c r="G60" s="23" t="s">
        <v>7</v>
      </c>
      <c r="H60" s="28" t="s">
        <v>11</v>
      </c>
      <c r="I60" s="26" t="s">
        <v>3</v>
      </c>
      <c r="J60" s="26" t="s">
        <v>3</v>
      </c>
      <c r="K60" s="26" t="s">
        <v>3</v>
      </c>
      <c r="L60" s="26" t="s">
        <v>3</v>
      </c>
      <c r="M60" s="26" t="s">
        <v>3</v>
      </c>
      <c r="N60" s="27" t="s">
        <v>7</v>
      </c>
      <c r="O60" s="28" t="s">
        <v>11</v>
      </c>
      <c r="P60" s="26" t="s">
        <v>3</v>
      </c>
      <c r="Q60" s="26" t="s">
        <v>3</v>
      </c>
      <c r="R60" s="26" t="s">
        <v>3</v>
      </c>
      <c r="S60" s="26" t="s">
        <v>3</v>
      </c>
      <c r="T60" s="26" t="s">
        <v>3</v>
      </c>
      <c r="U60" s="27" t="s">
        <v>7</v>
      </c>
      <c r="V60" s="28" t="s">
        <v>11</v>
      </c>
      <c r="W60" s="26" t="s">
        <v>3</v>
      </c>
      <c r="X60" s="26" t="s">
        <v>3</v>
      </c>
      <c r="Y60" s="26" t="s">
        <v>3</v>
      </c>
      <c r="Z60" s="26" t="s">
        <v>3</v>
      </c>
      <c r="AA60" s="26" t="s">
        <v>3</v>
      </c>
      <c r="AB60" s="27" t="s">
        <v>7</v>
      </c>
      <c r="AC60" s="28" t="s">
        <v>11</v>
      </c>
      <c r="AD60" s="26" t="s">
        <v>3</v>
      </c>
      <c r="AE60" s="26" t="s">
        <v>3</v>
      </c>
      <c r="AF60" s="26" t="s">
        <v>3</v>
      </c>
      <c r="AG60" s="26" t="s">
        <v>3</v>
      </c>
      <c r="AH60" s="22" t="s">
        <v>5</v>
      </c>
      <c r="AI60" s="8">
        <f t="shared" si="16"/>
        <v>21</v>
      </c>
      <c r="AJ60" s="8">
        <f t="shared" si="17"/>
        <v>2</v>
      </c>
      <c r="AK60" s="29">
        <f t="shared" si="18"/>
        <v>4</v>
      </c>
      <c r="AL60" s="62">
        <v>3</v>
      </c>
      <c r="AM60" s="33">
        <f t="shared" si="19"/>
        <v>26.5</v>
      </c>
      <c r="AN60" s="63">
        <f t="shared" si="20"/>
        <v>184</v>
      </c>
      <c r="AO60" s="63">
        <f t="shared" si="21"/>
        <v>0</v>
      </c>
      <c r="AP60" s="63">
        <f t="shared" si="22"/>
        <v>0</v>
      </c>
      <c r="AQ60" s="53">
        <f t="shared" si="23"/>
        <v>26.5</v>
      </c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</row>
    <row r="61" spans="1:56" ht="22" customHeight="1" x14ac:dyDescent="0.35">
      <c r="A61" s="8" t="s">
        <v>149</v>
      </c>
      <c r="B61" s="8" t="s">
        <v>150</v>
      </c>
      <c r="C61" s="8" t="s">
        <v>104</v>
      </c>
      <c r="D61" s="22" t="s">
        <v>5</v>
      </c>
      <c r="E61" s="26" t="s">
        <v>3</v>
      </c>
      <c r="F61" s="26" t="s">
        <v>3</v>
      </c>
      <c r="G61" s="23" t="s">
        <v>7</v>
      </c>
      <c r="H61" s="28" t="s">
        <v>11</v>
      </c>
      <c r="I61" s="26" t="s">
        <v>3</v>
      </c>
      <c r="J61" s="26" t="s">
        <v>3</v>
      </c>
      <c r="K61" s="26" t="s">
        <v>3</v>
      </c>
      <c r="L61" s="26" t="s">
        <v>3</v>
      </c>
      <c r="M61" s="26" t="s">
        <v>3</v>
      </c>
      <c r="N61" s="27" t="s">
        <v>7</v>
      </c>
      <c r="O61" s="24" t="s">
        <v>9</v>
      </c>
      <c r="P61" s="22" t="s">
        <v>5</v>
      </c>
      <c r="Q61" s="22" t="s">
        <v>5</v>
      </c>
      <c r="R61" s="22" t="s">
        <v>5</v>
      </c>
      <c r="S61" s="22" t="s">
        <v>5</v>
      </c>
      <c r="T61" s="22" t="s">
        <v>5</v>
      </c>
      <c r="U61" s="23" t="s">
        <v>7</v>
      </c>
      <c r="V61" s="24" t="s">
        <v>9</v>
      </c>
      <c r="W61" s="22" t="s">
        <v>5</v>
      </c>
      <c r="X61" s="22" t="s">
        <v>5</v>
      </c>
      <c r="Y61" s="22" t="s">
        <v>5</v>
      </c>
      <c r="Z61" s="22" t="s">
        <v>5</v>
      </c>
      <c r="AA61" s="22" t="s">
        <v>5</v>
      </c>
      <c r="AB61" s="23" t="s">
        <v>7</v>
      </c>
      <c r="AC61" s="24" t="s">
        <v>9</v>
      </c>
      <c r="AD61" s="22" t="s">
        <v>5</v>
      </c>
      <c r="AE61" s="22" t="s">
        <v>5</v>
      </c>
      <c r="AF61" s="22" t="s">
        <v>5</v>
      </c>
      <c r="AG61" s="22" t="s">
        <v>5</v>
      </c>
      <c r="AH61" s="22" t="s">
        <v>5</v>
      </c>
      <c r="AI61" s="8">
        <f t="shared" si="16"/>
        <v>7</v>
      </c>
      <c r="AJ61" s="25">
        <f t="shared" si="17"/>
        <v>16</v>
      </c>
      <c r="AK61" s="29">
        <f t="shared" si="18"/>
        <v>1</v>
      </c>
      <c r="AL61" s="62">
        <v>1</v>
      </c>
      <c r="AM61" s="33">
        <f t="shared" si="19"/>
        <v>8.5</v>
      </c>
      <c r="AN61" s="63">
        <f t="shared" si="20"/>
        <v>184</v>
      </c>
      <c r="AO61" s="63">
        <f t="shared" si="21"/>
        <v>1</v>
      </c>
      <c r="AP61" s="63">
        <f t="shared" si="22"/>
        <v>4</v>
      </c>
      <c r="AQ61" s="53">
        <f t="shared" si="23"/>
        <v>8</v>
      </c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</row>
    <row r="62" spans="1:56" ht="22" customHeight="1" x14ac:dyDescent="0.35">
      <c r="A62" s="8" t="s">
        <v>151</v>
      </c>
      <c r="B62" s="8" t="s">
        <v>152</v>
      </c>
      <c r="C62" s="8" t="s">
        <v>104</v>
      </c>
      <c r="D62" s="26" t="s">
        <v>3</v>
      </c>
      <c r="E62" s="26" t="s">
        <v>3</v>
      </c>
      <c r="F62" s="22" t="s">
        <v>5</v>
      </c>
      <c r="G62" s="23" t="s">
        <v>7</v>
      </c>
      <c r="H62" s="24" t="s">
        <v>9</v>
      </c>
      <c r="I62" s="26" t="s">
        <v>3</v>
      </c>
      <c r="J62" s="26" t="s">
        <v>3</v>
      </c>
      <c r="K62" s="26" t="s">
        <v>3</v>
      </c>
      <c r="L62" s="26" t="s">
        <v>3</v>
      </c>
      <c r="M62" s="26" t="s">
        <v>3</v>
      </c>
      <c r="N62" s="27" t="s">
        <v>7</v>
      </c>
      <c r="O62" s="28" t="s">
        <v>11</v>
      </c>
      <c r="P62" s="26" t="s">
        <v>3</v>
      </c>
      <c r="Q62" s="26" t="s">
        <v>3</v>
      </c>
      <c r="R62" s="26" t="s">
        <v>3</v>
      </c>
      <c r="S62" s="26" t="s">
        <v>3</v>
      </c>
      <c r="T62" s="26" t="s">
        <v>3</v>
      </c>
      <c r="U62" s="27" t="s">
        <v>7</v>
      </c>
      <c r="V62" s="28" t="s">
        <v>11</v>
      </c>
      <c r="W62" s="26" t="s">
        <v>3</v>
      </c>
      <c r="X62" s="26" t="s">
        <v>3</v>
      </c>
      <c r="Y62" s="26" t="s">
        <v>3</v>
      </c>
      <c r="Z62" s="26" t="s">
        <v>3</v>
      </c>
      <c r="AA62" s="26" t="s">
        <v>3</v>
      </c>
      <c r="AB62" s="27" t="s">
        <v>7</v>
      </c>
      <c r="AC62" s="28" t="s">
        <v>11</v>
      </c>
      <c r="AD62" s="26" t="s">
        <v>3</v>
      </c>
      <c r="AE62" s="26" t="s">
        <v>3</v>
      </c>
      <c r="AF62" s="26" t="s">
        <v>3</v>
      </c>
      <c r="AG62" s="26" t="s">
        <v>3</v>
      </c>
      <c r="AH62" s="26" t="s">
        <v>3</v>
      </c>
      <c r="AI62" s="8">
        <f t="shared" si="16"/>
        <v>22</v>
      </c>
      <c r="AJ62" s="8">
        <f t="shared" si="17"/>
        <v>1</v>
      </c>
      <c r="AK62" s="29">
        <f t="shared" si="18"/>
        <v>3</v>
      </c>
      <c r="AL62" s="62">
        <v>3</v>
      </c>
      <c r="AM62" s="33">
        <f t="shared" si="19"/>
        <v>26.5</v>
      </c>
      <c r="AN62" s="63">
        <f t="shared" si="20"/>
        <v>184</v>
      </c>
      <c r="AO62" s="63">
        <f t="shared" si="21"/>
        <v>1</v>
      </c>
      <c r="AP62" s="63">
        <f t="shared" si="22"/>
        <v>4</v>
      </c>
      <c r="AQ62" s="53">
        <f t="shared" si="23"/>
        <v>26</v>
      </c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</row>
    <row r="63" spans="1:56" ht="22" customHeight="1" x14ac:dyDescent="0.35">
      <c r="A63" s="8" t="s">
        <v>153</v>
      </c>
      <c r="B63" s="8" t="s">
        <v>154</v>
      </c>
      <c r="C63" s="8" t="s">
        <v>104</v>
      </c>
      <c r="D63" s="22" t="s">
        <v>5</v>
      </c>
      <c r="E63" s="22" t="s">
        <v>5</v>
      </c>
      <c r="F63" s="26" t="s">
        <v>3</v>
      </c>
      <c r="G63" s="23" t="s">
        <v>7</v>
      </c>
      <c r="H63" s="24" t="s">
        <v>9</v>
      </c>
      <c r="I63" s="22" t="s">
        <v>5</v>
      </c>
      <c r="J63" s="22" t="s">
        <v>5</v>
      </c>
      <c r="K63" s="22" t="s">
        <v>5</v>
      </c>
      <c r="L63" s="22" t="s">
        <v>5</v>
      </c>
      <c r="M63" s="22" t="s">
        <v>5</v>
      </c>
      <c r="N63" s="23" t="s">
        <v>7</v>
      </c>
      <c r="O63" s="24" t="s">
        <v>9</v>
      </c>
      <c r="P63" s="22" t="s">
        <v>5</v>
      </c>
      <c r="Q63" s="22" t="s">
        <v>5</v>
      </c>
      <c r="R63" s="22" t="s">
        <v>5</v>
      </c>
      <c r="S63" s="22" t="s">
        <v>5</v>
      </c>
      <c r="T63" s="22" t="s">
        <v>5</v>
      </c>
      <c r="U63" s="23" t="s">
        <v>7</v>
      </c>
      <c r="V63" s="24" t="s">
        <v>9</v>
      </c>
      <c r="W63" s="22" t="s">
        <v>5</v>
      </c>
      <c r="X63" s="22" t="s">
        <v>5</v>
      </c>
      <c r="Y63" s="22" t="s">
        <v>5</v>
      </c>
      <c r="Z63" s="22" t="s">
        <v>5</v>
      </c>
      <c r="AA63" s="22" t="s">
        <v>5</v>
      </c>
      <c r="AB63" s="23" t="s">
        <v>7</v>
      </c>
      <c r="AC63" s="24" t="s">
        <v>9</v>
      </c>
      <c r="AD63" s="22" t="s">
        <v>5</v>
      </c>
      <c r="AE63" s="22" t="s">
        <v>5</v>
      </c>
      <c r="AF63" s="22" t="s">
        <v>5</v>
      </c>
      <c r="AG63" s="22" t="s">
        <v>5</v>
      </c>
      <c r="AH63" s="22" t="s">
        <v>5</v>
      </c>
      <c r="AI63" s="8">
        <f t="shared" si="16"/>
        <v>1</v>
      </c>
      <c r="AJ63" s="25">
        <f t="shared" si="17"/>
        <v>22</v>
      </c>
      <c r="AK63" s="8">
        <f t="shared" si="18"/>
        <v>0</v>
      </c>
      <c r="AL63" s="62">
        <v>0</v>
      </c>
      <c r="AM63" s="33">
        <f t="shared" si="19"/>
        <v>1</v>
      </c>
      <c r="AN63" s="63">
        <f t="shared" si="20"/>
        <v>184</v>
      </c>
      <c r="AO63" s="63">
        <f t="shared" si="21"/>
        <v>1</v>
      </c>
      <c r="AP63" s="63">
        <f t="shared" si="22"/>
        <v>4</v>
      </c>
      <c r="AQ63" s="53">
        <f t="shared" si="23"/>
        <v>0.5</v>
      </c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</row>
    <row r="64" spans="1:56" ht="22" customHeight="1" x14ac:dyDescent="0.35">
      <c r="A64" s="8" t="s">
        <v>155</v>
      </c>
      <c r="B64" s="8" t="s">
        <v>156</v>
      </c>
      <c r="C64" s="8" t="s">
        <v>104</v>
      </c>
      <c r="D64" s="26" t="s">
        <v>3</v>
      </c>
      <c r="E64" s="26" t="s">
        <v>3</v>
      </c>
      <c r="F64" s="26" t="s">
        <v>3</v>
      </c>
      <c r="G64" s="23" t="s">
        <v>7</v>
      </c>
      <c r="H64" s="24" t="s">
        <v>9</v>
      </c>
      <c r="I64" s="22" t="s">
        <v>5</v>
      </c>
      <c r="J64" s="22" t="s">
        <v>5</v>
      </c>
      <c r="K64" s="22" t="s">
        <v>5</v>
      </c>
      <c r="L64" s="22" t="s">
        <v>5</v>
      </c>
      <c r="M64" s="22" t="s">
        <v>5</v>
      </c>
      <c r="N64" s="27" t="s">
        <v>7</v>
      </c>
      <c r="O64" s="28" t="s">
        <v>11</v>
      </c>
      <c r="P64" s="26" t="s">
        <v>3</v>
      </c>
      <c r="Q64" s="26" t="s">
        <v>3</v>
      </c>
      <c r="R64" s="26" t="s">
        <v>3</v>
      </c>
      <c r="S64" s="26" t="s">
        <v>3</v>
      </c>
      <c r="T64" s="26" t="s">
        <v>3</v>
      </c>
      <c r="U64" s="27" t="s">
        <v>7</v>
      </c>
      <c r="V64" s="28" t="s">
        <v>11</v>
      </c>
      <c r="W64" s="26" t="s">
        <v>3</v>
      </c>
      <c r="X64" s="26" t="s">
        <v>3</v>
      </c>
      <c r="Y64" s="26" t="s">
        <v>3</v>
      </c>
      <c r="Z64" s="26" t="s">
        <v>3</v>
      </c>
      <c r="AA64" s="26" t="s">
        <v>3</v>
      </c>
      <c r="AB64" s="27" t="s">
        <v>7</v>
      </c>
      <c r="AC64" s="28" t="s">
        <v>11</v>
      </c>
      <c r="AD64" s="22" t="s">
        <v>5</v>
      </c>
      <c r="AE64" s="26" t="s">
        <v>3</v>
      </c>
      <c r="AF64" s="26" t="s">
        <v>3</v>
      </c>
      <c r="AG64" s="26" t="s">
        <v>3</v>
      </c>
      <c r="AH64" s="22" t="s">
        <v>5</v>
      </c>
      <c r="AI64" s="8">
        <f t="shared" si="16"/>
        <v>16</v>
      </c>
      <c r="AJ64" s="8">
        <f t="shared" si="17"/>
        <v>7</v>
      </c>
      <c r="AK64" s="29">
        <f t="shared" si="18"/>
        <v>3</v>
      </c>
      <c r="AL64" s="62">
        <v>3</v>
      </c>
      <c r="AM64" s="33">
        <f t="shared" si="19"/>
        <v>20.5</v>
      </c>
      <c r="AN64" s="63">
        <f t="shared" si="20"/>
        <v>184</v>
      </c>
      <c r="AO64" s="63">
        <f t="shared" si="21"/>
        <v>0</v>
      </c>
      <c r="AP64" s="63">
        <f t="shared" si="22"/>
        <v>0</v>
      </c>
      <c r="AQ64" s="53">
        <f t="shared" si="23"/>
        <v>20.5</v>
      </c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</row>
    <row r="65" spans="1:56" ht="22" customHeight="1" x14ac:dyDescent="0.35">
      <c r="A65" s="8" t="s">
        <v>157</v>
      </c>
      <c r="B65" s="8" t="s">
        <v>158</v>
      </c>
      <c r="C65" s="8" t="s">
        <v>104</v>
      </c>
      <c r="D65" s="26" t="s">
        <v>3</v>
      </c>
      <c r="E65" s="22" t="s">
        <v>5</v>
      </c>
      <c r="F65" s="26" t="s">
        <v>3</v>
      </c>
      <c r="G65" s="23" t="s">
        <v>7</v>
      </c>
      <c r="H65" s="24" t="s">
        <v>9</v>
      </c>
      <c r="I65" s="22" t="s">
        <v>5</v>
      </c>
      <c r="J65" s="26" t="s">
        <v>3</v>
      </c>
      <c r="K65" s="22" t="s">
        <v>5</v>
      </c>
      <c r="L65" s="22" t="s">
        <v>5</v>
      </c>
      <c r="M65" s="22" t="s">
        <v>5</v>
      </c>
      <c r="N65" s="27" t="s">
        <v>7</v>
      </c>
      <c r="O65" s="28" t="s">
        <v>11</v>
      </c>
      <c r="P65" s="26" t="s">
        <v>3</v>
      </c>
      <c r="Q65" s="26" t="s">
        <v>3</v>
      </c>
      <c r="R65" s="26" t="s">
        <v>3</v>
      </c>
      <c r="S65" s="26" t="s">
        <v>3</v>
      </c>
      <c r="T65" s="26" t="s">
        <v>3</v>
      </c>
      <c r="U65" s="27" t="s">
        <v>7</v>
      </c>
      <c r="V65" s="28" t="s">
        <v>11</v>
      </c>
      <c r="W65" s="26" t="s">
        <v>3</v>
      </c>
      <c r="X65" s="26" t="s">
        <v>3</v>
      </c>
      <c r="Y65" s="26" t="s">
        <v>3</v>
      </c>
      <c r="Z65" s="26" t="s">
        <v>3</v>
      </c>
      <c r="AA65" s="26" t="s">
        <v>3</v>
      </c>
      <c r="AB65" s="27" t="s">
        <v>7</v>
      </c>
      <c r="AC65" s="28" t="s">
        <v>11</v>
      </c>
      <c r="AD65" s="26" t="s">
        <v>3</v>
      </c>
      <c r="AE65" s="26" t="s">
        <v>3</v>
      </c>
      <c r="AF65" s="26" t="s">
        <v>3</v>
      </c>
      <c r="AG65" s="26" t="s">
        <v>3</v>
      </c>
      <c r="AH65" s="26" t="s">
        <v>3</v>
      </c>
      <c r="AI65" s="8">
        <f t="shared" si="16"/>
        <v>18</v>
      </c>
      <c r="AJ65" s="8">
        <f t="shared" si="17"/>
        <v>5</v>
      </c>
      <c r="AK65" s="29">
        <f t="shared" si="18"/>
        <v>3</v>
      </c>
      <c r="AL65" s="62">
        <v>3</v>
      </c>
      <c r="AM65" s="33">
        <f t="shared" si="19"/>
        <v>22.5</v>
      </c>
      <c r="AN65" s="63">
        <f t="shared" si="20"/>
        <v>184</v>
      </c>
      <c r="AO65" s="63">
        <f t="shared" si="21"/>
        <v>1</v>
      </c>
      <c r="AP65" s="63">
        <f t="shared" si="22"/>
        <v>4</v>
      </c>
      <c r="AQ65" s="53">
        <f t="shared" si="23"/>
        <v>22</v>
      </c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</row>
    <row r="66" spans="1:56" ht="22" customHeight="1" x14ac:dyDescent="0.35">
      <c r="A66" s="8" t="s">
        <v>159</v>
      </c>
      <c r="B66" s="8" t="s">
        <v>160</v>
      </c>
      <c r="C66" s="8" t="s">
        <v>104</v>
      </c>
      <c r="D66" s="22" t="s">
        <v>5</v>
      </c>
      <c r="E66" s="26" t="s">
        <v>3</v>
      </c>
      <c r="F66" s="26" t="s">
        <v>3</v>
      </c>
      <c r="G66" s="23" t="s">
        <v>7</v>
      </c>
      <c r="H66" s="24" t="s">
        <v>9</v>
      </c>
      <c r="I66" s="22" t="s">
        <v>5</v>
      </c>
      <c r="J66" s="26" t="s">
        <v>3</v>
      </c>
      <c r="K66" s="22" t="s">
        <v>5</v>
      </c>
      <c r="L66" s="26" t="s">
        <v>3</v>
      </c>
      <c r="M66" s="26" t="s">
        <v>3</v>
      </c>
      <c r="N66" s="23" t="s">
        <v>7</v>
      </c>
      <c r="O66" s="24" t="s">
        <v>9</v>
      </c>
      <c r="P66" s="22" t="s">
        <v>5</v>
      </c>
      <c r="Q66" s="22" t="s">
        <v>5</v>
      </c>
      <c r="R66" s="22" t="s">
        <v>5</v>
      </c>
      <c r="S66" s="22" t="s">
        <v>5</v>
      </c>
      <c r="T66" s="22" t="s">
        <v>5</v>
      </c>
      <c r="U66" s="23" t="s">
        <v>7</v>
      </c>
      <c r="V66" s="24" t="s">
        <v>9</v>
      </c>
      <c r="W66" s="22" t="s">
        <v>5</v>
      </c>
      <c r="X66" s="22" t="s">
        <v>5</v>
      </c>
      <c r="Y66" s="22" t="s">
        <v>5</v>
      </c>
      <c r="Z66" s="22" t="s">
        <v>5</v>
      </c>
      <c r="AA66" s="22" t="s">
        <v>5</v>
      </c>
      <c r="AB66" s="23" t="s">
        <v>7</v>
      </c>
      <c r="AC66" s="24" t="s">
        <v>9</v>
      </c>
      <c r="AD66" s="22" t="s">
        <v>5</v>
      </c>
      <c r="AE66" s="22" t="s">
        <v>5</v>
      </c>
      <c r="AF66" s="22" t="s">
        <v>5</v>
      </c>
      <c r="AG66" s="22" t="s">
        <v>5</v>
      </c>
      <c r="AH66" s="22" t="s">
        <v>5</v>
      </c>
      <c r="AI66" s="8">
        <f t="shared" si="16"/>
        <v>5</v>
      </c>
      <c r="AJ66" s="25">
        <f t="shared" si="17"/>
        <v>18</v>
      </c>
      <c r="AK66" s="8">
        <f t="shared" si="18"/>
        <v>0</v>
      </c>
      <c r="AL66" s="62">
        <v>0</v>
      </c>
      <c r="AM66" s="33">
        <f t="shared" si="19"/>
        <v>5</v>
      </c>
      <c r="AN66" s="63">
        <f t="shared" si="20"/>
        <v>184</v>
      </c>
      <c r="AO66" s="63">
        <f t="shared" si="21"/>
        <v>2</v>
      </c>
      <c r="AP66" s="63">
        <f t="shared" si="22"/>
        <v>8</v>
      </c>
      <c r="AQ66" s="53">
        <f t="shared" si="23"/>
        <v>4</v>
      </c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</row>
    <row r="67" spans="1:56" ht="22" customHeight="1" x14ac:dyDescent="0.35">
      <c r="A67" s="8" t="s">
        <v>161</v>
      </c>
      <c r="B67" s="8" t="s">
        <v>162</v>
      </c>
      <c r="C67" s="8" t="s">
        <v>104</v>
      </c>
      <c r="D67" s="22" t="s">
        <v>5</v>
      </c>
      <c r="E67" s="26" t="s">
        <v>3</v>
      </c>
      <c r="F67" s="26" t="s">
        <v>3</v>
      </c>
      <c r="G67" s="23" t="s">
        <v>7</v>
      </c>
      <c r="H67" s="24" t="s">
        <v>9</v>
      </c>
      <c r="I67" s="22" t="s">
        <v>5</v>
      </c>
      <c r="J67" s="26" t="s">
        <v>3</v>
      </c>
      <c r="K67" s="22" t="s">
        <v>5</v>
      </c>
      <c r="L67" s="22" t="s">
        <v>5</v>
      </c>
      <c r="M67" s="22" t="s">
        <v>5</v>
      </c>
      <c r="N67" s="27" t="s">
        <v>7</v>
      </c>
      <c r="O67" s="28" t="s">
        <v>11</v>
      </c>
      <c r="P67" s="26" t="s">
        <v>3</v>
      </c>
      <c r="Q67" s="26" t="s">
        <v>3</v>
      </c>
      <c r="R67" s="26" t="s">
        <v>3</v>
      </c>
      <c r="S67" s="26" t="s">
        <v>3</v>
      </c>
      <c r="T67" s="26" t="s">
        <v>3</v>
      </c>
      <c r="U67" s="27" t="s">
        <v>7</v>
      </c>
      <c r="V67" s="28" t="s">
        <v>11</v>
      </c>
      <c r="W67" s="26" t="s">
        <v>3</v>
      </c>
      <c r="X67" s="26" t="s">
        <v>3</v>
      </c>
      <c r="Y67" s="26" t="s">
        <v>3</v>
      </c>
      <c r="Z67" s="26" t="s">
        <v>3</v>
      </c>
      <c r="AA67" s="26" t="s">
        <v>3</v>
      </c>
      <c r="AB67" s="27" t="s">
        <v>7</v>
      </c>
      <c r="AC67" s="28" t="s">
        <v>11</v>
      </c>
      <c r="AD67" s="26" t="s">
        <v>3</v>
      </c>
      <c r="AE67" s="26" t="s">
        <v>3</v>
      </c>
      <c r="AF67" s="26" t="s">
        <v>3</v>
      </c>
      <c r="AG67" s="26" t="s">
        <v>3</v>
      </c>
      <c r="AH67" s="22" t="s">
        <v>5</v>
      </c>
      <c r="AI67" s="8">
        <f t="shared" si="16"/>
        <v>17</v>
      </c>
      <c r="AJ67" s="8">
        <f t="shared" si="17"/>
        <v>6</v>
      </c>
      <c r="AK67" s="29">
        <f t="shared" si="18"/>
        <v>3</v>
      </c>
      <c r="AL67" s="62">
        <v>3</v>
      </c>
      <c r="AM67" s="33">
        <f t="shared" si="19"/>
        <v>21.5</v>
      </c>
      <c r="AN67" s="63">
        <f t="shared" si="20"/>
        <v>184</v>
      </c>
      <c r="AO67" s="63">
        <f t="shared" si="21"/>
        <v>0</v>
      </c>
      <c r="AP67" s="63">
        <f t="shared" si="22"/>
        <v>0</v>
      </c>
      <c r="AQ67" s="53">
        <f t="shared" si="23"/>
        <v>21.5</v>
      </c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</row>
    <row r="68" spans="1:56" ht="22" customHeight="1" x14ac:dyDescent="0.35">
      <c r="A68" s="8" t="s">
        <v>163</v>
      </c>
      <c r="B68" s="8" t="s">
        <v>164</v>
      </c>
      <c r="C68" s="8" t="s">
        <v>104</v>
      </c>
      <c r="D68" s="26" t="s">
        <v>3</v>
      </c>
      <c r="E68" s="26" t="s">
        <v>3</v>
      </c>
      <c r="F68" s="26" t="s">
        <v>3</v>
      </c>
      <c r="G68" s="23" t="s">
        <v>7</v>
      </c>
      <c r="H68" s="24" t="s">
        <v>9</v>
      </c>
      <c r="I68" s="22" t="s">
        <v>5</v>
      </c>
      <c r="J68" s="26" t="s">
        <v>3</v>
      </c>
      <c r="K68" s="22" t="s">
        <v>5</v>
      </c>
      <c r="L68" s="22" t="s">
        <v>5</v>
      </c>
      <c r="M68" s="22" t="s">
        <v>5</v>
      </c>
      <c r="N68" s="27" t="s">
        <v>7</v>
      </c>
      <c r="O68" s="28" t="s">
        <v>11</v>
      </c>
      <c r="P68" s="26" t="s">
        <v>3</v>
      </c>
      <c r="Q68" s="26" t="s">
        <v>3</v>
      </c>
      <c r="R68" s="26" t="s">
        <v>3</v>
      </c>
      <c r="S68" s="26" t="s">
        <v>3</v>
      </c>
      <c r="T68" s="26" t="s">
        <v>3</v>
      </c>
      <c r="U68" s="27" t="s">
        <v>7</v>
      </c>
      <c r="V68" s="28" t="s">
        <v>11</v>
      </c>
      <c r="W68" s="26" t="s">
        <v>3</v>
      </c>
      <c r="X68" s="26" t="s">
        <v>3</v>
      </c>
      <c r="Y68" s="26" t="s">
        <v>3</v>
      </c>
      <c r="Z68" s="26" t="s">
        <v>3</v>
      </c>
      <c r="AA68" s="26" t="s">
        <v>3</v>
      </c>
      <c r="AB68" s="27" t="s">
        <v>7</v>
      </c>
      <c r="AC68" s="28" t="s">
        <v>11</v>
      </c>
      <c r="AD68" s="26" t="s">
        <v>3</v>
      </c>
      <c r="AE68" s="26" t="s">
        <v>3</v>
      </c>
      <c r="AF68" s="26" t="s">
        <v>3</v>
      </c>
      <c r="AG68" s="26" t="s">
        <v>3</v>
      </c>
      <c r="AH68" s="22" t="s">
        <v>5</v>
      </c>
      <c r="AI68" s="8">
        <f t="shared" si="16"/>
        <v>18</v>
      </c>
      <c r="AJ68" s="8">
        <f t="shared" si="17"/>
        <v>5</v>
      </c>
      <c r="AK68" s="29">
        <f t="shared" si="18"/>
        <v>3</v>
      </c>
      <c r="AL68" s="62">
        <v>3</v>
      </c>
      <c r="AM68" s="33">
        <f t="shared" si="19"/>
        <v>22.5</v>
      </c>
      <c r="AN68" s="63">
        <f t="shared" si="20"/>
        <v>184</v>
      </c>
      <c r="AO68" s="63">
        <f t="shared" si="21"/>
        <v>0</v>
      </c>
      <c r="AP68" s="63">
        <f t="shared" si="22"/>
        <v>0</v>
      </c>
      <c r="AQ68" s="53">
        <f t="shared" si="23"/>
        <v>22.5</v>
      </c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</row>
    <row r="69" spans="1:56" ht="22" customHeight="1" x14ac:dyDescent="0.35">
      <c r="A69" s="8" t="s">
        <v>165</v>
      </c>
      <c r="B69" s="8" t="s">
        <v>166</v>
      </c>
      <c r="C69" s="8" t="s">
        <v>104</v>
      </c>
      <c r="D69" s="26" t="s">
        <v>3</v>
      </c>
      <c r="E69" s="26" t="s">
        <v>3</v>
      </c>
      <c r="F69" s="26" t="s">
        <v>3</v>
      </c>
      <c r="G69" s="27" t="s">
        <v>7</v>
      </c>
      <c r="H69" s="28" t="s">
        <v>11</v>
      </c>
      <c r="I69" s="26" t="s">
        <v>3</v>
      </c>
      <c r="J69" s="26" t="s">
        <v>3</v>
      </c>
      <c r="K69" s="26" t="s">
        <v>3</v>
      </c>
      <c r="L69" s="26" t="s">
        <v>3</v>
      </c>
      <c r="M69" s="26" t="s">
        <v>3</v>
      </c>
      <c r="N69" s="27" t="s">
        <v>7</v>
      </c>
      <c r="O69" s="28" t="s">
        <v>11</v>
      </c>
      <c r="P69" s="26" t="s">
        <v>3</v>
      </c>
      <c r="Q69" s="26" t="s">
        <v>3</v>
      </c>
      <c r="R69" s="26" t="s">
        <v>3</v>
      </c>
      <c r="S69" s="26" t="s">
        <v>3</v>
      </c>
      <c r="T69" s="26" t="s">
        <v>3</v>
      </c>
      <c r="U69" s="27" t="s">
        <v>7</v>
      </c>
      <c r="V69" s="28" t="s">
        <v>11</v>
      </c>
      <c r="W69" s="26" t="s">
        <v>3</v>
      </c>
      <c r="X69" s="26" t="s">
        <v>3</v>
      </c>
      <c r="Y69" s="26" t="s">
        <v>3</v>
      </c>
      <c r="Z69" s="26" t="s">
        <v>3</v>
      </c>
      <c r="AA69" s="26" t="s">
        <v>3</v>
      </c>
      <c r="AB69" s="27" t="s">
        <v>7</v>
      </c>
      <c r="AC69" s="28" t="s">
        <v>11</v>
      </c>
      <c r="AD69" s="26" t="s">
        <v>3</v>
      </c>
      <c r="AE69" s="26" t="s">
        <v>3</v>
      </c>
      <c r="AF69" s="26" t="s">
        <v>3</v>
      </c>
      <c r="AG69" s="26" t="s">
        <v>3</v>
      </c>
      <c r="AH69" s="26" t="s">
        <v>3</v>
      </c>
      <c r="AI69" s="8">
        <f t="shared" si="16"/>
        <v>23</v>
      </c>
      <c r="AJ69" s="8">
        <f t="shared" si="17"/>
        <v>0</v>
      </c>
      <c r="AK69" s="29">
        <f t="shared" si="18"/>
        <v>4</v>
      </c>
      <c r="AL69" s="62">
        <v>4</v>
      </c>
      <c r="AM69" s="33">
        <f t="shared" si="19"/>
        <v>29</v>
      </c>
      <c r="AN69" s="63">
        <f t="shared" si="20"/>
        <v>184</v>
      </c>
      <c r="AO69" s="63">
        <f t="shared" si="21"/>
        <v>1</v>
      </c>
      <c r="AP69" s="63">
        <f t="shared" si="22"/>
        <v>4</v>
      </c>
      <c r="AQ69" s="53">
        <f t="shared" si="23"/>
        <v>28.5</v>
      </c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</row>
    <row r="70" spans="1:56" ht="22" customHeight="1" x14ac:dyDescent="0.35">
      <c r="A70" s="8" t="s">
        <v>167</v>
      </c>
      <c r="B70" s="8" t="s">
        <v>168</v>
      </c>
      <c r="C70" s="8" t="s">
        <v>104</v>
      </c>
      <c r="D70" s="26" t="s">
        <v>3</v>
      </c>
      <c r="E70" s="26" t="s">
        <v>3</v>
      </c>
      <c r="F70" s="22" t="s">
        <v>5</v>
      </c>
      <c r="G70" s="23" t="s">
        <v>7</v>
      </c>
      <c r="H70" s="24" t="s">
        <v>9</v>
      </c>
      <c r="I70" s="22" t="s">
        <v>5</v>
      </c>
      <c r="J70" s="22" t="s">
        <v>5</v>
      </c>
      <c r="K70" s="22" t="s">
        <v>5</v>
      </c>
      <c r="L70" s="22" t="s">
        <v>5</v>
      </c>
      <c r="M70" s="22" t="s">
        <v>5</v>
      </c>
      <c r="N70" s="23" t="s">
        <v>7</v>
      </c>
      <c r="O70" s="24" t="s">
        <v>9</v>
      </c>
      <c r="P70" s="22" t="s">
        <v>5</v>
      </c>
      <c r="Q70" s="22" t="s">
        <v>5</v>
      </c>
      <c r="R70" s="22" t="s">
        <v>5</v>
      </c>
      <c r="S70" s="22" t="s">
        <v>5</v>
      </c>
      <c r="T70" s="22" t="s">
        <v>5</v>
      </c>
      <c r="U70" s="23" t="s">
        <v>7</v>
      </c>
      <c r="V70" s="24" t="s">
        <v>9</v>
      </c>
      <c r="W70" s="22" t="s">
        <v>5</v>
      </c>
      <c r="X70" s="22" t="s">
        <v>5</v>
      </c>
      <c r="Y70" s="22" t="s">
        <v>5</v>
      </c>
      <c r="Z70" s="22" t="s">
        <v>5</v>
      </c>
      <c r="AA70" s="22" t="s">
        <v>5</v>
      </c>
      <c r="AB70" s="23" t="s">
        <v>7</v>
      </c>
      <c r="AC70" s="24" t="s">
        <v>9</v>
      </c>
      <c r="AD70" s="22" t="s">
        <v>5</v>
      </c>
      <c r="AE70" s="22" t="s">
        <v>5</v>
      </c>
      <c r="AF70" s="22" t="s">
        <v>5</v>
      </c>
      <c r="AG70" s="22" t="s">
        <v>5</v>
      </c>
      <c r="AH70" s="22" t="s">
        <v>5</v>
      </c>
      <c r="AI70" s="8">
        <f t="shared" si="16"/>
        <v>2</v>
      </c>
      <c r="AJ70" s="25">
        <f t="shared" si="17"/>
        <v>21</v>
      </c>
      <c r="AK70" s="8">
        <f t="shared" si="18"/>
        <v>0</v>
      </c>
      <c r="AL70" s="62">
        <v>0</v>
      </c>
      <c r="AM70" s="33">
        <f t="shared" si="19"/>
        <v>2</v>
      </c>
      <c r="AN70" s="63">
        <f t="shared" si="20"/>
        <v>184</v>
      </c>
      <c r="AO70" s="63">
        <f t="shared" si="21"/>
        <v>0</v>
      </c>
      <c r="AP70" s="63">
        <f t="shared" si="22"/>
        <v>0</v>
      </c>
      <c r="AQ70" s="53">
        <f t="shared" si="23"/>
        <v>2</v>
      </c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</row>
    <row r="71" spans="1:56" ht="22" customHeight="1" x14ac:dyDescent="0.35">
      <c r="A71" s="8" t="s">
        <v>169</v>
      </c>
      <c r="B71" s="8" t="s">
        <v>170</v>
      </c>
      <c r="C71" s="8" t="s">
        <v>104</v>
      </c>
      <c r="D71" s="26" t="s">
        <v>3</v>
      </c>
      <c r="E71" s="22" t="s">
        <v>5</v>
      </c>
      <c r="F71" s="22" t="s">
        <v>5</v>
      </c>
      <c r="G71" s="23" t="s">
        <v>7</v>
      </c>
      <c r="H71" s="24" t="s">
        <v>9</v>
      </c>
      <c r="I71" s="26" t="s">
        <v>3</v>
      </c>
      <c r="J71" s="26" t="s">
        <v>3</v>
      </c>
      <c r="K71" s="26" t="s">
        <v>3</v>
      </c>
      <c r="L71" s="26" t="s">
        <v>3</v>
      </c>
      <c r="M71" s="26" t="s">
        <v>3</v>
      </c>
      <c r="N71" s="27" t="s">
        <v>7</v>
      </c>
      <c r="O71" s="24" t="s">
        <v>9</v>
      </c>
      <c r="P71" s="26" t="s">
        <v>3</v>
      </c>
      <c r="Q71" s="26" t="s">
        <v>3</v>
      </c>
      <c r="R71" s="26" t="s">
        <v>3</v>
      </c>
      <c r="S71" s="26" t="s">
        <v>3</v>
      </c>
      <c r="T71" s="26" t="s">
        <v>3</v>
      </c>
      <c r="U71" s="27" t="s">
        <v>7</v>
      </c>
      <c r="V71" s="28" t="s">
        <v>11</v>
      </c>
      <c r="W71" s="26" t="s">
        <v>3</v>
      </c>
      <c r="X71" s="26" t="s">
        <v>3</v>
      </c>
      <c r="Y71" s="26" t="s">
        <v>3</v>
      </c>
      <c r="Z71" s="26" t="s">
        <v>3</v>
      </c>
      <c r="AA71" s="26" t="s">
        <v>3</v>
      </c>
      <c r="AB71" s="27" t="s">
        <v>7</v>
      </c>
      <c r="AC71" s="28" t="s">
        <v>11</v>
      </c>
      <c r="AD71" s="26" t="s">
        <v>3</v>
      </c>
      <c r="AE71" s="26" t="s">
        <v>3</v>
      </c>
      <c r="AF71" s="26" t="s">
        <v>3</v>
      </c>
      <c r="AG71" s="26" t="s">
        <v>3</v>
      </c>
      <c r="AH71" s="26" t="s">
        <v>3</v>
      </c>
      <c r="AI71" s="8">
        <f t="shared" si="16"/>
        <v>21</v>
      </c>
      <c r="AJ71" s="8">
        <f t="shared" si="17"/>
        <v>2</v>
      </c>
      <c r="AK71" s="29">
        <f t="shared" si="18"/>
        <v>2</v>
      </c>
      <c r="AL71" s="62">
        <v>3</v>
      </c>
      <c r="AM71" s="33">
        <f t="shared" si="19"/>
        <v>24.5</v>
      </c>
      <c r="AN71" s="63">
        <f t="shared" si="20"/>
        <v>184</v>
      </c>
      <c r="AO71" s="63">
        <f t="shared" si="21"/>
        <v>1</v>
      </c>
      <c r="AP71" s="63">
        <f t="shared" si="22"/>
        <v>4</v>
      </c>
      <c r="AQ71" s="53">
        <f t="shared" si="23"/>
        <v>24</v>
      </c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</row>
    <row r="72" spans="1:56" ht="22" customHeight="1" x14ac:dyDescent="0.35">
      <c r="A72" s="8" t="s">
        <v>171</v>
      </c>
      <c r="B72" s="8" t="s">
        <v>172</v>
      </c>
      <c r="C72" s="8" t="s">
        <v>104</v>
      </c>
      <c r="D72" s="22" t="s">
        <v>5</v>
      </c>
      <c r="E72" s="26" t="s">
        <v>3</v>
      </c>
      <c r="F72" s="26" t="s">
        <v>3</v>
      </c>
      <c r="G72" s="23" t="s">
        <v>7</v>
      </c>
      <c r="H72" s="24" t="s">
        <v>9</v>
      </c>
      <c r="I72" s="26" t="s">
        <v>3</v>
      </c>
      <c r="J72" s="26" t="s">
        <v>3</v>
      </c>
      <c r="K72" s="26" t="s">
        <v>3</v>
      </c>
      <c r="L72" s="26" t="s">
        <v>3</v>
      </c>
      <c r="M72" s="26" t="s">
        <v>3</v>
      </c>
      <c r="N72" s="27" t="s">
        <v>7</v>
      </c>
      <c r="O72" s="28" t="s">
        <v>11</v>
      </c>
      <c r="P72" s="26" t="s">
        <v>3</v>
      </c>
      <c r="Q72" s="26" t="s">
        <v>3</v>
      </c>
      <c r="R72" s="26" t="s">
        <v>3</v>
      </c>
      <c r="S72" s="26" t="s">
        <v>3</v>
      </c>
      <c r="T72" s="26" t="s">
        <v>3</v>
      </c>
      <c r="U72" s="27" t="s">
        <v>7</v>
      </c>
      <c r="V72" s="28" t="s">
        <v>11</v>
      </c>
      <c r="W72" s="26" t="s">
        <v>3</v>
      </c>
      <c r="X72" s="26" t="s">
        <v>3</v>
      </c>
      <c r="Y72" s="26" t="s">
        <v>3</v>
      </c>
      <c r="Z72" s="26" t="s">
        <v>3</v>
      </c>
      <c r="AA72" s="26" t="s">
        <v>3</v>
      </c>
      <c r="AB72" s="27" t="s">
        <v>7</v>
      </c>
      <c r="AC72" s="28" t="s">
        <v>11</v>
      </c>
      <c r="AD72" s="26" t="s">
        <v>3</v>
      </c>
      <c r="AE72" s="26" t="s">
        <v>3</v>
      </c>
      <c r="AF72" s="26" t="s">
        <v>3</v>
      </c>
      <c r="AG72" s="26" t="s">
        <v>3</v>
      </c>
      <c r="AH72" s="26" t="s">
        <v>3</v>
      </c>
      <c r="AI72" s="8">
        <f t="shared" si="16"/>
        <v>22</v>
      </c>
      <c r="AJ72" s="8">
        <f t="shared" si="17"/>
        <v>1</v>
      </c>
      <c r="AK72" s="29">
        <f t="shared" si="18"/>
        <v>3</v>
      </c>
      <c r="AL72" s="62">
        <v>3</v>
      </c>
      <c r="AM72" s="33">
        <f t="shared" si="19"/>
        <v>26.5</v>
      </c>
      <c r="AN72" s="63">
        <f t="shared" si="20"/>
        <v>184</v>
      </c>
      <c r="AO72" s="63">
        <f t="shared" si="21"/>
        <v>2</v>
      </c>
      <c r="AP72" s="63">
        <f t="shared" si="22"/>
        <v>8</v>
      </c>
      <c r="AQ72" s="53">
        <f t="shared" si="23"/>
        <v>25.5</v>
      </c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</row>
    <row r="73" spans="1:56" ht="22" customHeight="1" x14ac:dyDescent="0.35">
      <c r="A73" s="8" t="s">
        <v>173</v>
      </c>
      <c r="B73" s="8" t="s">
        <v>174</v>
      </c>
      <c r="C73" s="8" t="s">
        <v>104</v>
      </c>
      <c r="D73" s="26" t="s">
        <v>3</v>
      </c>
      <c r="E73" s="22" t="s">
        <v>5</v>
      </c>
      <c r="F73" s="22" t="s">
        <v>5</v>
      </c>
      <c r="G73" s="23" t="s">
        <v>7</v>
      </c>
      <c r="H73" s="24" t="s">
        <v>9</v>
      </c>
      <c r="I73" s="22" t="s">
        <v>5</v>
      </c>
      <c r="J73" s="22" t="s">
        <v>5</v>
      </c>
      <c r="K73" s="22" t="s">
        <v>5</v>
      </c>
      <c r="L73" s="22" t="s">
        <v>5</v>
      </c>
      <c r="M73" s="22" t="s">
        <v>5</v>
      </c>
      <c r="N73" s="27" t="s">
        <v>7</v>
      </c>
      <c r="O73" s="28" t="s">
        <v>11</v>
      </c>
      <c r="P73" s="26" t="s">
        <v>3</v>
      </c>
      <c r="Q73" s="26" t="s">
        <v>3</v>
      </c>
      <c r="R73" s="26" t="s">
        <v>3</v>
      </c>
      <c r="S73" s="26" t="s">
        <v>3</v>
      </c>
      <c r="T73" s="26" t="s">
        <v>3</v>
      </c>
      <c r="U73" s="27" t="s">
        <v>7</v>
      </c>
      <c r="V73" s="28" t="s">
        <v>11</v>
      </c>
      <c r="W73" s="26" t="s">
        <v>3</v>
      </c>
      <c r="X73" s="26" t="s">
        <v>3</v>
      </c>
      <c r="Y73" s="26" t="s">
        <v>3</v>
      </c>
      <c r="Z73" s="26" t="s">
        <v>3</v>
      </c>
      <c r="AA73" s="26" t="s">
        <v>3</v>
      </c>
      <c r="AB73" s="27" t="s">
        <v>7</v>
      </c>
      <c r="AC73" s="28" t="s">
        <v>11</v>
      </c>
      <c r="AD73" s="26" t="s">
        <v>3</v>
      </c>
      <c r="AE73" s="26" t="s">
        <v>3</v>
      </c>
      <c r="AF73" s="26" t="s">
        <v>3</v>
      </c>
      <c r="AG73" s="26" t="s">
        <v>3</v>
      </c>
      <c r="AH73" s="26" t="s">
        <v>3</v>
      </c>
      <c r="AI73" s="8">
        <f t="shared" si="16"/>
        <v>16</v>
      </c>
      <c r="AJ73" s="8">
        <f t="shared" si="17"/>
        <v>7</v>
      </c>
      <c r="AK73" s="29">
        <f t="shared" si="18"/>
        <v>3</v>
      </c>
      <c r="AL73" s="62">
        <v>3</v>
      </c>
      <c r="AM73" s="33">
        <f t="shared" si="19"/>
        <v>20.5</v>
      </c>
      <c r="AN73" s="63">
        <f t="shared" si="20"/>
        <v>184</v>
      </c>
      <c r="AO73" s="63">
        <f t="shared" si="21"/>
        <v>0</v>
      </c>
      <c r="AP73" s="63">
        <f t="shared" si="22"/>
        <v>0</v>
      </c>
      <c r="AQ73" s="53">
        <f t="shared" si="23"/>
        <v>20.5</v>
      </c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</row>
    <row r="74" spans="1:56" ht="22" customHeight="1" x14ac:dyDescent="0.35">
      <c r="A74" s="8" t="s">
        <v>175</v>
      </c>
      <c r="B74" s="8" t="s">
        <v>176</v>
      </c>
      <c r="C74" s="8" t="s">
        <v>104</v>
      </c>
      <c r="D74" s="22" t="s">
        <v>5</v>
      </c>
      <c r="E74" s="26" t="s">
        <v>3</v>
      </c>
      <c r="F74" s="26" t="s">
        <v>3</v>
      </c>
      <c r="G74" s="23" t="s">
        <v>7</v>
      </c>
      <c r="H74" s="24" t="s">
        <v>9</v>
      </c>
      <c r="I74" s="22" t="s">
        <v>5</v>
      </c>
      <c r="J74" s="22" t="s">
        <v>5</v>
      </c>
      <c r="K74" s="22" t="s">
        <v>5</v>
      </c>
      <c r="L74" s="26" t="s">
        <v>3</v>
      </c>
      <c r="M74" s="26" t="s">
        <v>3</v>
      </c>
      <c r="N74" s="23" t="s">
        <v>7</v>
      </c>
      <c r="O74" s="24" t="s">
        <v>9</v>
      </c>
      <c r="P74" s="22" t="s">
        <v>5</v>
      </c>
      <c r="Q74" s="22" t="s">
        <v>5</v>
      </c>
      <c r="R74" s="22" t="s">
        <v>5</v>
      </c>
      <c r="S74" s="22" t="s">
        <v>5</v>
      </c>
      <c r="T74" s="22" t="s">
        <v>5</v>
      </c>
      <c r="U74" s="23" t="s">
        <v>7</v>
      </c>
      <c r="V74" s="24" t="s">
        <v>9</v>
      </c>
      <c r="W74" s="22" t="s">
        <v>5</v>
      </c>
      <c r="X74" s="22" t="s">
        <v>5</v>
      </c>
      <c r="Y74" s="22" t="s">
        <v>5</v>
      </c>
      <c r="Z74" s="22" t="s">
        <v>5</v>
      </c>
      <c r="AA74" s="22" t="s">
        <v>5</v>
      </c>
      <c r="AB74" s="23" t="s">
        <v>7</v>
      </c>
      <c r="AC74" s="24" t="s">
        <v>9</v>
      </c>
      <c r="AD74" s="22" t="s">
        <v>5</v>
      </c>
      <c r="AE74" s="22" t="s">
        <v>5</v>
      </c>
      <c r="AF74" s="22" t="s">
        <v>5</v>
      </c>
      <c r="AG74" s="22" t="s">
        <v>5</v>
      </c>
      <c r="AH74" s="22" t="s">
        <v>5</v>
      </c>
      <c r="AI74" s="8">
        <f t="shared" si="16"/>
        <v>4</v>
      </c>
      <c r="AJ74" s="25">
        <f t="shared" si="17"/>
        <v>19</v>
      </c>
      <c r="AK74" s="8">
        <f t="shared" si="18"/>
        <v>0</v>
      </c>
      <c r="AL74" s="62">
        <v>0</v>
      </c>
      <c r="AM74" s="33">
        <f t="shared" si="19"/>
        <v>4</v>
      </c>
      <c r="AN74" s="63">
        <f t="shared" si="20"/>
        <v>184</v>
      </c>
      <c r="AO74" s="63">
        <f t="shared" si="21"/>
        <v>2</v>
      </c>
      <c r="AP74" s="63">
        <f t="shared" si="22"/>
        <v>8</v>
      </c>
      <c r="AQ74" s="53">
        <f t="shared" si="23"/>
        <v>3</v>
      </c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</row>
    <row r="75" spans="1:56" x14ac:dyDescent="0.35"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</row>
    <row r="76" spans="1:56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</row>
    <row r="77" spans="1:56" ht="22" customHeight="1" x14ac:dyDescent="0.35">
      <c r="A77" s="8" t="s">
        <v>178</v>
      </c>
      <c r="B77" s="8" t="s">
        <v>179</v>
      </c>
      <c r="C77" s="8" t="s">
        <v>180</v>
      </c>
      <c r="D77" s="26" t="s">
        <v>3</v>
      </c>
      <c r="E77" s="26" t="s">
        <v>3</v>
      </c>
      <c r="F77" s="26" t="s">
        <v>3</v>
      </c>
      <c r="G77" s="27" t="s">
        <v>7</v>
      </c>
      <c r="H77" s="28" t="s">
        <v>11</v>
      </c>
      <c r="I77" s="26" t="s">
        <v>3</v>
      </c>
      <c r="J77" s="22" t="s">
        <v>5</v>
      </c>
      <c r="K77" s="22" t="s">
        <v>5</v>
      </c>
      <c r="L77" s="26" t="s">
        <v>3</v>
      </c>
      <c r="M77" s="26" t="s">
        <v>3</v>
      </c>
      <c r="N77" s="27" t="s">
        <v>7</v>
      </c>
      <c r="O77" s="28" t="s">
        <v>11</v>
      </c>
      <c r="P77" s="26" t="s">
        <v>3</v>
      </c>
      <c r="Q77" s="26" t="s">
        <v>3</v>
      </c>
      <c r="R77" s="26" t="s">
        <v>3</v>
      </c>
      <c r="S77" s="26" t="s">
        <v>3</v>
      </c>
      <c r="T77" s="26" t="s">
        <v>3</v>
      </c>
      <c r="U77" s="23" t="s">
        <v>7</v>
      </c>
      <c r="V77" s="24" t="s">
        <v>9</v>
      </c>
      <c r="W77" s="22" t="s">
        <v>5</v>
      </c>
      <c r="X77" s="22" t="s">
        <v>5</v>
      </c>
      <c r="Y77" s="22" t="s">
        <v>5</v>
      </c>
      <c r="Z77" s="22" t="s">
        <v>5</v>
      </c>
      <c r="AA77" s="22" t="s">
        <v>5</v>
      </c>
      <c r="AB77" s="23" t="s">
        <v>7</v>
      </c>
      <c r="AC77" s="24" t="s">
        <v>9</v>
      </c>
      <c r="AD77" s="22" t="s">
        <v>5</v>
      </c>
      <c r="AE77" s="22" t="s">
        <v>5</v>
      </c>
      <c r="AF77" s="22" t="s">
        <v>5</v>
      </c>
      <c r="AG77" s="22" t="s">
        <v>5</v>
      </c>
      <c r="AH77" s="22" t="s">
        <v>5</v>
      </c>
      <c r="AI77" s="8">
        <f t="shared" ref="AI77:AI82" si="24">COUNTIF(D77:AH77,"ON")</f>
        <v>11</v>
      </c>
      <c r="AJ77" s="25">
        <f t="shared" ref="AJ77:AJ82" si="25">COUNTIF(D77:AH77,"OFF")</f>
        <v>12</v>
      </c>
      <c r="AK77" s="29">
        <f t="shared" ref="AK77:AK82" si="26">COUNTIF(D77:AH77,"OT")</f>
        <v>2</v>
      </c>
      <c r="AL77" s="62">
        <v>2</v>
      </c>
      <c r="AM77" s="33">
        <f t="shared" ref="AM77:AM82" si="27">AI77+AK77+AL77*0.5</f>
        <v>14</v>
      </c>
      <c r="AN77" s="63">
        <f t="shared" ref="AN77:AN82" si="28">NETWORKDAYS(DATE(2025,10,1),EOMONTH(DATE(2025,10,1),0))*8</f>
        <v>184</v>
      </c>
      <c r="AO77" s="63">
        <f t="shared" ref="AO77:AO82" si="29">MAX(0,COUNTIF(F77,"ON")+COUNTIF(M77,"ON")+COUNTIF(T77,"ON")+COUNTIF(AA77,"ON")+COUNTIF(AH77,"ON")-AL77)</f>
        <v>1</v>
      </c>
      <c r="AP77" s="63">
        <f t="shared" ref="AP77:AP82" si="30">AO77*$AP$2</f>
        <v>4</v>
      </c>
      <c r="AQ77" s="53">
        <f t="shared" ref="AQ77:AQ82" si="31">AM77-AP77/8</f>
        <v>13.5</v>
      </c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</row>
    <row r="78" spans="1:56" ht="22" customHeight="1" x14ac:dyDescent="0.35">
      <c r="A78" s="8" t="s">
        <v>181</v>
      </c>
      <c r="B78" s="8" t="s">
        <v>182</v>
      </c>
      <c r="C78" s="8" t="s">
        <v>180</v>
      </c>
      <c r="D78" s="26" t="s">
        <v>3</v>
      </c>
      <c r="E78" s="26" t="s">
        <v>3</v>
      </c>
      <c r="F78" s="26" t="s">
        <v>3</v>
      </c>
      <c r="G78" s="27" t="s">
        <v>7</v>
      </c>
      <c r="H78" s="28" t="s">
        <v>11</v>
      </c>
      <c r="I78" s="26" t="s">
        <v>3</v>
      </c>
      <c r="J78" s="26" t="s">
        <v>3</v>
      </c>
      <c r="K78" s="26" t="s">
        <v>3</v>
      </c>
      <c r="L78" s="26" t="s">
        <v>3</v>
      </c>
      <c r="M78" s="26" t="s">
        <v>3</v>
      </c>
      <c r="N78" s="27" t="s">
        <v>7</v>
      </c>
      <c r="O78" s="28" t="s">
        <v>11</v>
      </c>
      <c r="P78" s="26" t="s">
        <v>3</v>
      </c>
      <c r="Q78" s="22" t="s">
        <v>5</v>
      </c>
      <c r="R78" s="22" t="s">
        <v>5</v>
      </c>
      <c r="S78" s="26" t="s">
        <v>3</v>
      </c>
      <c r="T78" s="26" t="s">
        <v>3</v>
      </c>
      <c r="U78" s="27" t="s">
        <v>7</v>
      </c>
      <c r="V78" s="28" t="s">
        <v>11</v>
      </c>
      <c r="W78" s="26" t="s">
        <v>3</v>
      </c>
      <c r="X78" s="26" t="s">
        <v>3</v>
      </c>
      <c r="Y78" s="26" t="s">
        <v>3</v>
      </c>
      <c r="Z78" s="26" t="s">
        <v>3</v>
      </c>
      <c r="AA78" s="26" t="s">
        <v>3</v>
      </c>
      <c r="AB78" s="27" t="s">
        <v>7</v>
      </c>
      <c r="AC78" s="28" t="s">
        <v>11</v>
      </c>
      <c r="AD78" s="22" t="s">
        <v>5</v>
      </c>
      <c r="AE78" s="22" t="s">
        <v>5</v>
      </c>
      <c r="AF78" s="26" t="s">
        <v>3</v>
      </c>
      <c r="AG78" s="26" t="s">
        <v>3</v>
      </c>
      <c r="AH78" s="26" t="s">
        <v>3</v>
      </c>
      <c r="AI78" s="8">
        <f t="shared" si="24"/>
        <v>19</v>
      </c>
      <c r="AJ78" s="8">
        <f t="shared" si="25"/>
        <v>4</v>
      </c>
      <c r="AK78" s="29">
        <f t="shared" si="26"/>
        <v>4</v>
      </c>
      <c r="AL78" s="62">
        <v>4</v>
      </c>
      <c r="AM78" s="33">
        <f t="shared" si="27"/>
        <v>25</v>
      </c>
      <c r="AN78" s="63">
        <f t="shared" si="28"/>
        <v>184</v>
      </c>
      <c r="AO78" s="63">
        <f t="shared" si="29"/>
        <v>1</v>
      </c>
      <c r="AP78" s="63">
        <f t="shared" si="30"/>
        <v>4</v>
      </c>
      <c r="AQ78" s="53">
        <f t="shared" si="31"/>
        <v>24.5</v>
      </c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</row>
    <row r="79" spans="1:56" ht="22" customHeight="1" x14ac:dyDescent="0.35">
      <c r="A79" s="8" t="s">
        <v>183</v>
      </c>
      <c r="B79" s="8" t="s">
        <v>184</v>
      </c>
      <c r="C79" s="8" t="s">
        <v>180</v>
      </c>
      <c r="D79" s="26" t="s">
        <v>3</v>
      </c>
      <c r="E79" s="26" t="s">
        <v>3</v>
      </c>
      <c r="F79" s="26" t="s">
        <v>3</v>
      </c>
      <c r="G79" s="23" t="s">
        <v>7</v>
      </c>
      <c r="H79" s="24" t="s">
        <v>9</v>
      </c>
      <c r="I79" s="22" t="s">
        <v>5</v>
      </c>
      <c r="J79" s="26" t="s">
        <v>3</v>
      </c>
      <c r="K79" s="26" t="s">
        <v>3</v>
      </c>
      <c r="L79" s="26" t="s">
        <v>3</v>
      </c>
      <c r="M79" s="26" t="s">
        <v>3</v>
      </c>
      <c r="N79" s="27" t="s">
        <v>7</v>
      </c>
      <c r="O79" s="28" t="s">
        <v>11</v>
      </c>
      <c r="P79" s="26" t="s">
        <v>3</v>
      </c>
      <c r="Q79" s="26" t="s">
        <v>3</v>
      </c>
      <c r="R79" s="26" t="s">
        <v>3</v>
      </c>
      <c r="S79" s="26" t="s">
        <v>3</v>
      </c>
      <c r="T79" s="26" t="s">
        <v>3</v>
      </c>
      <c r="U79" s="23" t="s">
        <v>7</v>
      </c>
      <c r="V79" s="24" t="s">
        <v>9</v>
      </c>
      <c r="W79" s="26" t="s">
        <v>3</v>
      </c>
      <c r="X79" s="26" t="s">
        <v>3</v>
      </c>
      <c r="Y79" s="26" t="s">
        <v>3</v>
      </c>
      <c r="Z79" s="26" t="s">
        <v>3</v>
      </c>
      <c r="AA79" s="26" t="s">
        <v>3</v>
      </c>
      <c r="AB79" s="27" t="s">
        <v>7</v>
      </c>
      <c r="AC79" s="28" t="s">
        <v>11</v>
      </c>
      <c r="AD79" s="26" t="s">
        <v>3</v>
      </c>
      <c r="AE79" s="26" t="s">
        <v>3</v>
      </c>
      <c r="AF79" s="26" t="s">
        <v>3</v>
      </c>
      <c r="AG79" s="26" t="s">
        <v>3</v>
      </c>
      <c r="AH79" s="26" t="s">
        <v>3</v>
      </c>
      <c r="AI79" s="8">
        <f t="shared" si="24"/>
        <v>22</v>
      </c>
      <c r="AJ79" s="8">
        <f t="shared" si="25"/>
        <v>1</v>
      </c>
      <c r="AK79" s="29">
        <f t="shared" si="26"/>
        <v>2</v>
      </c>
      <c r="AL79" s="62">
        <v>2</v>
      </c>
      <c r="AM79" s="33">
        <f t="shared" si="27"/>
        <v>25</v>
      </c>
      <c r="AN79" s="63">
        <f t="shared" si="28"/>
        <v>184</v>
      </c>
      <c r="AO79" s="63">
        <f t="shared" si="29"/>
        <v>3</v>
      </c>
      <c r="AP79" s="63">
        <f t="shared" si="30"/>
        <v>12</v>
      </c>
      <c r="AQ79" s="53">
        <f t="shared" si="31"/>
        <v>23.5</v>
      </c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</row>
    <row r="80" spans="1:56" ht="22" customHeight="1" x14ac:dyDescent="0.35">
      <c r="A80" s="8" t="s">
        <v>185</v>
      </c>
      <c r="B80" s="8" t="s">
        <v>186</v>
      </c>
      <c r="C80" s="8" t="s">
        <v>180</v>
      </c>
      <c r="D80" s="26" t="s">
        <v>3</v>
      </c>
      <c r="E80" s="26" t="s">
        <v>3</v>
      </c>
      <c r="F80" s="26" t="s">
        <v>3</v>
      </c>
      <c r="G80" s="27" t="s">
        <v>7</v>
      </c>
      <c r="H80" s="28" t="s">
        <v>11</v>
      </c>
      <c r="I80" s="26" t="s">
        <v>3</v>
      </c>
      <c r="J80" s="26" t="s">
        <v>3</v>
      </c>
      <c r="K80" s="26" t="s">
        <v>3</v>
      </c>
      <c r="L80" s="26" t="s">
        <v>3</v>
      </c>
      <c r="M80" s="26" t="s">
        <v>3</v>
      </c>
      <c r="N80" s="23" t="s">
        <v>7</v>
      </c>
      <c r="O80" s="24" t="s">
        <v>9</v>
      </c>
      <c r="P80" s="26" t="s">
        <v>3</v>
      </c>
      <c r="Q80" s="26" t="s">
        <v>3</v>
      </c>
      <c r="R80" s="26" t="s">
        <v>3</v>
      </c>
      <c r="S80" s="26" t="s">
        <v>3</v>
      </c>
      <c r="T80" s="26" t="s">
        <v>3</v>
      </c>
      <c r="U80" s="27" t="s">
        <v>7</v>
      </c>
      <c r="V80" s="28" t="s">
        <v>11</v>
      </c>
      <c r="W80" s="26" t="s">
        <v>3</v>
      </c>
      <c r="X80" s="26" t="s">
        <v>3</v>
      </c>
      <c r="Y80" s="26" t="s">
        <v>3</v>
      </c>
      <c r="Z80" s="26" t="s">
        <v>3</v>
      </c>
      <c r="AA80" s="26" t="s">
        <v>3</v>
      </c>
      <c r="AB80" s="23" t="s">
        <v>7</v>
      </c>
      <c r="AC80" s="24" t="s">
        <v>9</v>
      </c>
      <c r="AD80" s="26" t="s">
        <v>3</v>
      </c>
      <c r="AE80" s="26" t="s">
        <v>3</v>
      </c>
      <c r="AF80" s="26" t="s">
        <v>3</v>
      </c>
      <c r="AG80" s="26" t="s">
        <v>3</v>
      </c>
      <c r="AH80" s="26" t="s">
        <v>3</v>
      </c>
      <c r="AI80" s="8">
        <f t="shared" si="24"/>
        <v>23</v>
      </c>
      <c r="AJ80" s="8">
        <f t="shared" si="25"/>
        <v>0</v>
      </c>
      <c r="AK80" s="29">
        <f t="shared" si="26"/>
        <v>2</v>
      </c>
      <c r="AL80" s="62">
        <v>2</v>
      </c>
      <c r="AM80" s="33">
        <f t="shared" si="27"/>
        <v>26</v>
      </c>
      <c r="AN80" s="63">
        <f t="shared" si="28"/>
        <v>184</v>
      </c>
      <c r="AO80" s="63">
        <f t="shared" si="29"/>
        <v>3</v>
      </c>
      <c r="AP80" s="63">
        <f t="shared" si="30"/>
        <v>12</v>
      </c>
      <c r="AQ80" s="53">
        <f t="shared" si="31"/>
        <v>24.5</v>
      </c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</row>
    <row r="81" spans="1:56" ht="22" customHeight="1" x14ac:dyDescent="0.35">
      <c r="A81" s="8" t="s">
        <v>187</v>
      </c>
      <c r="B81" s="8" t="s">
        <v>188</v>
      </c>
      <c r="C81" s="8" t="s">
        <v>180</v>
      </c>
      <c r="D81" s="22" t="s">
        <v>5</v>
      </c>
      <c r="E81" s="22" t="s">
        <v>5</v>
      </c>
      <c r="F81" s="26" t="s">
        <v>3</v>
      </c>
      <c r="G81" s="27" t="s">
        <v>7</v>
      </c>
      <c r="H81" s="28" t="s">
        <v>11</v>
      </c>
      <c r="I81" s="26" t="s">
        <v>3</v>
      </c>
      <c r="J81" s="26" t="s">
        <v>3</v>
      </c>
      <c r="K81" s="26" t="s">
        <v>3</v>
      </c>
      <c r="L81" s="26" t="s">
        <v>3</v>
      </c>
      <c r="M81" s="26" t="s">
        <v>3</v>
      </c>
      <c r="N81" s="23" t="s">
        <v>7</v>
      </c>
      <c r="O81" s="24" t="s">
        <v>9</v>
      </c>
      <c r="P81" s="26" t="s">
        <v>3</v>
      </c>
      <c r="Q81" s="26" t="s">
        <v>3</v>
      </c>
      <c r="R81" s="26" t="s">
        <v>3</v>
      </c>
      <c r="S81" s="26" t="s">
        <v>3</v>
      </c>
      <c r="T81" s="26" t="s">
        <v>3</v>
      </c>
      <c r="U81" s="27" t="s">
        <v>7</v>
      </c>
      <c r="V81" s="28" t="s">
        <v>11</v>
      </c>
      <c r="W81" s="26" t="s">
        <v>3</v>
      </c>
      <c r="X81" s="26" t="s">
        <v>3</v>
      </c>
      <c r="Y81" s="26" t="s">
        <v>3</v>
      </c>
      <c r="Z81" s="26" t="s">
        <v>3</v>
      </c>
      <c r="AA81" s="26" t="s">
        <v>3</v>
      </c>
      <c r="AB81" s="27" t="s">
        <v>7</v>
      </c>
      <c r="AC81" s="28" t="s">
        <v>11</v>
      </c>
      <c r="AD81" s="26" t="s">
        <v>3</v>
      </c>
      <c r="AE81" s="26" t="s">
        <v>3</v>
      </c>
      <c r="AF81" s="26" t="s">
        <v>3</v>
      </c>
      <c r="AG81" s="26" t="s">
        <v>3</v>
      </c>
      <c r="AH81" s="26" t="s">
        <v>3</v>
      </c>
      <c r="AI81" s="8">
        <f t="shared" si="24"/>
        <v>21</v>
      </c>
      <c r="AJ81" s="8">
        <f t="shared" si="25"/>
        <v>2</v>
      </c>
      <c r="AK81" s="29">
        <f t="shared" si="26"/>
        <v>3</v>
      </c>
      <c r="AL81" s="62">
        <v>3</v>
      </c>
      <c r="AM81" s="33">
        <f t="shared" si="27"/>
        <v>25.5</v>
      </c>
      <c r="AN81" s="63">
        <f t="shared" si="28"/>
        <v>184</v>
      </c>
      <c r="AO81" s="63">
        <f t="shared" si="29"/>
        <v>2</v>
      </c>
      <c r="AP81" s="63">
        <f t="shared" si="30"/>
        <v>8</v>
      </c>
      <c r="AQ81" s="53">
        <f t="shared" si="31"/>
        <v>24.5</v>
      </c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</row>
    <row r="82" spans="1:56" ht="22" customHeight="1" x14ac:dyDescent="0.35">
      <c r="A82" s="8" t="s">
        <v>189</v>
      </c>
      <c r="B82" s="8" t="s">
        <v>190</v>
      </c>
      <c r="C82" s="8" t="s">
        <v>180</v>
      </c>
      <c r="D82" s="26" t="s">
        <v>3</v>
      </c>
      <c r="E82" s="26" t="s">
        <v>3</v>
      </c>
      <c r="F82" s="26" t="s">
        <v>3</v>
      </c>
      <c r="G82" s="23" t="s">
        <v>7</v>
      </c>
      <c r="H82" s="24" t="s">
        <v>9</v>
      </c>
      <c r="I82" s="26" t="s">
        <v>3</v>
      </c>
      <c r="J82" s="26" t="s">
        <v>3</v>
      </c>
      <c r="K82" s="26" t="s">
        <v>3</v>
      </c>
      <c r="L82" s="26" t="s">
        <v>3</v>
      </c>
      <c r="M82" s="26" t="s">
        <v>3</v>
      </c>
      <c r="N82" s="27" t="s">
        <v>7</v>
      </c>
      <c r="O82" s="28" t="s">
        <v>11</v>
      </c>
      <c r="P82" s="26" t="s">
        <v>3</v>
      </c>
      <c r="Q82" s="26" t="s">
        <v>3</v>
      </c>
      <c r="R82" s="26" t="s">
        <v>3</v>
      </c>
      <c r="S82" s="26" t="s">
        <v>3</v>
      </c>
      <c r="T82" s="26" t="s">
        <v>3</v>
      </c>
      <c r="U82" s="27" t="s">
        <v>7</v>
      </c>
      <c r="V82" s="28" t="s">
        <v>11</v>
      </c>
      <c r="W82" s="26" t="s">
        <v>3</v>
      </c>
      <c r="X82" s="26" t="s">
        <v>3</v>
      </c>
      <c r="Y82" s="22" t="s">
        <v>5</v>
      </c>
      <c r="Z82" s="22" t="s">
        <v>5</v>
      </c>
      <c r="AA82" s="26" t="s">
        <v>3</v>
      </c>
      <c r="AB82" s="27" t="s">
        <v>7</v>
      </c>
      <c r="AC82" s="28" t="s">
        <v>11</v>
      </c>
      <c r="AD82" s="26" t="s">
        <v>3</v>
      </c>
      <c r="AE82" s="26" t="s">
        <v>3</v>
      </c>
      <c r="AF82" s="26" t="s">
        <v>3</v>
      </c>
      <c r="AG82" s="26" t="s">
        <v>3</v>
      </c>
      <c r="AH82" s="26" t="s">
        <v>3</v>
      </c>
      <c r="AI82" s="8">
        <f t="shared" si="24"/>
        <v>21</v>
      </c>
      <c r="AJ82" s="8">
        <f t="shared" si="25"/>
        <v>2</v>
      </c>
      <c r="AK82" s="29">
        <f t="shared" si="26"/>
        <v>3</v>
      </c>
      <c r="AL82" s="62">
        <v>3</v>
      </c>
      <c r="AM82" s="33">
        <f t="shared" si="27"/>
        <v>25.5</v>
      </c>
      <c r="AN82" s="63">
        <f t="shared" si="28"/>
        <v>184</v>
      </c>
      <c r="AO82" s="63">
        <f t="shared" si="29"/>
        <v>2</v>
      </c>
      <c r="AP82" s="63">
        <f t="shared" si="30"/>
        <v>8</v>
      </c>
      <c r="AQ82" s="53">
        <f t="shared" si="31"/>
        <v>24.5</v>
      </c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</row>
    <row r="83" spans="1:56" x14ac:dyDescent="0.35"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</row>
    <row r="84" spans="1:56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</row>
    <row r="85" spans="1:56" ht="22" customHeight="1" x14ac:dyDescent="0.35">
      <c r="A85" s="8" t="s">
        <v>192</v>
      </c>
      <c r="B85" s="8" t="s">
        <v>193</v>
      </c>
      <c r="C85" s="8" t="s">
        <v>194</v>
      </c>
      <c r="D85" s="22" t="s">
        <v>5</v>
      </c>
      <c r="E85" s="22" t="s">
        <v>5</v>
      </c>
      <c r="F85" s="22" t="s">
        <v>5</v>
      </c>
      <c r="G85" s="23" t="s">
        <v>7</v>
      </c>
      <c r="H85" s="24" t="s">
        <v>9</v>
      </c>
      <c r="I85" s="26" t="s">
        <v>3</v>
      </c>
      <c r="J85" s="26" t="s">
        <v>3</v>
      </c>
      <c r="K85" s="26" t="s">
        <v>3</v>
      </c>
      <c r="L85" s="26" t="s">
        <v>3</v>
      </c>
      <c r="M85" s="26" t="s">
        <v>3</v>
      </c>
      <c r="N85" s="23" t="s">
        <v>7</v>
      </c>
      <c r="O85" s="24" t="s">
        <v>9</v>
      </c>
      <c r="P85" s="26" t="s">
        <v>3</v>
      </c>
      <c r="Q85" s="26" t="s">
        <v>3</v>
      </c>
      <c r="R85" s="26" t="s">
        <v>3</v>
      </c>
      <c r="S85" s="26" t="s">
        <v>3</v>
      </c>
      <c r="T85" s="26" t="s">
        <v>3</v>
      </c>
      <c r="U85" s="27" t="s">
        <v>7</v>
      </c>
      <c r="V85" s="24" t="s">
        <v>9</v>
      </c>
      <c r="W85" s="26" t="s">
        <v>3</v>
      </c>
      <c r="X85" s="26" t="s">
        <v>3</v>
      </c>
      <c r="Y85" s="26" t="s">
        <v>3</v>
      </c>
      <c r="Z85" s="26" t="s">
        <v>3</v>
      </c>
      <c r="AA85" s="26" t="s">
        <v>3</v>
      </c>
      <c r="AB85" s="23" t="s">
        <v>7</v>
      </c>
      <c r="AC85" s="24" t="s">
        <v>9</v>
      </c>
      <c r="AD85" s="26" t="s">
        <v>3</v>
      </c>
      <c r="AE85" s="26" t="s">
        <v>3</v>
      </c>
      <c r="AF85" s="26" t="s">
        <v>3</v>
      </c>
      <c r="AG85" s="26" t="s">
        <v>3</v>
      </c>
      <c r="AH85" s="26" t="s">
        <v>3</v>
      </c>
      <c r="AI85" s="8">
        <f>COUNTIF(D85:AH85,"ON")</f>
        <v>20</v>
      </c>
      <c r="AJ85" s="8">
        <f>COUNTIF(D85:AH85,"OFF")</f>
        <v>3</v>
      </c>
      <c r="AK85" s="8">
        <f>COUNTIF(D85:AH85,"OT")</f>
        <v>0</v>
      </c>
      <c r="AL85" s="62">
        <v>1</v>
      </c>
      <c r="AM85" s="33">
        <f>AI85+AK85+AL85*0.5</f>
        <v>20.5</v>
      </c>
      <c r="AN85" s="63">
        <f>NETWORKDAYS(DATE(2025,10,1),EOMONTH(DATE(2025,10,1),0))*8</f>
        <v>184</v>
      </c>
      <c r="AO85" s="63">
        <f>MAX(0,COUNTIF(F85,"ON")+COUNTIF(M85,"ON")+COUNTIF(T85,"ON")+COUNTIF(AA85,"ON")+COUNTIF(AH85,"ON")-AL85)</f>
        <v>3</v>
      </c>
      <c r="AP85" s="63">
        <f>AO85*$AP$2</f>
        <v>12</v>
      </c>
      <c r="AQ85" s="53">
        <f>AM85-AP85/8</f>
        <v>19</v>
      </c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</row>
    <row r="86" spans="1:56" ht="22" customHeight="1" x14ac:dyDescent="0.35">
      <c r="A86" s="8" t="s">
        <v>195</v>
      </c>
      <c r="B86" s="8" t="s">
        <v>196</v>
      </c>
      <c r="C86" s="8" t="s">
        <v>194</v>
      </c>
      <c r="D86" s="26" t="s">
        <v>3</v>
      </c>
      <c r="E86" s="26" t="s">
        <v>3</v>
      </c>
      <c r="F86" s="26" t="s">
        <v>3</v>
      </c>
      <c r="G86" s="27" t="s">
        <v>7</v>
      </c>
      <c r="H86" s="28" t="s">
        <v>11</v>
      </c>
      <c r="I86" s="26" t="s">
        <v>3</v>
      </c>
      <c r="J86" s="26" t="s">
        <v>3</v>
      </c>
      <c r="K86" s="26" t="s">
        <v>3</v>
      </c>
      <c r="L86" s="26" t="s">
        <v>3</v>
      </c>
      <c r="M86" s="26" t="s">
        <v>3</v>
      </c>
      <c r="N86" s="23" t="s">
        <v>7</v>
      </c>
      <c r="O86" s="24" t="s">
        <v>9</v>
      </c>
      <c r="P86" s="22" t="s">
        <v>5</v>
      </c>
      <c r="Q86" s="26" t="s">
        <v>3</v>
      </c>
      <c r="R86" s="26" t="s">
        <v>3</v>
      </c>
      <c r="S86" s="26" t="s">
        <v>3</v>
      </c>
      <c r="T86" s="26" t="s">
        <v>3</v>
      </c>
      <c r="U86" s="23" t="s">
        <v>7</v>
      </c>
      <c r="V86" s="28" t="s">
        <v>11</v>
      </c>
      <c r="W86" s="26" t="s">
        <v>3</v>
      </c>
      <c r="X86" s="26" t="s">
        <v>3</v>
      </c>
      <c r="Y86" s="26" t="s">
        <v>3</v>
      </c>
      <c r="Z86" s="26" t="s">
        <v>3</v>
      </c>
      <c r="AA86" s="26" t="s">
        <v>3</v>
      </c>
      <c r="AB86" s="23" t="s">
        <v>7</v>
      </c>
      <c r="AC86" s="24" t="s">
        <v>9</v>
      </c>
      <c r="AD86" s="26" t="s">
        <v>3</v>
      </c>
      <c r="AE86" s="26" t="s">
        <v>3</v>
      </c>
      <c r="AF86" s="26" t="s">
        <v>3</v>
      </c>
      <c r="AG86" s="26" t="s">
        <v>3</v>
      </c>
      <c r="AH86" s="26" t="s">
        <v>3</v>
      </c>
      <c r="AI86" s="8">
        <f>COUNTIF(D86:AH86,"ON")</f>
        <v>22</v>
      </c>
      <c r="AJ86" s="8">
        <f>COUNTIF(D86:AH86,"OFF")</f>
        <v>1</v>
      </c>
      <c r="AK86" s="29">
        <f>COUNTIF(D86:AH86,"OT")</f>
        <v>2</v>
      </c>
      <c r="AL86" s="62">
        <v>1</v>
      </c>
      <c r="AM86" s="33">
        <f>AI86+AK86+AL86*0.5</f>
        <v>24.5</v>
      </c>
      <c r="AN86" s="63">
        <f>NETWORKDAYS(DATE(2025,10,1),EOMONTH(DATE(2025,10,1),0))*8</f>
        <v>184</v>
      </c>
      <c r="AO86" s="63">
        <f>MAX(0,COUNTIF(F86,"ON")+COUNTIF(M86,"ON")+COUNTIF(T86,"ON")+COUNTIF(AA86,"ON")+COUNTIF(AH86,"ON")-AL86)</f>
        <v>4</v>
      </c>
      <c r="AP86" s="63">
        <f>AO86*$AP$2</f>
        <v>16</v>
      </c>
      <c r="AQ86" s="53">
        <f>AM86-AP86/8</f>
        <v>22.5</v>
      </c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</row>
    <row r="87" spans="1:56" ht="22" customHeight="1" x14ac:dyDescent="0.35">
      <c r="A87" s="8" t="s">
        <v>197</v>
      </c>
      <c r="B87" s="8" t="s">
        <v>198</v>
      </c>
      <c r="C87" s="8" t="s">
        <v>194</v>
      </c>
      <c r="D87" s="26" t="s">
        <v>3</v>
      </c>
      <c r="E87" s="26" t="s">
        <v>3</v>
      </c>
      <c r="F87" s="26" t="s">
        <v>3</v>
      </c>
      <c r="G87" s="23" t="s">
        <v>7</v>
      </c>
      <c r="H87" s="24" t="s">
        <v>9</v>
      </c>
      <c r="I87" s="26" t="s">
        <v>3</v>
      </c>
      <c r="J87" s="26" t="s">
        <v>3</v>
      </c>
      <c r="K87" s="26" t="s">
        <v>3</v>
      </c>
      <c r="L87" s="26" t="s">
        <v>3</v>
      </c>
      <c r="M87" s="26" t="s">
        <v>3</v>
      </c>
      <c r="N87" s="27" t="s">
        <v>7</v>
      </c>
      <c r="O87" s="28" t="s">
        <v>11</v>
      </c>
      <c r="P87" s="26" t="s">
        <v>3</v>
      </c>
      <c r="Q87" s="26" t="s">
        <v>3</v>
      </c>
      <c r="R87" s="26" t="s">
        <v>3</v>
      </c>
      <c r="S87" s="26" t="s">
        <v>3</v>
      </c>
      <c r="T87" s="26" t="s">
        <v>3</v>
      </c>
      <c r="U87" s="23" t="s">
        <v>7</v>
      </c>
      <c r="V87" s="24" t="s">
        <v>9</v>
      </c>
      <c r="W87" s="26" t="s">
        <v>3</v>
      </c>
      <c r="X87" s="26" t="s">
        <v>3</v>
      </c>
      <c r="Y87" s="26" t="s">
        <v>3</v>
      </c>
      <c r="Z87" s="26" t="s">
        <v>3</v>
      </c>
      <c r="AA87" s="26" t="s">
        <v>3</v>
      </c>
      <c r="AB87" s="27" t="s">
        <v>7</v>
      </c>
      <c r="AC87" s="24" t="s">
        <v>9</v>
      </c>
      <c r="AD87" s="26" t="s">
        <v>3</v>
      </c>
      <c r="AE87" s="26" t="s">
        <v>3</v>
      </c>
      <c r="AF87" s="26" t="s">
        <v>3</v>
      </c>
      <c r="AG87" s="26" t="s">
        <v>3</v>
      </c>
      <c r="AH87" s="26" t="s">
        <v>3</v>
      </c>
      <c r="AI87" s="8">
        <f>COUNTIF(D87:AH87,"ON")</f>
        <v>23</v>
      </c>
      <c r="AJ87" s="8">
        <f>COUNTIF(D87:AH87,"OFF")</f>
        <v>0</v>
      </c>
      <c r="AK87" s="29">
        <f>COUNTIF(D87:AH87,"OT")</f>
        <v>1</v>
      </c>
      <c r="AL87" s="62">
        <v>2</v>
      </c>
      <c r="AM87" s="33">
        <f>AI87+AK87+AL87*0.5</f>
        <v>25</v>
      </c>
      <c r="AN87" s="63">
        <f>NETWORKDAYS(DATE(2025,10,1),EOMONTH(DATE(2025,10,1),0))*8</f>
        <v>184</v>
      </c>
      <c r="AO87" s="63">
        <f>MAX(0,COUNTIF(F87,"ON")+COUNTIF(M87,"ON")+COUNTIF(T87,"ON")+COUNTIF(AA87,"ON")+COUNTIF(AH87,"ON")-AL87)</f>
        <v>3</v>
      </c>
      <c r="AP87" s="63">
        <f>AO87*$AP$2</f>
        <v>12</v>
      </c>
      <c r="AQ87" s="53">
        <f>AM87-AP87/8</f>
        <v>23.5</v>
      </c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</row>
    <row r="88" spans="1:56" ht="22" customHeight="1" x14ac:dyDescent="0.35">
      <c r="A88" s="8" t="s">
        <v>199</v>
      </c>
      <c r="B88" s="8" t="s">
        <v>200</v>
      </c>
      <c r="C88" s="8" t="s">
        <v>194</v>
      </c>
      <c r="D88" s="22" t="s">
        <v>5</v>
      </c>
      <c r="E88" s="22" t="s">
        <v>5</v>
      </c>
      <c r="F88" s="22" t="s">
        <v>5</v>
      </c>
      <c r="G88" s="23" t="s">
        <v>7</v>
      </c>
      <c r="H88" s="24" t="s">
        <v>9</v>
      </c>
      <c r="I88" s="22" t="s">
        <v>5</v>
      </c>
      <c r="J88" s="22" t="s">
        <v>5</v>
      </c>
      <c r="K88" s="22" t="s">
        <v>5</v>
      </c>
      <c r="L88" s="22" t="s">
        <v>5</v>
      </c>
      <c r="M88" s="22" t="s">
        <v>5</v>
      </c>
      <c r="N88" s="23" t="s">
        <v>7</v>
      </c>
      <c r="O88" s="24" t="s">
        <v>9</v>
      </c>
      <c r="P88" s="26" t="s">
        <v>3</v>
      </c>
      <c r="Q88" s="26" t="s">
        <v>3</v>
      </c>
      <c r="R88" s="26" t="s">
        <v>3</v>
      </c>
      <c r="S88" s="26" t="s">
        <v>3</v>
      </c>
      <c r="T88" s="26" t="s">
        <v>3</v>
      </c>
      <c r="U88" s="23" t="s">
        <v>7</v>
      </c>
      <c r="V88" s="24" t="s">
        <v>9</v>
      </c>
      <c r="W88" s="26" t="s">
        <v>3</v>
      </c>
      <c r="X88" s="26" t="s">
        <v>3</v>
      </c>
      <c r="Y88" s="26" t="s">
        <v>3</v>
      </c>
      <c r="Z88" s="26" t="s">
        <v>3</v>
      </c>
      <c r="AA88" s="26" t="s">
        <v>3</v>
      </c>
      <c r="AB88" s="23" t="s">
        <v>7</v>
      </c>
      <c r="AC88" s="28" t="s">
        <v>11</v>
      </c>
      <c r="AD88" s="26" t="s">
        <v>3</v>
      </c>
      <c r="AE88" s="26" t="s">
        <v>3</v>
      </c>
      <c r="AF88" s="26" t="s">
        <v>3</v>
      </c>
      <c r="AG88" s="26" t="s">
        <v>3</v>
      </c>
      <c r="AH88" s="26" t="s">
        <v>3</v>
      </c>
      <c r="AI88" s="8">
        <f>COUNTIF(D88:AH88,"ON")</f>
        <v>15</v>
      </c>
      <c r="AJ88" s="8">
        <f>COUNTIF(D88:AH88,"OFF")</f>
        <v>8</v>
      </c>
      <c r="AK88" s="29">
        <f>COUNTIF(D88:AH88,"OT")</f>
        <v>1</v>
      </c>
      <c r="AL88" s="62">
        <v>0</v>
      </c>
      <c r="AM88" s="33">
        <f>AI88+AK88+AL88*0.5</f>
        <v>16</v>
      </c>
      <c r="AN88" s="63">
        <f>NETWORKDAYS(DATE(2025,10,1),EOMONTH(DATE(2025,10,1),0))*8</f>
        <v>184</v>
      </c>
      <c r="AO88" s="63">
        <f>MAX(0,COUNTIF(F88,"ON")+COUNTIF(M88,"ON")+COUNTIF(T88,"ON")+COUNTIF(AA88,"ON")+COUNTIF(AH88,"ON")-AL88)</f>
        <v>3</v>
      </c>
      <c r="AP88" s="63">
        <f>AO88*$AP$2</f>
        <v>12</v>
      </c>
      <c r="AQ88" s="53">
        <f>AM88-AP88/8</f>
        <v>14.5</v>
      </c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</row>
    <row r="89" spans="1:56" ht="22" customHeight="1" x14ac:dyDescent="0.35">
      <c r="A89" s="8" t="s">
        <v>201</v>
      </c>
      <c r="B89" s="8" t="s">
        <v>202</v>
      </c>
      <c r="C89" s="8" t="s">
        <v>194</v>
      </c>
      <c r="D89" s="22" t="s">
        <v>5</v>
      </c>
      <c r="E89" s="22" t="s">
        <v>5</v>
      </c>
      <c r="F89" s="22" t="s">
        <v>5</v>
      </c>
      <c r="G89" s="23" t="s">
        <v>7</v>
      </c>
      <c r="H89" s="24" t="s">
        <v>9</v>
      </c>
      <c r="I89" s="22" t="s">
        <v>5</v>
      </c>
      <c r="J89" s="22" t="s">
        <v>5</v>
      </c>
      <c r="K89" s="22" t="s">
        <v>5</v>
      </c>
      <c r="L89" s="22" t="s">
        <v>5</v>
      </c>
      <c r="M89" s="22" t="s">
        <v>5</v>
      </c>
      <c r="N89" s="23" t="s">
        <v>7</v>
      </c>
      <c r="O89" s="24" t="s">
        <v>9</v>
      </c>
      <c r="P89" s="22" t="s">
        <v>5</v>
      </c>
      <c r="Q89" s="22" t="s">
        <v>5</v>
      </c>
      <c r="R89" s="22" t="s">
        <v>5</v>
      </c>
      <c r="S89" s="22" t="s">
        <v>5</v>
      </c>
      <c r="T89" s="22" t="s">
        <v>5</v>
      </c>
      <c r="U89" s="23" t="s">
        <v>7</v>
      </c>
      <c r="V89" s="24" t="s">
        <v>9</v>
      </c>
      <c r="W89" s="22" t="s">
        <v>5</v>
      </c>
      <c r="X89" s="22" t="s">
        <v>5</v>
      </c>
      <c r="Y89" s="22" t="s">
        <v>5</v>
      </c>
      <c r="Z89" s="22" t="s">
        <v>5</v>
      </c>
      <c r="AA89" s="22" t="s">
        <v>5</v>
      </c>
      <c r="AB89" s="23" t="s">
        <v>7</v>
      </c>
      <c r="AC89" s="24" t="s">
        <v>9</v>
      </c>
      <c r="AD89" s="22" t="s">
        <v>5</v>
      </c>
      <c r="AE89" s="22" t="s">
        <v>5</v>
      </c>
      <c r="AF89" s="22" t="s">
        <v>5</v>
      </c>
      <c r="AG89" s="22" t="s">
        <v>5</v>
      </c>
      <c r="AH89" s="22" t="s">
        <v>5</v>
      </c>
      <c r="AI89" s="8">
        <f>COUNTIF(D89:AH89,"ON")</f>
        <v>0</v>
      </c>
      <c r="AJ89" s="25">
        <f>COUNTIF(D89:AH89,"OFF")</f>
        <v>23</v>
      </c>
      <c r="AK89" s="8">
        <f>COUNTIF(D89:AH89,"OT")</f>
        <v>0</v>
      </c>
      <c r="AL89" s="62">
        <v>0</v>
      </c>
      <c r="AM89" s="33">
        <f>AI89+AK89+AL89*0.5</f>
        <v>0</v>
      </c>
      <c r="AN89" s="63">
        <f>NETWORKDAYS(DATE(2025,10,1),EOMONTH(DATE(2025,10,1),0))*8</f>
        <v>184</v>
      </c>
      <c r="AO89" s="63">
        <f>MAX(0,COUNTIF(F89,"ON")+COUNTIF(M89,"ON")+COUNTIF(T89,"ON")+COUNTIF(AA89,"ON")+COUNTIF(AH89,"ON")-AL89)</f>
        <v>0</v>
      </c>
      <c r="AP89" s="63">
        <f>AO89*$AP$2</f>
        <v>0</v>
      </c>
      <c r="AQ89" s="53">
        <f>AM89-AP89/8</f>
        <v>0</v>
      </c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</row>
    <row r="90" spans="1:56" x14ac:dyDescent="0.35"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</row>
    <row r="91" spans="1:56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</row>
    <row r="92" spans="1:56" ht="22" customHeight="1" x14ac:dyDescent="0.35">
      <c r="A92" s="8" t="s">
        <v>204</v>
      </c>
      <c r="B92" s="8" t="s">
        <v>205</v>
      </c>
      <c r="C92" s="8" t="s">
        <v>206</v>
      </c>
      <c r="D92" s="26" t="s">
        <v>3</v>
      </c>
      <c r="E92" s="26" t="s">
        <v>3</v>
      </c>
      <c r="F92" s="26" t="s">
        <v>3</v>
      </c>
      <c r="G92" s="23" t="s">
        <v>7</v>
      </c>
      <c r="H92" s="24" t="s">
        <v>9</v>
      </c>
      <c r="I92" s="26" t="s">
        <v>3</v>
      </c>
      <c r="J92" s="26" t="s">
        <v>3</v>
      </c>
      <c r="K92" s="26" t="s">
        <v>3</v>
      </c>
      <c r="L92" s="26" t="s">
        <v>3</v>
      </c>
      <c r="M92" s="26" t="s">
        <v>3</v>
      </c>
      <c r="N92" s="23" t="s">
        <v>7</v>
      </c>
      <c r="O92" s="24" t="s">
        <v>9</v>
      </c>
      <c r="P92" s="26" t="s">
        <v>3</v>
      </c>
      <c r="Q92" s="26" t="s">
        <v>3</v>
      </c>
      <c r="R92" s="26" t="s">
        <v>3</v>
      </c>
      <c r="S92" s="26" t="s">
        <v>3</v>
      </c>
      <c r="T92" s="26" t="s">
        <v>3</v>
      </c>
      <c r="U92" s="23" t="s">
        <v>7</v>
      </c>
      <c r="V92" s="24" t="s">
        <v>9</v>
      </c>
      <c r="W92" s="26" t="s">
        <v>3</v>
      </c>
      <c r="X92" s="26" t="s">
        <v>3</v>
      </c>
      <c r="Y92" s="26" t="s">
        <v>3</v>
      </c>
      <c r="Z92" s="26" t="s">
        <v>3</v>
      </c>
      <c r="AA92" s="26" t="s">
        <v>3</v>
      </c>
      <c r="AB92" s="23" t="s">
        <v>7</v>
      </c>
      <c r="AC92" s="28" t="s">
        <v>11</v>
      </c>
      <c r="AD92" s="26" t="s">
        <v>3</v>
      </c>
      <c r="AE92" s="26" t="s">
        <v>3</v>
      </c>
      <c r="AF92" s="26" t="s">
        <v>3</v>
      </c>
      <c r="AG92" s="26" t="s">
        <v>3</v>
      </c>
      <c r="AH92" s="26" t="s">
        <v>3</v>
      </c>
      <c r="AI92" s="8">
        <f>COUNTIF(D92:AH92,"ON")</f>
        <v>23</v>
      </c>
      <c r="AJ92" s="8">
        <f>COUNTIF(D92:AH92,"OFF")</f>
        <v>0</v>
      </c>
      <c r="AK92" s="29">
        <f>COUNTIF(D92:AH92,"OT")</f>
        <v>1</v>
      </c>
      <c r="AL92" s="62">
        <v>0</v>
      </c>
      <c r="AM92" s="33">
        <f>AI92+AK92+AL92*0.5</f>
        <v>24</v>
      </c>
      <c r="AN92" s="63">
        <f>NETWORKDAYS(DATE(2025,10,1),EOMONTH(DATE(2025,10,1),0))*8</f>
        <v>184</v>
      </c>
      <c r="AO92" s="63">
        <f>MAX(0,COUNTIF(F92,"ON")+COUNTIF(M92,"ON")+COUNTIF(T92,"ON")+COUNTIF(AA92,"ON")+COUNTIF(AH92,"ON")-AL92)</f>
        <v>5</v>
      </c>
      <c r="AP92" s="63">
        <f>AO92*$AP$2</f>
        <v>20</v>
      </c>
      <c r="AQ92" s="53">
        <f>AM92-AP92/8</f>
        <v>21.5</v>
      </c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</row>
    <row r="93" spans="1:56" ht="22" customHeight="1" x14ac:dyDescent="0.35">
      <c r="A93" s="8" t="s">
        <v>207</v>
      </c>
      <c r="B93" s="8" t="s">
        <v>208</v>
      </c>
      <c r="C93" s="8" t="s">
        <v>206</v>
      </c>
      <c r="D93" s="22" t="s">
        <v>5</v>
      </c>
      <c r="E93" s="22" t="s">
        <v>5</v>
      </c>
      <c r="F93" s="22" t="s">
        <v>5</v>
      </c>
      <c r="G93" s="23" t="s">
        <v>7</v>
      </c>
      <c r="H93" s="24" t="s">
        <v>9</v>
      </c>
      <c r="I93" s="22" t="s">
        <v>5</v>
      </c>
      <c r="J93" s="22" t="s">
        <v>5</v>
      </c>
      <c r="K93" s="22" t="s">
        <v>5</v>
      </c>
      <c r="L93" s="22" t="s">
        <v>5</v>
      </c>
      <c r="M93" s="22" t="s">
        <v>5</v>
      </c>
      <c r="N93" s="23" t="s">
        <v>7</v>
      </c>
      <c r="O93" s="24" t="s">
        <v>9</v>
      </c>
      <c r="P93" s="26" t="s">
        <v>3</v>
      </c>
      <c r="Q93" s="26" t="s">
        <v>3</v>
      </c>
      <c r="R93" s="26" t="s">
        <v>3</v>
      </c>
      <c r="S93" s="26" t="s">
        <v>3</v>
      </c>
      <c r="T93" s="26" t="s">
        <v>3</v>
      </c>
      <c r="U93" s="27" t="s">
        <v>7</v>
      </c>
      <c r="V93" s="24" t="s">
        <v>9</v>
      </c>
      <c r="W93" s="26" t="s">
        <v>3</v>
      </c>
      <c r="X93" s="26" t="s">
        <v>3</v>
      </c>
      <c r="Y93" s="26" t="s">
        <v>3</v>
      </c>
      <c r="Z93" s="26" t="s">
        <v>3</v>
      </c>
      <c r="AA93" s="26" t="s">
        <v>3</v>
      </c>
      <c r="AB93" s="23" t="s">
        <v>7</v>
      </c>
      <c r="AC93" s="24" t="s">
        <v>9</v>
      </c>
      <c r="AD93" s="26" t="s">
        <v>3</v>
      </c>
      <c r="AE93" s="26" t="s">
        <v>3</v>
      </c>
      <c r="AF93" s="26" t="s">
        <v>3</v>
      </c>
      <c r="AG93" s="26" t="s">
        <v>3</v>
      </c>
      <c r="AH93" s="26" t="s">
        <v>3</v>
      </c>
      <c r="AI93" s="8">
        <f>COUNTIF(D93:AH93,"ON")</f>
        <v>15</v>
      </c>
      <c r="AJ93" s="8">
        <f>COUNTIF(D93:AH93,"OFF")</f>
        <v>8</v>
      </c>
      <c r="AK93" s="8">
        <f>COUNTIF(D93:AH93,"OT")</f>
        <v>0</v>
      </c>
      <c r="AL93" s="62">
        <v>1</v>
      </c>
      <c r="AM93" s="33">
        <f>AI93+AK93+AL93*0.5</f>
        <v>15.5</v>
      </c>
      <c r="AN93" s="63">
        <f>NETWORKDAYS(DATE(2025,10,1),EOMONTH(DATE(2025,10,1),0))*8</f>
        <v>184</v>
      </c>
      <c r="AO93" s="63">
        <f>MAX(0,COUNTIF(F93,"ON")+COUNTIF(M93,"ON")+COUNTIF(T93,"ON")+COUNTIF(AA93,"ON")+COUNTIF(AH93,"ON")-AL93)</f>
        <v>2</v>
      </c>
      <c r="AP93" s="63">
        <f>AO93*$AP$2</f>
        <v>8</v>
      </c>
      <c r="AQ93" s="53">
        <f>AM93-AP93/8</f>
        <v>14.5</v>
      </c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</row>
    <row r="94" spans="1:56" ht="22" customHeight="1" x14ac:dyDescent="0.35">
      <c r="A94" s="8" t="s">
        <v>209</v>
      </c>
      <c r="B94" s="8" t="s">
        <v>210</v>
      </c>
      <c r="C94" s="8" t="s">
        <v>206</v>
      </c>
      <c r="D94" s="26" t="s">
        <v>3</v>
      </c>
      <c r="E94" s="26" t="s">
        <v>3</v>
      </c>
      <c r="F94" s="26" t="s">
        <v>3</v>
      </c>
      <c r="G94" s="23" t="s">
        <v>7</v>
      </c>
      <c r="H94" s="24" t="s">
        <v>9</v>
      </c>
      <c r="I94" s="26" t="s">
        <v>3</v>
      </c>
      <c r="J94" s="26" t="s">
        <v>3</v>
      </c>
      <c r="K94" s="26" t="s">
        <v>3</v>
      </c>
      <c r="L94" s="26" t="s">
        <v>3</v>
      </c>
      <c r="M94" s="26" t="s">
        <v>3</v>
      </c>
      <c r="N94" s="27" t="s">
        <v>7</v>
      </c>
      <c r="O94" s="24" t="s">
        <v>9</v>
      </c>
      <c r="P94" s="26" t="s">
        <v>3</v>
      </c>
      <c r="Q94" s="26" t="s">
        <v>3</v>
      </c>
      <c r="R94" s="26" t="s">
        <v>3</v>
      </c>
      <c r="S94" s="26" t="s">
        <v>3</v>
      </c>
      <c r="T94" s="22" t="s">
        <v>5</v>
      </c>
      <c r="U94" s="23" t="s">
        <v>7</v>
      </c>
      <c r="V94" s="24" t="s">
        <v>9</v>
      </c>
      <c r="W94" s="26" t="s">
        <v>3</v>
      </c>
      <c r="X94" s="26" t="s">
        <v>3</v>
      </c>
      <c r="Y94" s="26" t="s">
        <v>3</v>
      </c>
      <c r="Z94" s="26" t="s">
        <v>3</v>
      </c>
      <c r="AA94" s="26" t="s">
        <v>3</v>
      </c>
      <c r="AB94" s="27" t="s">
        <v>7</v>
      </c>
      <c r="AC94" s="24" t="s">
        <v>9</v>
      </c>
      <c r="AD94" s="26" t="s">
        <v>3</v>
      </c>
      <c r="AE94" s="26" t="s">
        <v>3</v>
      </c>
      <c r="AF94" s="26" t="s">
        <v>3</v>
      </c>
      <c r="AG94" s="22" t="s">
        <v>5</v>
      </c>
      <c r="AH94" s="22" t="s">
        <v>5</v>
      </c>
      <c r="AI94" s="8">
        <f>COUNTIF(D94:AH94,"ON")</f>
        <v>20</v>
      </c>
      <c r="AJ94" s="8">
        <f>COUNTIF(D94:AH94,"OFF")</f>
        <v>3</v>
      </c>
      <c r="AK94" s="8">
        <f>COUNTIF(D94:AH94,"OT")</f>
        <v>0</v>
      </c>
      <c r="AL94" s="62">
        <v>2</v>
      </c>
      <c r="AM94" s="33">
        <f>AI94+AK94+AL94*0.5</f>
        <v>21</v>
      </c>
      <c r="AN94" s="63">
        <f>NETWORKDAYS(DATE(2025,10,1),EOMONTH(DATE(2025,10,1),0))*8</f>
        <v>184</v>
      </c>
      <c r="AO94" s="63">
        <f>MAX(0,COUNTIF(F94,"ON")+COUNTIF(M94,"ON")+COUNTIF(T94,"ON")+COUNTIF(AA94,"ON")+COUNTIF(AH94,"ON")-AL94)</f>
        <v>1</v>
      </c>
      <c r="AP94" s="63">
        <f>AO94*$AP$2</f>
        <v>4</v>
      </c>
      <c r="AQ94" s="53">
        <f>AM94-AP94/8</f>
        <v>20.5</v>
      </c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</row>
    <row r="95" spans="1:56" ht="22" customHeight="1" x14ac:dyDescent="0.35">
      <c r="A95" s="8" t="s">
        <v>211</v>
      </c>
      <c r="B95" s="8" t="s">
        <v>212</v>
      </c>
      <c r="C95" s="8" t="s">
        <v>206</v>
      </c>
      <c r="D95" s="26" t="s">
        <v>3</v>
      </c>
      <c r="E95" s="26" t="s">
        <v>3</v>
      </c>
      <c r="F95" s="26" t="s">
        <v>3</v>
      </c>
      <c r="G95" s="27" t="s">
        <v>7</v>
      </c>
      <c r="H95" s="24" t="s">
        <v>9</v>
      </c>
      <c r="I95" s="22" t="s">
        <v>5</v>
      </c>
      <c r="J95" s="22" t="s">
        <v>5</v>
      </c>
      <c r="K95" s="22" t="s">
        <v>5</v>
      </c>
      <c r="L95" s="22" t="s">
        <v>5</v>
      </c>
      <c r="M95" s="22" t="s">
        <v>5</v>
      </c>
      <c r="N95" s="23" t="s">
        <v>7</v>
      </c>
      <c r="O95" s="24" t="s">
        <v>9</v>
      </c>
      <c r="P95" s="22" t="s">
        <v>5</v>
      </c>
      <c r="Q95" s="22" t="s">
        <v>5</v>
      </c>
      <c r="R95" s="22" t="s">
        <v>5</v>
      </c>
      <c r="S95" s="22" t="s">
        <v>5</v>
      </c>
      <c r="T95" s="22" t="s">
        <v>5</v>
      </c>
      <c r="U95" s="23" t="s">
        <v>7</v>
      </c>
      <c r="V95" s="24" t="s">
        <v>9</v>
      </c>
      <c r="W95" s="22" t="s">
        <v>5</v>
      </c>
      <c r="X95" s="22" t="s">
        <v>5</v>
      </c>
      <c r="Y95" s="22" t="s">
        <v>5</v>
      </c>
      <c r="Z95" s="22" t="s">
        <v>5</v>
      </c>
      <c r="AA95" s="22" t="s">
        <v>5</v>
      </c>
      <c r="AB95" s="23" t="s">
        <v>7</v>
      </c>
      <c r="AC95" s="24" t="s">
        <v>9</v>
      </c>
      <c r="AD95" s="26" t="s">
        <v>3</v>
      </c>
      <c r="AE95" s="26" t="s">
        <v>3</v>
      </c>
      <c r="AF95" s="26" t="s">
        <v>3</v>
      </c>
      <c r="AG95" s="22" t="s">
        <v>5</v>
      </c>
      <c r="AH95" s="26" t="s">
        <v>3</v>
      </c>
      <c r="AI95" s="8">
        <f>COUNTIF(D95:AH95,"ON")</f>
        <v>7</v>
      </c>
      <c r="AJ95" s="25">
        <f>COUNTIF(D95:AH95,"OFF")</f>
        <v>16</v>
      </c>
      <c r="AK95" s="8">
        <f>COUNTIF(D95:AH95,"OT")</f>
        <v>0</v>
      </c>
      <c r="AL95" s="62">
        <v>1</v>
      </c>
      <c r="AM95" s="33">
        <f>AI95+AK95+AL95*0.5</f>
        <v>7.5</v>
      </c>
      <c r="AN95" s="63">
        <f>NETWORKDAYS(DATE(2025,10,1),EOMONTH(DATE(2025,10,1),0))*8</f>
        <v>184</v>
      </c>
      <c r="AO95" s="63">
        <f>MAX(0,COUNTIF(F95,"ON")+COUNTIF(M95,"ON")+COUNTIF(T95,"ON")+COUNTIF(AA95,"ON")+COUNTIF(AH95,"ON")-AL95)</f>
        <v>1</v>
      </c>
      <c r="AP95" s="63">
        <f>AO95*$AP$2</f>
        <v>4</v>
      </c>
      <c r="AQ95" s="53">
        <f>AM95-AP95/8</f>
        <v>7</v>
      </c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</row>
    <row r="96" spans="1:56" x14ac:dyDescent="0.35"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</row>
    <row r="97" spans="1:56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</row>
    <row r="98" spans="1:56" ht="22" customHeight="1" x14ac:dyDescent="0.35">
      <c r="A98" s="8" t="s">
        <v>214</v>
      </c>
      <c r="B98" s="8" t="s">
        <v>215</v>
      </c>
      <c r="C98" s="8" t="s">
        <v>216</v>
      </c>
      <c r="D98" s="26" t="s">
        <v>3</v>
      </c>
      <c r="E98" s="26" t="s">
        <v>3</v>
      </c>
      <c r="F98" s="26" t="s">
        <v>3</v>
      </c>
      <c r="G98" s="23" t="s">
        <v>7</v>
      </c>
      <c r="H98" s="24" t="s">
        <v>9</v>
      </c>
      <c r="I98" s="26" t="s">
        <v>3</v>
      </c>
      <c r="J98" s="26" t="s">
        <v>3</v>
      </c>
      <c r="K98" s="26" t="s">
        <v>3</v>
      </c>
      <c r="L98" s="26" t="s">
        <v>3</v>
      </c>
      <c r="M98" s="26" t="s">
        <v>3</v>
      </c>
      <c r="N98" s="23" t="s">
        <v>7</v>
      </c>
      <c r="O98" s="24" t="s">
        <v>9</v>
      </c>
      <c r="P98" s="26" t="s">
        <v>3</v>
      </c>
      <c r="Q98" s="26" t="s">
        <v>3</v>
      </c>
      <c r="R98" s="26" t="s">
        <v>3</v>
      </c>
      <c r="S98" s="26" t="s">
        <v>3</v>
      </c>
      <c r="T98" s="26" t="s">
        <v>3</v>
      </c>
      <c r="U98" s="23" t="s">
        <v>7</v>
      </c>
      <c r="V98" s="24" t="s">
        <v>9</v>
      </c>
      <c r="W98" s="26" t="s">
        <v>3</v>
      </c>
      <c r="X98" s="22" t="s">
        <v>5</v>
      </c>
      <c r="Y98" s="26" t="s">
        <v>3</v>
      </c>
      <c r="Z98" s="26" t="s">
        <v>3</v>
      </c>
      <c r="AA98" s="26" t="s">
        <v>3</v>
      </c>
      <c r="AB98" s="23" t="s">
        <v>7</v>
      </c>
      <c r="AC98" s="24" t="s">
        <v>9</v>
      </c>
      <c r="AD98" s="26" t="s">
        <v>3</v>
      </c>
      <c r="AE98" s="26" t="s">
        <v>3</v>
      </c>
      <c r="AF98" s="22" t="s">
        <v>5</v>
      </c>
      <c r="AG98" s="26" t="s">
        <v>3</v>
      </c>
      <c r="AH98" s="26" t="s">
        <v>3</v>
      </c>
      <c r="AI98" s="8">
        <f t="shared" ref="AI98:AI111" si="32">COUNTIF(D98:AH98,"ON")</f>
        <v>21</v>
      </c>
      <c r="AJ98" s="8">
        <f t="shared" ref="AJ98:AJ111" si="33">COUNTIF(D98:AH98,"OFF")</f>
        <v>2</v>
      </c>
      <c r="AK98" s="8">
        <f t="shared" ref="AK98:AK111" si="34">COUNTIF(D98:AH98,"OT")</f>
        <v>0</v>
      </c>
      <c r="AL98" s="62">
        <v>0</v>
      </c>
      <c r="AM98" s="33">
        <f t="shared" ref="AM98:AM111" si="35">AI98+AK98+AL98*0.5</f>
        <v>21</v>
      </c>
      <c r="AN98" s="63">
        <f t="shared" ref="AN98:AN111" si="36">NETWORKDAYS(DATE(2025,10,1),EOMONTH(DATE(2025,10,1),0))*8</f>
        <v>184</v>
      </c>
      <c r="AO98" s="63">
        <f t="shared" ref="AO98:AO111" si="37">MAX(0,COUNTIF(F98,"ON")+COUNTIF(M98,"ON")+COUNTIF(T98,"ON")+COUNTIF(AA98,"ON")+COUNTIF(AH98,"ON")-AL98)</f>
        <v>5</v>
      </c>
      <c r="AP98" s="63">
        <f t="shared" ref="AP98:AP111" si="38">AO98*$AP$2</f>
        <v>20</v>
      </c>
      <c r="AQ98" s="53">
        <f t="shared" ref="AQ98:AQ111" si="39">AM98-AP98/8</f>
        <v>18.5</v>
      </c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</row>
    <row r="99" spans="1:56" ht="22" customHeight="1" x14ac:dyDescent="0.35">
      <c r="A99" s="8" t="s">
        <v>217</v>
      </c>
      <c r="B99" s="8" t="s">
        <v>218</v>
      </c>
      <c r="C99" s="8" t="s">
        <v>216</v>
      </c>
      <c r="D99" s="26" t="s">
        <v>3</v>
      </c>
      <c r="E99" s="26" t="s">
        <v>3</v>
      </c>
      <c r="F99" s="26" t="s">
        <v>3</v>
      </c>
      <c r="G99" s="23" t="s">
        <v>7</v>
      </c>
      <c r="H99" s="24" t="s">
        <v>9</v>
      </c>
      <c r="I99" s="26" t="s">
        <v>3</v>
      </c>
      <c r="J99" s="26" t="s">
        <v>3</v>
      </c>
      <c r="K99" s="26" t="s">
        <v>3</v>
      </c>
      <c r="L99" s="26" t="s">
        <v>3</v>
      </c>
      <c r="M99" s="26" t="s">
        <v>3</v>
      </c>
      <c r="N99" s="23" t="s">
        <v>7</v>
      </c>
      <c r="O99" s="24" t="s">
        <v>9</v>
      </c>
      <c r="P99" s="26" t="s">
        <v>3</v>
      </c>
      <c r="Q99" s="26" t="s">
        <v>3</v>
      </c>
      <c r="R99" s="26" t="s">
        <v>3</v>
      </c>
      <c r="S99" s="26" t="s">
        <v>3</v>
      </c>
      <c r="T99" s="26" t="s">
        <v>3</v>
      </c>
      <c r="U99" s="23" t="s">
        <v>7</v>
      </c>
      <c r="V99" s="24" t="s">
        <v>9</v>
      </c>
      <c r="W99" s="22" t="s">
        <v>5</v>
      </c>
      <c r="X99" s="22" t="s">
        <v>5</v>
      </c>
      <c r="Y99" s="22" t="s">
        <v>5</v>
      </c>
      <c r="Z99" s="22" t="s">
        <v>5</v>
      </c>
      <c r="AA99" s="26" t="s">
        <v>3</v>
      </c>
      <c r="AB99" s="23" t="s">
        <v>7</v>
      </c>
      <c r="AC99" s="24" t="s">
        <v>9</v>
      </c>
      <c r="AD99" s="26" t="s">
        <v>3</v>
      </c>
      <c r="AE99" s="26" t="s">
        <v>3</v>
      </c>
      <c r="AF99" s="26" t="s">
        <v>3</v>
      </c>
      <c r="AG99" s="26" t="s">
        <v>3</v>
      </c>
      <c r="AH99" s="26" t="s">
        <v>3</v>
      </c>
      <c r="AI99" s="8">
        <f t="shared" si="32"/>
        <v>19</v>
      </c>
      <c r="AJ99" s="8">
        <f t="shared" si="33"/>
        <v>4</v>
      </c>
      <c r="AK99" s="8">
        <f t="shared" si="34"/>
        <v>0</v>
      </c>
      <c r="AL99" s="62">
        <v>0</v>
      </c>
      <c r="AM99" s="33">
        <f t="shared" si="35"/>
        <v>19</v>
      </c>
      <c r="AN99" s="63">
        <f t="shared" si="36"/>
        <v>184</v>
      </c>
      <c r="AO99" s="63">
        <f t="shared" si="37"/>
        <v>5</v>
      </c>
      <c r="AP99" s="63">
        <f t="shared" si="38"/>
        <v>20</v>
      </c>
      <c r="AQ99" s="53">
        <f t="shared" si="39"/>
        <v>16.5</v>
      </c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</row>
    <row r="100" spans="1:56" ht="22" customHeight="1" x14ac:dyDescent="0.35">
      <c r="A100" s="8" t="s">
        <v>219</v>
      </c>
      <c r="B100" s="8" t="s">
        <v>220</v>
      </c>
      <c r="C100" s="8" t="s">
        <v>216</v>
      </c>
      <c r="D100" s="26" t="s">
        <v>3</v>
      </c>
      <c r="E100" s="26" t="s">
        <v>3</v>
      </c>
      <c r="F100" s="26" t="s">
        <v>3</v>
      </c>
      <c r="G100" s="23" t="s">
        <v>7</v>
      </c>
      <c r="H100" s="24" t="s">
        <v>9</v>
      </c>
      <c r="I100" s="26" t="s">
        <v>3</v>
      </c>
      <c r="J100" s="22" t="s">
        <v>5</v>
      </c>
      <c r="K100" s="26" t="s">
        <v>3</v>
      </c>
      <c r="L100" s="26" t="s">
        <v>3</v>
      </c>
      <c r="M100" s="26" t="s">
        <v>3</v>
      </c>
      <c r="N100" s="23" t="s">
        <v>7</v>
      </c>
      <c r="O100" s="28" t="s">
        <v>11</v>
      </c>
      <c r="P100" s="26" t="s">
        <v>3</v>
      </c>
      <c r="Q100" s="26" t="s">
        <v>3</v>
      </c>
      <c r="R100" s="26" t="s">
        <v>3</v>
      </c>
      <c r="S100" s="26" t="s">
        <v>3</v>
      </c>
      <c r="T100" s="26" t="s">
        <v>3</v>
      </c>
      <c r="U100" s="23" t="s">
        <v>7</v>
      </c>
      <c r="V100" s="24" t="s">
        <v>9</v>
      </c>
      <c r="W100" s="26" t="s">
        <v>3</v>
      </c>
      <c r="X100" s="26" t="s">
        <v>3</v>
      </c>
      <c r="Y100" s="26" t="s">
        <v>3</v>
      </c>
      <c r="Z100" s="26" t="s">
        <v>3</v>
      </c>
      <c r="AA100" s="26" t="s">
        <v>3</v>
      </c>
      <c r="AB100" s="23" t="s">
        <v>7</v>
      </c>
      <c r="AC100" s="24" t="s">
        <v>9</v>
      </c>
      <c r="AD100" s="26" t="s">
        <v>3</v>
      </c>
      <c r="AE100" s="26" t="s">
        <v>3</v>
      </c>
      <c r="AF100" s="22" t="s">
        <v>5</v>
      </c>
      <c r="AG100" s="26" t="s">
        <v>3</v>
      </c>
      <c r="AH100" s="26" t="s">
        <v>3</v>
      </c>
      <c r="AI100" s="8">
        <f t="shared" si="32"/>
        <v>21</v>
      </c>
      <c r="AJ100" s="8">
        <f t="shared" si="33"/>
        <v>2</v>
      </c>
      <c r="AK100" s="29">
        <f t="shared" si="34"/>
        <v>1</v>
      </c>
      <c r="AL100" s="62">
        <v>0</v>
      </c>
      <c r="AM100" s="33">
        <f t="shared" si="35"/>
        <v>22</v>
      </c>
      <c r="AN100" s="63">
        <f t="shared" si="36"/>
        <v>184</v>
      </c>
      <c r="AO100" s="63">
        <f t="shared" si="37"/>
        <v>5</v>
      </c>
      <c r="AP100" s="63">
        <f t="shared" si="38"/>
        <v>20</v>
      </c>
      <c r="AQ100" s="53">
        <f t="shared" si="39"/>
        <v>19.5</v>
      </c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</row>
    <row r="101" spans="1:56" ht="22" customHeight="1" x14ac:dyDescent="0.35">
      <c r="A101" s="8" t="s">
        <v>221</v>
      </c>
      <c r="B101" s="8" t="s">
        <v>222</v>
      </c>
      <c r="C101" s="8" t="s">
        <v>216</v>
      </c>
      <c r="D101" s="26" t="s">
        <v>3</v>
      </c>
      <c r="E101" s="26" t="s">
        <v>3</v>
      </c>
      <c r="F101" s="26" t="s">
        <v>3</v>
      </c>
      <c r="G101" s="23" t="s">
        <v>7</v>
      </c>
      <c r="H101" s="24" t="s">
        <v>9</v>
      </c>
      <c r="I101" s="26" t="s">
        <v>3</v>
      </c>
      <c r="J101" s="26" t="s">
        <v>3</v>
      </c>
      <c r="K101" s="26" t="s">
        <v>3</v>
      </c>
      <c r="L101" s="26" t="s">
        <v>3</v>
      </c>
      <c r="M101" s="26" t="s">
        <v>3</v>
      </c>
      <c r="N101" s="23" t="s">
        <v>7</v>
      </c>
      <c r="O101" s="24" t="s">
        <v>9</v>
      </c>
      <c r="P101" s="26" t="s">
        <v>3</v>
      </c>
      <c r="Q101" s="26" t="s">
        <v>3</v>
      </c>
      <c r="R101" s="26" t="s">
        <v>3</v>
      </c>
      <c r="S101" s="26" t="s">
        <v>3</v>
      </c>
      <c r="T101" s="26" t="s">
        <v>3</v>
      </c>
      <c r="U101" s="23" t="s">
        <v>7</v>
      </c>
      <c r="V101" s="24" t="s">
        <v>9</v>
      </c>
      <c r="W101" s="26" t="s">
        <v>3</v>
      </c>
      <c r="X101" s="26" t="s">
        <v>3</v>
      </c>
      <c r="Y101" s="26" t="s">
        <v>3</v>
      </c>
      <c r="Z101" s="26" t="s">
        <v>3</v>
      </c>
      <c r="AA101" s="26" t="s">
        <v>3</v>
      </c>
      <c r="AB101" s="23" t="s">
        <v>7</v>
      </c>
      <c r="AC101" s="24" t="s">
        <v>9</v>
      </c>
      <c r="AD101" s="26" t="s">
        <v>3</v>
      </c>
      <c r="AE101" s="26" t="s">
        <v>3</v>
      </c>
      <c r="AF101" s="22" t="s">
        <v>5</v>
      </c>
      <c r="AG101" s="26" t="s">
        <v>3</v>
      </c>
      <c r="AH101" s="26" t="s">
        <v>3</v>
      </c>
      <c r="AI101" s="8">
        <f t="shared" si="32"/>
        <v>22</v>
      </c>
      <c r="AJ101" s="8">
        <f t="shared" si="33"/>
        <v>1</v>
      </c>
      <c r="AK101" s="8">
        <f t="shared" si="34"/>
        <v>0</v>
      </c>
      <c r="AL101" s="62">
        <v>0</v>
      </c>
      <c r="AM101" s="33">
        <f t="shared" si="35"/>
        <v>22</v>
      </c>
      <c r="AN101" s="63">
        <f t="shared" si="36"/>
        <v>184</v>
      </c>
      <c r="AO101" s="63">
        <f t="shared" si="37"/>
        <v>5</v>
      </c>
      <c r="AP101" s="63">
        <f t="shared" si="38"/>
        <v>20</v>
      </c>
      <c r="AQ101" s="53">
        <f t="shared" si="39"/>
        <v>19.5</v>
      </c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</row>
    <row r="102" spans="1:56" ht="22" customHeight="1" x14ac:dyDescent="0.35">
      <c r="A102" s="8" t="s">
        <v>223</v>
      </c>
      <c r="B102" s="8" t="s">
        <v>224</v>
      </c>
      <c r="C102" s="8" t="s">
        <v>216</v>
      </c>
      <c r="D102" s="26" t="s">
        <v>3</v>
      </c>
      <c r="E102" s="26" t="s">
        <v>3</v>
      </c>
      <c r="F102" s="26" t="s">
        <v>3</v>
      </c>
      <c r="G102" s="23" t="s">
        <v>7</v>
      </c>
      <c r="H102" s="24" t="s">
        <v>9</v>
      </c>
      <c r="I102" s="22" t="s">
        <v>5</v>
      </c>
      <c r="J102" s="22" t="s">
        <v>5</v>
      </c>
      <c r="K102" s="22" t="s">
        <v>5</v>
      </c>
      <c r="L102" s="22" t="s">
        <v>5</v>
      </c>
      <c r="M102" s="22" t="s">
        <v>5</v>
      </c>
      <c r="N102" s="23" t="s">
        <v>7</v>
      </c>
      <c r="O102" s="24" t="s">
        <v>9</v>
      </c>
      <c r="P102" s="22" t="s">
        <v>5</v>
      </c>
      <c r="Q102" s="26" t="s">
        <v>3</v>
      </c>
      <c r="R102" s="26" t="s">
        <v>3</v>
      </c>
      <c r="S102" s="26" t="s">
        <v>3</v>
      </c>
      <c r="T102" s="26" t="s">
        <v>3</v>
      </c>
      <c r="U102" s="23" t="s">
        <v>7</v>
      </c>
      <c r="V102" s="24" t="s">
        <v>9</v>
      </c>
      <c r="W102" s="26" t="s">
        <v>3</v>
      </c>
      <c r="X102" s="22" t="s">
        <v>5</v>
      </c>
      <c r="Y102" s="26" t="s">
        <v>3</v>
      </c>
      <c r="Z102" s="26" t="s">
        <v>3</v>
      </c>
      <c r="AA102" s="26" t="s">
        <v>3</v>
      </c>
      <c r="AB102" s="23" t="s">
        <v>7</v>
      </c>
      <c r="AC102" s="24" t="s">
        <v>9</v>
      </c>
      <c r="AD102" s="26" t="s">
        <v>3</v>
      </c>
      <c r="AE102" s="26" t="s">
        <v>3</v>
      </c>
      <c r="AF102" s="26" t="s">
        <v>3</v>
      </c>
      <c r="AG102" s="26" t="s">
        <v>3</v>
      </c>
      <c r="AH102" s="26" t="s">
        <v>3</v>
      </c>
      <c r="AI102" s="8">
        <f t="shared" si="32"/>
        <v>16</v>
      </c>
      <c r="AJ102" s="8">
        <f t="shared" si="33"/>
        <v>7</v>
      </c>
      <c r="AK102" s="8">
        <f t="shared" si="34"/>
        <v>0</v>
      </c>
      <c r="AL102" s="62">
        <v>0</v>
      </c>
      <c r="AM102" s="33">
        <f t="shared" si="35"/>
        <v>16</v>
      </c>
      <c r="AN102" s="63">
        <f t="shared" si="36"/>
        <v>184</v>
      </c>
      <c r="AO102" s="63">
        <f t="shared" si="37"/>
        <v>4</v>
      </c>
      <c r="AP102" s="63">
        <f t="shared" si="38"/>
        <v>16</v>
      </c>
      <c r="AQ102" s="53">
        <f t="shared" si="39"/>
        <v>14</v>
      </c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</row>
    <row r="103" spans="1:56" ht="22" customHeight="1" x14ac:dyDescent="0.35">
      <c r="A103" s="8" t="s">
        <v>225</v>
      </c>
      <c r="B103" s="8" t="s">
        <v>226</v>
      </c>
      <c r="C103" s="8" t="s">
        <v>216</v>
      </c>
      <c r="D103" s="26" t="s">
        <v>3</v>
      </c>
      <c r="E103" s="26" t="s">
        <v>3</v>
      </c>
      <c r="F103" s="26" t="s">
        <v>3</v>
      </c>
      <c r="G103" s="23" t="s">
        <v>7</v>
      </c>
      <c r="H103" s="24" t="s">
        <v>9</v>
      </c>
      <c r="I103" s="26" t="s">
        <v>3</v>
      </c>
      <c r="J103" s="26" t="s">
        <v>3</v>
      </c>
      <c r="K103" s="26" t="s">
        <v>3</v>
      </c>
      <c r="L103" s="26" t="s">
        <v>3</v>
      </c>
      <c r="M103" s="26" t="s">
        <v>3</v>
      </c>
      <c r="N103" s="23" t="s">
        <v>7</v>
      </c>
      <c r="O103" s="24" t="s">
        <v>9</v>
      </c>
      <c r="P103" s="26" t="s">
        <v>3</v>
      </c>
      <c r="Q103" s="26" t="s">
        <v>3</v>
      </c>
      <c r="R103" s="26" t="s">
        <v>3</v>
      </c>
      <c r="S103" s="26" t="s">
        <v>3</v>
      </c>
      <c r="T103" s="26" t="s">
        <v>3</v>
      </c>
      <c r="U103" s="23" t="s">
        <v>7</v>
      </c>
      <c r="V103" s="24" t="s">
        <v>9</v>
      </c>
      <c r="W103" s="26" t="s">
        <v>3</v>
      </c>
      <c r="X103" s="26" t="s">
        <v>3</v>
      </c>
      <c r="Y103" s="26" t="s">
        <v>3</v>
      </c>
      <c r="Z103" s="26" t="s">
        <v>3</v>
      </c>
      <c r="AA103" s="26" t="s">
        <v>3</v>
      </c>
      <c r="AB103" s="23" t="s">
        <v>7</v>
      </c>
      <c r="AC103" s="24" t="s">
        <v>9</v>
      </c>
      <c r="AD103" s="26" t="s">
        <v>3</v>
      </c>
      <c r="AE103" s="26" t="s">
        <v>3</v>
      </c>
      <c r="AF103" s="26" t="s">
        <v>3</v>
      </c>
      <c r="AG103" s="26" t="s">
        <v>3</v>
      </c>
      <c r="AH103" s="26" t="s">
        <v>3</v>
      </c>
      <c r="AI103" s="8">
        <f t="shared" si="32"/>
        <v>23</v>
      </c>
      <c r="AJ103" s="8">
        <f t="shared" si="33"/>
        <v>0</v>
      </c>
      <c r="AK103" s="8">
        <f t="shared" si="34"/>
        <v>0</v>
      </c>
      <c r="AL103" s="62">
        <v>0</v>
      </c>
      <c r="AM103" s="33">
        <f t="shared" si="35"/>
        <v>23</v>
      </c>
      <c r="AN103" s="63">
        <f t="shared" si="36"/>
        <v>184</v>
      </c>
      <c r="AO103" s="63">
        <f t="shared" si="37"/>
        <v>5</v>
      </c>
      <c r="AP103" s="63">
        <f t="shared" si="38"/>
        <v>20</v>
      </c>
      <c r="AQ103" s="53">
        <f t="shared" si="39"/>
        <v>20.5</v>
      </c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</row>
    <row r="104" spans="1:56" ht="22" customHeight="1" x14ac:dyDescent="0.35">
      <c r="A104" s="8" t="s">
        <v>227</v>
      </c>
      <c r="B104" s="8" t="s">
        <v>228</v>
      </c>
      <c r="C104" s="8" t="s">
        <v>216</v>
      </c>
      <c r="D104" s="26" t="s">
        <v>3</v>
      </c>
      <c r="E104" s="26" t="s">
        <v>3</v>
      </c>
      <c r="F104" s="26" t="s">
        <v>3</v>
      </c>
      <c r="G104" s="23" t="s">
        <v>7</v>
      </c>
      <c r="H104" s="24" t="s">
        <v>9</v>
      </c>
      <c r="I104" s="26" t="s">
        <v>3</v>
      </c>
      <c r="J104" s="26" t="s">
        <v>3</v>
      </c>
      <c r="K104" s="26" t="s">
        <v>3</v>
      </c>
      <c r="L104" s="26" t="s">
        <v>3</v>
      </c>
      <c r="M104" s="26" t="s">
        <v>3</v>
      </c>
      <c r="N104" s="23" t="s">
        <v>7</v>
      </c>
      <c r="O104" s="24" t="s">
        <v>9</v>
      </c>
      <c r="P104" s="26" t="s">
        <v>3</v>
      </c>
      <c r="Q104" s="26" t="s">
        <v>3</v>
      </c>
      <c r="R104" s="26" t="s">
        <v>3</v>
      </c>
      <c r="S104" s="26" t="s">
        <v>3</v>
      </c>
      <c r="T104" s="26" t="s">
        <v>3</v>
      </c>
      <c r="U104" s="23" t="s">
        <v>7</v>
      </c>
      <c r="V104" s="24" t="s">
        <v>9</v>
      </c>
      <c r="W104" s="26" t="s">
        <v>3</v>
      </c>
      <c r="X104" s="26" t="s">
        <v>3</v>
      </c>
      <c r="Y104" s="26" t="s">
        <v>3</v>
      </c>
      <c r="Z104" s="26" t="s">
        <v>3</v>
      </c>
      <c r="AA104" s="26" t="s">
        <v>3</v>
      </c>
      <c r="AB104" s="23" t="s">
        <v>7</v>
      </c>
      <c r="AC104" s="24" t="s">
        <v>9</v>
      </c>
      <c r="AD104" s="26" t="s">
        <v>3</v>
      </c>
      <c r="AE104" s="26" t="s">
        <v>3</v>
      </c>
      <c r="AF104" s="22" t="s">
        <v>5</v>
      </c>
      <c r="AG104" s="26" t="s">
        <v>3</v>
      </c>
      <c r="AH104" s="26" t="s">
        <v>3</v>
      </c>
      <c r="AI104" s="8">
        <f t="shared" si="32"/>
        <v>22</v>
      </c>
      <c r="AJ104" s="8">
        <f t="shared" si="33"/>
        <v>1</v>
      </c>
      <c r="AK104" s="8">
        <f t="shared" si="34"/>
        <v>0</v>
      </c>
      <c r="AL104" s="62">
        <v>0</v>
      </c>
      <c r="AM104" s="33">
        <f t="shared" si="35"/>
        <v>22</v>
      </c>
      <c r="AN104" s="63">
        <f t="shared" si="36"/>
        <v>184</v>
      </c>
      <c r="AO104" s="63">
        <f t="shared" si="37"/>
        <v>5</v>
      </c>
      <c r="AP104" s="63">
        <f t="shared" si="38"/>
        <v>20</v>
      </c>
      <c r="AQ104" s="53">
        <f t="shared" si="39"/>
        <v>19.5</v>
      </c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</row>
    <row r="105" spans="1:56" ht="22" customHeight="1" x14ac:dyDescent="0.35">
      <c r="A105" s="8" t="s">
        <v>229</v>
      </c>
      <c r="B105" s="8" t="s">
        <v>230</v>
      </c>
      <c r="C105" s="8" t="s">
        <v>216</v>
      </c>
      <c r="D105" s="22" t="s">
        <v>5</v>
      </c>
      <c r="E105" s="22" t="s">
        <v>5</v>
      </c>
      <c r="F105" s="22" t="s">
        <v>5</v>
      </c>
      <c r="G105" s="23" t="s">
        <v>7</v>
      </c>
      <c r="H105" s="24" t="s">
        <v>9</v>
      </c>
      <c r="I105" s="22" t="s">
        <v>5</v>
      </c>
      <c r="J105" s="22" t="s">
        <v>5</v>
      </c>
      <c r="K105" s="22" t="s">
        <v>5</v>
      </c>
      <c r="L105" s="22" t="s">
        <v>5</v>
      </c>
      <c r="M105" s="22" t="s">
        <v>5</v>
      </c>
      <c r="N105" s="23" t="s">
        <v>7</v>
      </c>
      <c r="O105" s="24" t="s">
        <v>9</v>
      </c>
      <c r="P105" s="22" t="s">
        <v>5</v>
      </c>
      <c r="Q105" s="22" t="s">
        <v>5</v>
      </c>
      <c r="R105" s="22" t="s">
        <v>5</v>
      </c>
      <c r="S105" s="22" t="s">
        <v>5</v>
      </c>
      <c r="T105" s="22" t="s">
        <v>5</v>
      </c>
      <c r="U105" s="23" t="s">
        <v>7</v>
      </c>
      <c r="V105" s="24" t="s">
        <v>9</v>
      </c>
      <c r="W105" s="22" t="s">
        <v>5</v>
      </c>
      <c r="X105" s="22" t="s">
        <v>5</v>
      </c>
      <c r="Y105" s="22" t="s">
        <v>5</v>
      </c>
      <c r="Z105" s="22" t="s">
        <v>5</v>
      </c>
      <c r="AA105" s="22" t="s">
        <v>5</v>
      </c>
      <c r="AB105" s="23" t="s">
        <v>7</v>
      </c>
      <c r="AC105" s="24" t="s">
        <v>9</v>
      </c>
      <c r="AD105" s="22" t="s">
        <v>5</v>
      </c>
      <c r="AE105" s="22" t="s">
        <v>5</v>
      </c>
      <c r="AF105" s="22" t="s">
        <v>5</v>
      </c>
      <c r="AG105" s="22" t="s">
        <v>5</v>
      </c>
      <c r="AH105" s="22" t="s">
        <v>5</v>
      </c>
      <c r="AI105" s="8">
        <f t="shared" si="32"/>
        <v>0</v>
      </c>
      <c r="AJ105" s="25">
        <f t="shared" si="33"/>
        <v>23</v>
      </c>
      <c r="AK105" s="8">
        <f t="shared" si="34"/>
        <v>0</v>
      </c>
      <c r="AL105" s="62">
        <v>0</v>
      </c>
      <c r="AM105" s="33">
        <f t="shared" si="35"/>
        <v>0</v>
      </c>
      <c r="AN105" s="63">
        <f t="shared" si="36"/>
        <v>184</v>
      </c>
      <c r="AO105" s="63">
        <f t="shared" si="37"/>
        <v>0</v>
      </c>
      <c r="AP105" s="63">
        <f t="shared" si="38"/>
        <v>0</v>
      </c>
      <c r="AQ105" s="53">
        <f t="shared" si="39"/>
        <v>0</v>
      </c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</row>
    <row r="106" spans="1:56" ht="22" customHeight="1" x14ac:dyDescent="0.35">
      <c r="A106" s="8" t="s">
        <v>231</v>
      </c>
      <c r="B106" s="8" t="s">
        <v>232</v>
      </c>
      <c r="C106" s="8" t="s">
        <v>216</v>
      </c>
      <c r="D106" s="26" t="s">
        <v>3</v>
      </c>
      <c r="E106" s="26" t="s">
        <v>3</v>
      </c>
      <c r="F106" s="26" t="s">
        <v>3</v>
      </c>
      <c r="G106" s="27" t="s">
        <v>7</v>
      </c>
      <c r="H106" s="28" t="s">
        <v>11</v>
      </c>
      <c r="I106" s="26" t="s">
        <v>3</v>
      </c>
      <c r="J106" s="26" t="s">
        <v>3</v>
      </c>
      <c r="K106" s="26" t="s">
        <v>3</v>
      </c>
      <c r="L106" s="26" t="s">
        <v>3</v>
      </c>
      <c r="M106" s="26" t="s">
        <v>3</v>
      </c>
      <c r="N106" s="23" t="s">
        <v>7</v>
      </c>
      <c r="O106" s="24" t="s">
        <v>9</v>
      </c>
      <c r="P106" s="26" t="s">
        <v>3</v>
      </c>
      <c r="Q106" s="22" t="s">
        <v>5</v>
      </c>
      <c r="R106" s="26" t="s">
        <v>3</v>
      </c>
      <c r="S106" s="22" t="s">
        <v>5</v>
      </c>
      <c r="T106" s="26" t="s">
        <v>3</v>
      </c>
      <c r="U106" s="23" t="s">
        <v>7</v>
      </c>
      <c r="V106" s="24" t="s">
        <v>9</v>
      </c>
      <c r="W106" s="26" t="s">
        <v>3</v>
      </c>
      <c r="X106" s="22" t="s">
        <v>5</v>
      </c>
      <c r="Y106" s="26" t="s">
        <v>3</v>
      </c>
      <c r="Z106" s="26" t="s">
        <v>3</v>
      </c>
      <c r="AA106" s="22" t="s">
        <v>5</v>
      </c>
      <c r="AB106" s="23" t="s">
        <v>7</v>
      </c>
      <c r="AC106" s="24" t="s">
        <v>9</v>
      </c>
      <c r="AD106" s="26" t="s">
        <v>3</v>
      </c>
      <c r="AE106" s="26" t="s">
        <v>3</v>
      </c>
      <c r="AF106" s="26" t="s">
        <v>3</v>
      </c>
      <c r="AG106" s="26" t="s">
        <v>3</v>
      </c>
      <c r="AH106" s="26" t="s">
        <v>3</v>
      </c>
      <c r="AI106" s="8">
        <f t="shared" si="32"/>
        <v>19</v>
      </c>
      <c r="AJ106" s="8">
        <f t="shared" si="33"/>
        <v>4</v>
      </c>
      <c r="AK106" s="29">
        <f t="shared" si="34"/>
        <v>1</v>
      </c>
      <c r="AL106" s="62">
        <v>1</v>
      </c>
      <c r="AM106" s="33">
        <f t="shared" si="35"/>
        <v>20.5</v>
      </c>
      <c r="AN106" s="63">
        <f t="shared" si="36"/>
        <v>184</v>
      </c>
      <c r="AO106" s="63">
        <f t="shared" si="37"/>
        <v>3</v>
      </c>
      <c r="AP106" s="63">
        <f t="shared" si="38"/>
        <v>12</v>
      </c>
      <c r="AQ106" s="53">
        <f t="shared" si="39"/>
        <v>19</v>
      </c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</row>
    <row r="107" spans="1:56" ht="22" customHeight="1" x14ac:dyDescent="0.35">
      <c r="A107" s="8" t="s">
        <v>233</v>
      </c>
      <c r="B107" s="8" t="s">
        <v>234</v>
      </c>
      <c r="C107" s="8" t="s">
        <v>216</v>
      </c>
      <c r="D107" s="26" t="s">
        <v>3</v>
      </c>
      <c r="E107" s="26" t="s">
        <v>3</v>
      </c>
      <c r="F107" s="26" t="s">
        <v>3</v>
      </c>
      <c r="G107" s="23" t="s">
        <v>7</v>
      </c>
      <c r="H107" s="24" t="s">
        <v>9</v>
      </c>
      <c r="I107" s="26" t="s">
        <v>3</v>
      </c>
      <c r="J107" s="26" t="s">
        <v>3</v>
      </c>
      <c r="K107" s="26" t="s">
        <v>3</v>
      </c>
      <c r="L107" s="26" t="s">
        <v>3</v>
      </c>
      <c r="M107" s="26" t="s">
        <v>3</v>
      </c>
      <c r="N107" s="27" t="s">
        <v>7</v>
      </c>
      <c r="O107" s="24" t="s">
        <v>9</v>
      </c>
      <c r="P107" s="26" t="s">
        <v>3</v>
      </c>
      <c r="Q107" s="26" t="s">
        <v>3</v>
      </c>
      <c r="R107" s="26" t="s">
        <v>3</v>
      </c>
      <c r="S107" s="26" t="s">
        <v>3</v>
      </c>
      <c r="T107" s="26" t="s">
        <v>3</v>
      </c>
      <c r="U107" s="23" t="s">
        <v>7</v>
      </c>
      <c r="V107" s="24" t="s">
        <v>9</v>
      </c>
      <c r="W107" s="26" t="s">
        <v>3</v>
      </c>
      <c r="X107" s="26" t="s">
        <v>3</v>
      </c>
      <c r="Y107" s="26" t="s">
        <v>3</v>
      </c>
      <c r="Z107" s="26" t="s">
        <v>3</v>
      </c>
      <c r="AA107" s="26" t="s">
        <v>3</v>
      </c>
      <c r="AB107" s="23" t="s">
        <v>7</v>
      </c>
      <c r="AC107" s="24" t="s">
        <v>9</v>
      </c>
      <c r="AD107" s="26" t="s">
        <v>3</v>
      </c>
      <c r="AE107" s="26" t="s">
        <v>3</v>
      </c>
      <c r="AF107" s="26" t="s">
        <v>3</v>
      </c>
      <c r="AG107" s="26" t="s">
        <v>3</v>
      </c>
      <c r="AH107" s="26" t="s">
        <v>3</v>
      </c>
      <c r="AI107" s="8">
        <f t="shared" si="32"/>
        <v>23</v>
      </c>
      <c r="AJ107" s="8">
        <f t="shared" si="33"/>
        <v>0</v>
      </c>
      <c r="AK107" s="8">
        <f t="shared" si="34"/>
        <v>0</v>
      </c>
      <c r="AL107" s="62">
        <v>1</v>
      </c>
      <c r="AM107" s="33">
        <f t="shared" si="35"/>
        <v>23.5</v>
      </c>
      <c r="AN107" s="63">
        <f t="shared" si="36"/>
        <v>184</v>
      </c>
      <c r="AO107" s="63">
        <f t="shared" si="37"/>
        <v>4</v>
      </c>
      <c r="AP107" s="63">
        <f t="shared" si="38"/>
        <v>16</v>
      </c>
      <c r="AQ107" s="53">
        <f t="shared" si="39"/>
        <v>21.5</v>
      </c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</row>
    <row r="108" spans="1:56" ht="22" customHeight="1" x14ac:dyDescent="0.35">
      <c r="A108" s="8" t="s">
        <v>235</v>
      </c>
      <c r="B108" s="8" t="s">
        <v>236</v>
      </c>
      <c r="C108" s="8" t="s">
        <v>216</v>
      </c>
      <c r="D108" s="26" t="s">
        <v>3</v>
      </c>
      <c r="E108" s="26" t="s">
        <v>3</v>
      </c>
      <c r="F108" s="22" t="s">
        <v>5</v>
      </c>
      <c r="G108" s="23" t="s">
        <v>7</v>
      </c>
      <c r="H108" s="24" t="s">
        <v>9</v>
      </c>
      <c r="I108" s="26" t="s">
        <v>3</v>
      </c>
      <c r="J108" s="26" t="s">
        <v>3</v>
      </c>
      <c r="K108" s="26" t="s">
        <v>3</v>
      </c>
      <c r="L108" s="26" t="s">
        <v>3</v>
      </c>
      <c r="M108" s="26" t="s">
        <v>3</v>
      </c>
      <c r="N108" s="23" t="s">
        <v>7</v>
      </c>
      <c r="O108" s="24" t="s">
        <v>9</v>
      </c>
      <c r="P108" s="26" t="s">
        <v>3</v>
      </c>
      <c r="Q108" s="26" t="s">
        <v>3</v>
      </c>
      <c r="R108" s="26" t="s">
        <v>3</v>
      </c>
      <c r="S108" s="26" t="s">
        <v>3</v>
      </c>
      <c r="T108" s="26" t="s">
        <v>3</v>
      </c>
      <c r="U108" s="27" t="s">
        <v>7</v>
      </c>
      <c r="V108" s="24" t="s">
        <v>9</v>
      </c>
      <c r="W108" s="26" t="s">
        <v>3</v>
      </c>
      <c r="X108" s="22" t="s">
        <v>5</v>
      </c>
      <c r="Y108" s="26" t="s">
        <v>3</v>
      </c>
      <c r="Z108" s="26" t="s">
        <v>3</v>
      </c>
      <c r="AA108" s="22" t="s">
        <v>5</v>
      </c>
      <c r="AB108" s="23" t="s">
        <v>7</v>
      </c>
      <c r="AC108" s="24" t="s">
        <v>9</v>
      </c>
      <c r="AD108" s="26" t="s">
        <v>3</v>
      </c>
      <c r="AE108" s="26" t="s">
        <v>3</v>
      </c>
      <c r="AF108" s="26" t="s">
        <v>3</v>
      </c>
      <c r="AG108" s="26" t="s">
        <v>3</v>
      </c>
      <c r="AH108" s="26" t="s">
        <v>3</v>
      </c>
      <c r="AI108" s="8">
        <f t="shared" si="32"/>
        <v>20</v>
      </c>
      <c r="AJ108" s="8">
        <f t="shared" si="33"/>
        <v>3</v>
      </c>
      <c r="AK108" s="8">
        <f t="shared" si="34"/>
        <v>0</v>
      </c>
      <c r="AL108" s="62">
        <v>1</v>
      </c>
      <c r="AM108" s="33">
        <f t="shared" si="35"/>
        <v>20.5</v>
      </c>
      <c r="AN108" s="63">
        <f t="shared" si="36"/>
        <v>184</v>
      </c>
      <c r="AO108" s="63">
        <f t="shared" si="37"/>
        <v>2</v>
      </c>
      <c r="AP108" s="63">
        <f t="shared" si="38"/>
        <v>8</v>
      </c>
      <c r="AQ108" s="53">
        <f t="shared" si="39"/>
        <v>19.5</v>
      </c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</row>
    <row r="109" spans="1:56" ht="22" customHeight="1" x14ac:dyDescent="0.35">
      <c r="A109" s="8" t="s">
        <v>237</v>
      </c>
      <c r="B109" s="8" t="s">
        <v>238</v>
      </c>
      <c r="C109" s="8" t="s">
        <v>216</v>
      </c>
      <c r="D109" s="26" t="s">
        <v>3</v>
      </c>
      <c r="E109" s="26" t="s">
        <v>3</v>
      </c>
      <c r="F109" s="26" t="s">
        <v>3</v>
      </c>
      <c r="G109" s="23" t="s">
        <v>7</v>
      </c>
      <c r="H109" s="24" t="s">
        <v>9</v>
      </c>
      <c r="I109" s="22" t="s">
        <v>5</v>
      </c>
      <c r="J109" s="26" t="s">
        <v>3</v>
      </c>
      <c r="K109" s="26" t="s">
        <v>3</v>
      </c>
      <c r="L109" s="26" t="s">
        <v>3</v>
      </c>
      <c r="M109" s="26" t="s">
        <v>3</v>
      </c>
      <c r="N109" s="23" t="s">
        <v>7</v>
      </c>
      <c r="O109" s="24" t="s">
        <v>9</v>
      </c>
      <c r="P109" s="26" t="s">
        <v>3</v>
      </c>
      <c r="Q109" s="26" t="s">
        <v>3</v>
      </c>
      <c r="R109" s="26" t="s">
        <v>3</v>
      </c>
      <c r="S109" s="26" t="s">
        <v>3</v>
      </c>
      <c r="T109" s="26" t="s">
        <v>3</v>
      </c>
      <c r="U109" s="23" t="s">
        <v>7</v>
      </c>
      <c r="V109" s="24" t="s">
        <v>9</v>
      </c>
      <c r="W109" s="26" t="s">
        <v>3</v>
      </c>
      <c r="X109" s="26" t="s">
        <v>3</v>
      </c>
      <c r="Y109" s="26" t="s">
        <v>3</v>
      </c>
      <c r="Z109" s="26" t="s">
        <v>3</v>
      </c>
      <c r="AA109" s="26" t="s">
        <v>3</v>
      </c>
      <c r="AB109" s="23" t="s">
        <v>7</v>
      </c>
      <c r="AC109" s="24" t="s">
        <v>9</v>
      </c>
      <c r="AD109" s="22" t="s">
        <v>5</v>
      </c>
      <c r="AE109" s="22" t="s">
        <v>5</v>
      </c>
      <c r="AF109" s="26" t="s">
        <v>3</v>
      </c>
      <c r="AG109" s="26" t="s">
        <v>3</v>
      </c>
      <c r="AH109" s="26" t="s">
        <v>3</v>
      </c>
      <c r="AI109" s="8">
        <f t="shared" si="32"/>
        <v>20</v>
      </c>
      <c r="AJ109" s="8">
        <f t="shared" si="33"/>
        <v>3</v>
      </c>
      <c r="AK109" s="8">
        <f t="shared" si="34"/>
        <v>0</v>
      </c>
      <c r="AL109" s="62">
        <v>0</v>
      </c>
      <c r="AM109" s="33">
        <f t="shared" si="35"/>
        <v>20</v>
      </c>
      <c r="AN109" s="63">
        <f t="shared" si="36"/>
        <v>184</v>
      </c>
      <c r="AO109" s="63">
        <f t="shared" si="37"/>
        <v>5</v>
      </c>
      <c r="AP109" s="63">
        <f t="shared" si="38"/>
        <v>20</v>
      </c>
      <c r="AQ109" s="53">
        <f t="shared" si="39"/>
        <v>17.5</v>
      </c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</row>
    <row r="110" spans="1:56" ht="22" customHeight="1" x14ac:dyDescent="0.35">
      <c r="A110" s="8" t="s">
        <v>239</v>
      </c>
      <c r="B110" s="8" t="s">
        <v>240</v>
      </c>
      <c r="C110" s="8" t="s">
        <v>216</v>
      </c>
      <c r="D110" s="26" t="s">
        <v>3</v>
      </c>
      <c r="E110" s="26" t="s">
        <v>3</v>
      </c>
      <c r="F110" s="22" t="s">
        <v>5</v>
      </c>
      <c r="G110" s="23" t="s">
        <v>7</v>
      </c>
      <c r="H110" s="24" t="s">
        <v>9</v>
      </c>
      <c r="I110" s="26" t="s">
        <v>3</v>
      </c>
      <c r="J110" s="26" t="s">
        <v>3</v>
      </c>
      <c r="K110" s="26" t="s">
        <v>3</v>
      </c>
      <c r="L110" s="26" t="s">
        <v>3</v>
      </c>
      <c r="M110" s="26" t="s">
        <v>3</v>
      </c>
      <c r="N110" s="23" t="s">
        <v>7</v>
      </c>
      <c r="O110" s="24" t="s">
        <v>9</v>
      </c>
      <c r="P110" s="22" t="s">
        <v>5</v>
      </c>
      <c r="Q110" s="26" t="s">
        <v>3</v>
      </c>
      <c r="R110" s="26" t="s">
        <v>3</v>
      </c>
      <c r="S110" s="22" t="s">
        <v>5</v>
      </c>
      <c r="T110" s="26" t="s">
        <v>3</v>
      </c>
      <c r="U110" s="23" t="s">
        <v>7</v>
      </c>
      <c r="V110" s="24" t="s">
        <v>9</v>
      </c>
      <c r="W110" s="26" t="s">
        <v>3</v>
      </c>
      <c r="X110" s="26" t="s">
        <v>3</v>
      </c>
      <c r="Y110" s="22" t="s">
        <v>5</v>
      </c>
      <c r="Z110" s="26" t="s">
        <v>3</v>
      </c>
      <c r="AA110" s="26" t="s">
        <v>3</v>
      </c>
      <c r="AB110" s="23" t="s">
        <v>7</v>
      </c>
      <c r="AC110" s="24" t="s">
        <v>9</v>
      </c>
      <c r="AD110" s="26" t="s">
        <v>3</v>
      </c>
      <c r="AE110" s="26" t="s">
        <v>3</v>
      </c>
      <c r="AF110" s="26" t="s">
        <v>3</v>
      </c>
      <c r="AG110" s="26" t="s">
        <v>3</v>
      </c>
      <c r="AH110" s="26" t="s">
        <v>3</v>
      </c>
      <c r="AI110" s="8">
        <f t="shared" si="32"/>
        <v>19</v>
      </c>
      <c r="AJ110" s="8">
        <f t="shared" si="33"/>
        <v>4</v>
      </c>
      <c r="AK110" s="8">
        <f t="shared" si="34"/>
        <v>0</v>
      </c>
      <c r="AL110" s="62">
        <v>0</v>
      </c>
      <c r="AM110" s="33">
        <f t="shared" si="35"/>
        <v>19</v>
      </c>
      <c r="AN110" s="63">
        <f t="shared" si="36"/>
        <v>184</v>
      </c>
      <c r="AO110" s="63">
        <f t="shared" si="37"/>
        <v>4</v>
      </c>
      <c r="AP110" s="63">
        <f t="shared" si="38"/>
        <v>16</v>
      </c>
      <c r="AQ110" s="53">
        <f t="shared" si="39"/>
        <v>17</v>
      </c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</row>
    <row r="111" spans="1:56" ht="22" customHeight="1" x14ac:dyDescent="0.35">
      <c r="A111" s="8" t="s">
        <v>241</v>
      </c>
      <c r="B111" s="8" t="s">
        <v>242</v>
      </c>
      <c r="C111" s="8" t="s">
        <v>216</v>
      </c>
      <c r="D111" s="26" t="s">
        <v>3</v>
      </c>
      <c r="E111" s="26" t="s">
        <v>3</v>
      </c>
      <c r="F111" s="26" t="s">
        <v>3</v>
      </c>
      <c r="G111" s="23" t="s">
        <v>7</v>
      </c>
      <c r="H111" s="24" t="s">
        <v>9</v>
      </c>
      <c r="I111" s="26" t="s">
        <v>3</v>
      </c>
      <c r="J111" s="26" t="s">
        <v>3</v>
      </c>
      <c r="K111" s="26" t="s">
        <v>3</v>
      </c>
      <c r="L111" s="26" t="s">
        <v>3</v>
      </c>
      <c r="M111" s="26" t="s">
        <v>3</v>
      </c>
      <c r="N111" s="23" t="s">
        <v>7</v>
      </c>
      <c r="O111" s="24" t="s">
        <v>9</v>
      </c>
      <c r="P111" s="26" t="s">
        <v>3</v>
      </c>
      <c r="Q111" s="26" t="s">
        <v>3</v>
      </c>
      <c r="R111" s="26" t="s">
        <v>3</v>
      </c>
      <c r="S111" s="26" t="s">
        <v>3</v>
      </c>
      <c r="T111" s="22" t="s">
        <v>5</v>
      </c>
      <c r="U111" s="23" t="s">
        <v>7</v>
      </c>
      <c r="V111" s="24" t="s">
        <v>9</v>
      </c>
      <c r="W111" s="22" t="s">
        <v>5</v>
      </c>
      <c r="X111" s="22" t="s">
        <v>5</v>
      </c>
      <c r="Y111" s="22" t="s">
        <v>5</v>
      </c>
      <c r="Z111" s="22" t="s">
        <v>5</v>
      </c>
      <c r="AA111" s="22" t="s">
        <v>5</v>
      </c>
      <c r="AB111" s="23" t="s">
        <v>7</v>
      </c>
      <c r="AC111" s="24" t="s">
        <v>9</v>
      </c>
      <c r="AD111" s="22" t="s">
        <v>5</v>
      </c>
      <c r="AE111" s="22" t="s">
        <v>5</v>
      </c>
      <c r="AF111" s="22" t="s">
        <v>5</v>
      </c>
      <c r="AG111" s="22" t="s">
        <v>5</v>
      </c>
      <c r="AH111" s="22" t="s">
        <v>5</v>
      </c>
      <c r="AI111" s="8">
        <f t="shared" si="32"/>
        <v>12</v>
      </c>
      <c r="AJ111" s="25">
        <f t="shared" si="33"/>
        <v>11</v>
      </c>
      <c r="AK111" s="8">
        <f t="shared" si="34"/>
        <v>0</v>
      </c>
      <c r="AL111" s="62">
        <v>0</v>
      </c>
      <c r="AM111" s="33">
        <f t="shared" si="35"/>
        <v>12</v>
      </c>
      <c r="AN111" s="63">
        <f t="shared" si="36"/>
        <v>184</v>
      </c>
      <c r="AO111" s="63">
        <f t="shared" si="37"/>
        <v>2</v>
      </c>
      <c r="AP111" s="63">
        <f t="shared" si="38"/>
        <v>8</v>
      </c>
      <c r="AQ111" s="53">
        <f t="shared" si="39"/>
        <v>11</v>
      </c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</row>
    <row r="112" spans="1:56" x14ac:dyDescent="0.35"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</row>
    <row r="113" spans="1:56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</row>
    <row r="114" spans="1:56" ht="22" customHeight="1" x14ac:dyDescent="0.35">
      <c r="A114" s="8" t="s">
        <v>244</v>
      </c>
      <c r="B114" s="8" t="s">
        <v>245</v>
      </c>
      <c r="C114" s="8" t="s">
        <v>354</v>
      </c>
      <c r="D114" s="26" t="s">
        <v>3</v>
      </c>
      <c r="E114" s="26" t="s">
        <v>3</v>
      </c>
      <c r="F114" s="26" t="s">
        <v>3</v>
      </c>
      <c r="G114" s="27" t="s">
        <v>7</v>
      </c>
      <c r="H114" s="28" t="s">
        <v>11</v>
      </c>
      <c r="I114" s="26" t="s">
        <v>3</v>
      </c>
      <c r="J114" s="26" t="s">
        <v>3</v>
      </c>
      <c r="K114" s="26" t="s">
        <v>3</v>
      </c>
      <c r="L114" s="26" t="s">
        <v>3</v>
      </c>
      <c r="M114" s="26" t="s">
        <v>3</v>
      </c>
      <c r="N114" s="27" t="s">
        <v>7</v>
      </c>
      <c r="O114" s="24" t="s">
        <v>9</v>
      </c>
      <c r="P114" s="22" t="s">
        <v>5</v>
      </c>
      <c r="Q114" s="22" t="s">
        <v>5</v>
      </c>
      <c r="R114" s="22" t="s">
        <v>5</v>
      </c>
      <c r="S114" s="22" t="s">
        <v>5</v>
      </c>
      <c r="T114" s="22" t="s">
        <v>5</v>
      </c>
      <c r="U114" s="23" t="s">
        <v>7</v>
      </c>
      <c r="V114" s="24" t="s">
        <v>9</v>
      </c>
      <c r="W114" s="22" t="s">
        <v>5</v>
      </c>
      <c r="X114" s="22" t="s">
        <v>5</v>
      </c>
      <c r="Y114" s="22" t="s">
        <v>5</v>
      </c>
      <c r="Z114" s="22" t="s">
        <v>5</v>
      </c>
      <c r="AA114" s="22" t="s">
        <v>5</v>
      </c>
      <c r="AB114" s="23" t="s">
        <v>7</v>
      </c>
      <c r="AC114" s="24" t="s">
        <v>9</v>
      </c>
      <c r="AD114" s="22" t="s">
        <v>5</v>
      </c>
      <c r="AE114" s="22" t="s">
        <v>5</v>
      </c>
      <c r="AF114" s="22" t="s">
        <v>5</v>
      </c>
      <c r="AG114" s="22" t="s">
        <v>5</v>
      </c>
      <c r="AH114" s="22" t="s">
        <v>5</v>
      </c>
      <c r="AI114" s="8">
        <f>COUNTIF(D114:AH114,"ON")</f>
        <v>8</v>
      </c>
      <c r="AJ114" s="25">
        <f>COUNTIF(D114:AH114,"OFF")</f>
        <v>15</v>
      </c>
      <c r="AK114" s="29">
        <f>COUNTIF(D114:AH114,"OT")</f>
        <v>1</v>
      </c>
      <c r="AL114" s="62">
        <v>2</v>
      </c>
      <c r="AM114" s="33">
        <f>AI114+AK114+AL114*0.5</f>
        <v>10</v>
      </c>
      <c r="AN114" s="63">
        <f>NETWORKDAYS(DATE(2025,10,1),EOMONTH(DATE(2025,10,1),0))*8</f>
        <v>184</v>
      </c>
      <c r="AO114" s="63">
        <f>MAX(0,COUNTIF(F114,"ON")+COUNTIF(M114,"ON")+COUNTIF(T114,"ON")+COUNTIF(AA114,"ON")+COUNTIF(AH114,"ON")-AL114)</f>
        <v>0</v>
      </c>
      <c r="AP114" s="63">
        <f>AO114*$AP$2</f>
        <v>0</v>
      </c>
      <c r="AQ114" s="53">
        <f>AM114-AP114/8</f>
        <v>10</v>
      </c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</row>
    <row r="115" spans="1:56" ht="22" customHeight="1" x14ac:dyDescent="0.35">
      <c r="A115" s="8" t="s">
        <v>247</v>
      </c>
      <c r="B115" s="8" t="s">
        <v>248</v>
      </c>
      <c r="C115" s="8" t="s">
        <v>354</v>
      </c>
      <c r="D115" s="26" t="s">
        <v>3</v>
      </c>
      <c r="E115" s="22" t="s">
        <v>5</v>
      </c>
      <c r="F115" s="22" t="s">
        <v>5</v>
      </c>
      <c r="G115" s="23" t="s">
        <v>7</v>
      </c>
      <c r="H115" s="28" t="s">
        <v>11</v>
      </c>
      <c r="I115" s="26" t="s">
        <v>3</v>
      </c>
      <c r="J115" s="26" t="s">
        <v>3</v>
      </c>
      <c r="K115" s="26" t="s">
        <v>3</v>
      </c>
      <c r="L115" s="26" t="s">
        <v>3</v>
      </c>
      <c r="M115" s="26" t="s">
        <v>3</v>
      </c>
      <c r="N115" s="23" t="s">
        <v>7</v>
      </c>
      <c r="O115" s="24" t="s">
        <v>9</v>
      </c>
      <c r="P115" s="22" t="s">
        <v>5</v>
      </c>
      <c r="Q115" s="22" t="s">
        <v>5</v>
      </c>
      <c r="R115" s="22" t="s">
        <v>5</v>
      </c>
      <c r="S115" s="22" t="s">
        <v>5</v>
      </c>
      <c r="T115" s="22" t="s">
        <v>5</v>
      </c>
      <c r="U115" s="23" t="s">
        <v>7</v>
      </c>
      <c r="V115" s="24" t="s">
        <v>9</v>
      </c>
      <c r="W115" s="22" t="s">
        <v>5</v>
      </c>
      <c r="X115" s="22" t="s">
        <v>5</v>
      </c>
      <c r="Y115" s="22" t="s">
        <v>5</v>
      </c>
      <c r="Z115" s="22" t="s">
        <v>5</v>
      </c>
      <c r="AA115" s="22" t="s">
        <v>5</v>
      </c>
      <c r="AB115" s="23" t="s">
        <v>7</v>
      </c>
      <c r="AC115" s="24" t="s">
        <v>9</v>
      </c>
      <c r="AD115" s="22" t="s">
        <v>5</v>
      </c>
      <c r="AE115" s="22" t="s">
        <v>5</v>
      </c>
      <c r="AF115" s="22" t="s">
        <v>5</v>
      </c>
      <c r="AG115" s="22" t="s">
        <v>5</v>
      </c>
      <c r="AH115" s="22" t="s">
        <v>5</v>
      </c>
      <c r="AI115" s="8">
        <f>COUNTIF(D115:AH115,"ON")</f>
        <v>6</v>
      </c>
      <c r="AJ115" s="25">
        <f>COUNTIF(D115:AH115,"OFF")</f>
        <v>17</v>
      </c>
      <c r="AK115" s="29">
        <f>COUNTIF(D115:AH115,"OT")</f>
        <v>1</v>
      </c>
      <c r="AL115" s="62">
        <v>0</v>
      </c>
      <c r="AM115" s="33">
        <f>AI115+AK115+AL115*0.5</f>
        <v>7</v>
      </c>
      <c r="AN115" s="63">
        <f>NETWORKDAYS(DATE(2025,10,1),EOMONTH(DATE(2025,10,1),0))*8</f>
        <v>184</v>
      </c>
      <c r="AO115" s="63">
        <f>MAX(0,COUNTIF(F115,"ON")+COUNTIF(M115,"ON")+COUNTIF(T115,"ON")+COUNTIF(AA115,"ON")+COUNTIF(AH115,"ON")-AL115)</f>
        <v>1</v>
      </c>
      <c r="AP115" s="63">
        <f>AO115*$AP$2</f>
        <v>4</v>
      </c>
      <c r="AQ115" s="53">
        <f>AM115-AP115/8</f>
        <v>6.5</v>
      </c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</row>
    <row r="116" spans="1:56" ht="22" customHeight="1" x14ac:dyDescent="0.35">
      <c r="A116" s="8" t="s">
        <v>249</v>
      </c>
      <c r="B116" s="8" t="s">
        <v>250</v>
      </c>
      <c r="C116" s="8" t="s">
        <v>354</v>
      </c>
      <c r="D116" s="22" t="s">
        <v>5</v>
      </c>
      <c r="E116" s="26" t="s">
        <v>3</v>
      </c>
      <c r="F116" s="26" t="s">
        <v>3</v>
      </c>
      <c r="G116" s="27" t="s">
        <v>7</v>
      </c>
      <c r="H116" s="24" t="s">
        <v>9</v>
      </c>
      <c r="I116" s="22" t="s">
        <v>5</v>
      </c>
      <c r="J116" s="22" t="s">
        <v>5</v>
      </c>
      <c r="K116" s="22" t="s">
        <v>5</v>
      </c>
      <c r="L116" s="22" t="s">
        <v>5</v>
      </c>
      <c r="M116" s="22" t="s">
        <v>5</v>
      </c>
      <c r="N116" s="27" t="s">
        <v>7</v>
      </c>
      <c r="O116" s="28" t="s">
        <v>11</v>
      </c>
      <c r="P116" s="26" t="s">
        <v>3</v>
      </c>
      <c r="Q116" s="26" t="s">
        <v>3</v>
      </c>
      <c r="R116" s="26" t="s">
        <v>3</v>
      </c>
      <c r="S116" s="26" t="s">
        <v>3</v>
      </c>
      <c r="T116" s="26" t="s">
        <v>3</v>
      </c>
      <c r="U116" s="27" t="s">
        <v>7</v>
      </c>
      <c r="V116" s="28" t="s">
        <v>11</v>
      </c>
      <c r="W116" s="26" t="s">
        <v>3</v>
      </c>
      <c r="X116" s="26" t="s">
        <v>3</v>
      </c>
      <c r="Y116" s="26" t="s">
        <v>3</v>
      </c>
      <c r="Z116" s="26" t="s">
        <v>3</v>
      </c>
      <c r="AA116" s="26" t="s">
        <v>3</v>
      </c>
      <c r="AB116" s="27" t="s">
        <v>7</v>
      </c>
      <c r="AC116" s="28" t="s">
        <v>11</v>
      </c>
      <c r="AD116" s="26" t="s">
        <v>3</v>
      </c>
      <c r="AE116" s="26" t="s">
        <v>3</v>
      </c>
      <c r="AF116" s="22" t="s">
        <v>5</v>
      </c>
      <c r="AG116" s="26" t="s">
        <v>3</v>
      </c>
      <c r="AH116" s="26" t="s">
        <v>3</v>
      </c>
      <c r="AI116" s="8">
        <f>COUNTIF(D116:AH116,"ON")</f>
        <v>16</v>
      </c>
      <c r="AJ116" s="8">
        <f>COUNTIF(D116:AH116,"OFF")</f>
        <v>7</v>
      </c>
      <c r="AK116" s="29">
        <f>COUNTIF(D116:AH116,"OT")</f>
        <v>3</v>
      </c>
      <c r="AL116" s="62">
        <v>4</v>
      </c>
      <c r="AM116" s="33">
        <f>AI116+AK116+AL116*0.5</f>
        <v>21</v>
      </c>
      <c r="AN116" s="63">
        <f>NETWORKDAYS(DATE(2025,10,1),EOMONTH(DATE(2025,10,1),0))*8</f>
        <v>184</v>
      </c>
      <c r="AO116" s="63">
        <f>MAX(0,COUNTIF(F116,"ON")+COUNTIF(M116,"ON")+COUNTIF(T116,"ON")+COUNTIF(AA116,"ON")+COUNTIF(AH116,"ON")-AL116)</f>
        <v>0</v>
      </c>
      <c r="AP116" s="63">
        <f>AO116*$AP$2</f>
        <v>0</v>
      </c>
      <c r="AQ116" s="53">
        <f>AM116-AP116/8</f>
        <v>21</v>
      </c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</row>
    <row r="117" spans="1:56" x14ac:dyDescent="0.35"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</row>
    <row r="118" spans="1:56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</row>
    <row r="119" spans="1:56" ht="22" customHeight="1" x14ac:dyDescent="0.35">
      <c r="A119" s="8" t="s">
        <v>252</v>
      </c>
      <c r="B119" s="8" t="s">
        <v>253</v>
      </c>
      <c r="C119" s="8" t="s">
        <v>254</v>
      </c>
      <c r="D119" s="26" t="s">
        <v>3</v>
      </c>
      <c r="E119" s="26" t="s">
        <v>3</v>
      </c>
      <c r="F119" s="26" t="s">
        <v>3</v>
      </c>
      <c r="G119" s="27" t="s">
        <v>7</v>
      </c>
      <c r="H119" s="28" t="s">
        <v>11</v>
      </c>
      <c r="I119" s="26" t="s">
        <v>3</v>
      </c>
      <c r="J119" s="26" t="s">
        <v>3</v>
      </c>
      <c r="K119" s="26" t="s">
        <v>3</v>
      </c>
      <c r="L119" s="26" t="s">
        <v>3</v>
      </c>
      <c r="M119" s="26" t="s">
        <v>3</v>
      </c>
      <c r="N119" s="27" t="s">
        <v>7</v>
      </c>
      <c r="O119" s="28" t="s">
        <v>11</v>
      </c>
      <c r="P119" s="26" t="s">
        <v>3</v>
      </c>
      <c r="Q119" s="26" t="s">
        <v>3</v>
      </c>
      <c r="R119" s="26" t="s">
        <v>3</v>
      </c>
      <c r="S119" s="26" t="s">
        <v>3</v>
      </c>
      <c r="T119" s="26" t="s">
        <v>3</v>
      </c>
      <c r="U119" s="27" t="s">
        <v>7</v>
      </c>
      <c r="V119" s="28" t="s">
        <v>11</v>
      </c>
      <c r="W119" s="26" t="s">
        <v>3</v>
      </c>
      <c r="X119" s="26" t="s">
        <v>3</v>
      </c>
      <c r="Y119" s="26" t="s">
        <v>3</v>
      </c>
      <c r="Z119" s="26" t="s">
        <v>3</v>
      </c>
      <c r="AA119" s="26" t="s">
        <v>3</v>
      </c>
      <c r="AB119" s="27" t="s">
        <v>7</v>
      </c>
      <c r="AC119" s="28" t="s">
        <v>11</v>
      </c>
      <c r="AD119" s="26" t="s">
        <v>3</v>
      </c>
      <c r="AE119" s="26" t="s">
        <v>3</v>
      </c>
      <c r="AF119" s="26" t="s">
        <v>3</v>
      </c>
      <c r="AG119" s="26" t="s">
        <v>3</v>
      </c>
      <c r="AH119" s="26" t="s">
        <v>3</v>
      </c>
      <c r="AI119" s="8">
        <f t="shared" ref="AI119:AI129" si="40">COUNTIF(D119:AH119,"ON")</f>
        <v>23</v>
      </c>
      <c r="AJ119" s="8">
        <f t="shared" ref="AJ119:AJ129" si="41">COUNTIF(D119:AH119,"OFF")</f>
        <v>0</v>
      </c>
      <c r="AK119" s="29">
        <f t="shared" ref="AK119:AK129" si="42">COUNTIF(D119:AH119,"OT")</f>
        <v>4</v>
      </c>
      <c r="AL119" s="62">
        <v>4</v>
      </c>
      <c r="AM119" s="33">
        <f t="shared" ref="AM119:AM129" si="43">AI119+AK119+AL119*0.5</f>
        <v>29</v>
      </c>
      <c r="AN119" s="63">
        <f t="shared" ref="AN119:AN129" si="44">NETWORKDAYS(DATE(2025,10,1),EOMONTH(DATE(2025,10,1),0))*8</f>
        <v>184</v>
      </c>
      <c r="AO119" s="63">
        <f t="shared" ref="AO119:AO129" si="45">MAX(0,COUNTIF(F119,"ON")+COUNTIF(M119,"ON")+COUNTIF(T119,"ON")+COUNTIF(AA119,"ON")+COUNTIF(AH119,"ON")-AL119)</f>
        <v>1</v>
      </c>
      <c r="AP119" s="63">
        <f t="shared" ref="AP119:AP129" si="46">AO119*$AP$2</f>
        <v>4</v>
      </c>
      <c r="AQ119" s="53">
        <f t="shared" ref="AQ119:AQ129" si="47">AM119-AP119/8</f>
        <v>28.5</v>
      </c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</row>
    <row r="120" spans="1:56" ht="22" customHeight="1" x14ac:dyDescent="0.35">
      <c r="A120" s="8" t="s">
        <v>255</v>
      </c>
      <c r="B120" s="8" t="s">
        <v>256</v>
      </c>
      <c r="C120" s="8" t="s">
        <v>254</v>
      </c>
      <c r="D120" s="26" t="s">
        <v>3</v>
      </c>
      <c r="E120" s="26" t="s">
        <v>3</v>
      </c>
      <c r="F120" s="26" t="s">
        <v>3</v>
      </c>
      <c r="G120" s="27" t="s">
        <v>7</v>
      </c>
      <c r="H120" s="28" t="s">
        <v>11</v>
      </c>
      <c r="I120" s="26" t="s">
        <v>3</v>
      </c>
      <c r="J120" s="26" t="s">
        <v>3</v>
      </c>
      <c r="K120" s="26" t="s">
        <v>3</v>
      </c>
      <c r="L120" s="26" t="s">
        <v>3</v>
      </c>
      <c r="M120" s="26" t="s">
        <v>3</v>
      </c>
      <c r="N120" s="27" t="s">
        <v>7</v>
      </c>
      <c r="O120" s="28" t="s">
        <v>11</v>
      </c>
      <c r="P120" s="26" t="s">
        <v>3</v>
      </c>
      <c r="Q120" s="26" t="s">
        <v>3</v>
      </c>
      <c r="R120" s="26" t="s">
        <v>3</v>
      </c>
      <c r="S120" s="26" t="s">
        <v>3</v>
      </c>
      <c r="T120" s="26" t="s">
        <v>3</v>
      </c>
      <c r="U120" s="27" t="s">
        <v>7</v>
      </c>
      <c r="V120" s="24" t="s">
        <v>9</v>
      </c>
      <c r="W120" s="22" t="s">
        <v>5</v>
      </c>
      <c r="X120" s="22" t="s">
        <v>5</v>
      </c>
      <c r="Y120" s="22" t="s">
        <v>5</v>
      </c>
      <c r="Z120" s="22" t="s">
        <v>5</v>
      </c>
      <c r="AA120" s="22" t="s">
        <v>5</v>
      </c>
      <c r="AB120" s="23" t="s">
        <v>7</v>
      </c>
      <c r="AC120" s="24" t="s">
        <v>9</v>
      </c>
      <c r="AD120" s="22" t="s">
        <v>5</v>
      </c>
      <c r="AE120" s="22" t="s">
        <v>5</v>
      </c>
      <c r="AF120" s="22" t="s">
        <v>5</v>
      </c>
      <c r="AG120" s="22" t="s">
        <v>5</v>
      </c>
      <c r="AH120" s="22" t="s">
        <v>5</v>
      </c>
      <c r="AI120" s="8">
        <f t="shared" si="40"/>
        <v>13</v>
      </c>
      <c r="AJ120" s="8">
        <f t="shared" si="41"/>
        <v>10</v>
      </c>
      <c r="AK120" s="29">
        <f t="shared" si="42"/>
        <v>2</v>
      </c>
      <c r="AL120" s="62">
        <v>3</v>
      </c>
      <c r="AM120" s="33">
        <f t="shared" si="43"/>
        <v>16.5</v>
      </c>
      <c r="AN120" s="63">
        <f t="shared" si="44"/>
        <v>184</v>
      </c>
      <c r="AO120" s="63">
        <f t="shared" si="45"/>
        <v>0</v>
      </c>
      <c r="AP120" s="63">
        <f t="shared" si="46"/>
        <v>0</v>
      </c>
      <c r="AQ120" s="53">
        <f t="shared" si="47"/>
        <v>16.5</v>
      </c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</row>
    <row r="121" spans="1:56" ht="22" customHeight="1" x14ac:dyDescent="0.35">
      <c r="A121" s="8" t="s">
        <v>257</v>
      </c>
      <c r="B121" s="8" t="s">
        <v>258</v>
      </c>
      <c r="C121" s="8" t="s">
        <v>254</v>
      </c>
      <c r="D121" s="26" t="s">
        <v>3</v>
      </c>
      <c r="E121" s="26" t="s">
        <v>3</v>
      </c>
      <c r="F121" s="26" t="s">
        <v>3</v>
      </c>
      <c r="G121" s="27" t="s">
        <v>7</v>
      </c>
      <c r="H121" s="28" t="s">
        <v>11</v>
      </c>
      <c r="I121" s="26" t="s">
        <v>3</v>
      </c>
      <c r="J121" s="26" t="s">
        <v>3</v>
      </c>
      <c r="K121" s="26" t="s">
        <v>3</v>
      </c>
      <c r="L121" s="26" t="s">
        <v>3</v>
      </c>
      <c r="M121" s="26" t="s">
        <v>3</v>
      </c>
      <c r="N121" s="27" t="s">
        <v>7</v>
      </c>
      <c r="O121" s="28" t="s">
        <v>11</v>
      </c>
      <c r="P121" s="26" t="s">
        <v>3</v>
      </c>
      <c r="Q121" s="26" t="s">
        <v>3</v>
      </c>
      <c r="R121" s="26" t="s">
        <v>3</v>
      </c>
      <c r="S121" s="26" t="s">
        <v>3</v>
      </c>
      <c r="T121" s="26" t="s">
        <v>3</v>
      </c>
      <c r="U121" s="27" t="s">
        <v>7</v>
      </c>
      <c r="V121" s="28" t="s">
        <v>11</v>
      </c>
      <c r="W121" s="26" t="s">
        <v>3</v>
      </c>
      <c r="X121" s="26" t="s">
        <v>3</v>
      </c>
      <c r="Y121" s="26" t="s">
        <v>3</v>
      </c>
      <c r="Z121" s="26" t="s">
        <v>3</v>
      </c>
      <c r="AA121" s="26" t="s">
        <v>3</v>
      </c>
      <c r="AB121" s="27" t="s">
        <v>7</v>
      </c>
      <c r="AC121" s="28" t="s">
        <v>11</v>
      </c>
      <c r="AD121" s="26" t="s">
        <v>3</v>
      </c>
      <c r="AE121" s="26" t="s">
        <v>3</v>
      </c>
      <c r="AF121" s="26" t="s">
        <v>3</v>
      </c>
      <c r="AG121" s="26" t="s">
        <v>3</v>
      </c>
      <c r="AH121" s="26" t="s">
        <v>3</v>
      </c>
      <c r="AI121" s="8">
        <f t="shared" si="40"/>
        <v>23</v>
      </c>
      <c r="AJ121" s="8">
        <f t="shared" si="41"/>
        <v>0</v>
      </c>
      <c r="AK121" s="29">
        <f t="shared" si="42"/>
        <v>4</v>
      </c>
      <c r="AL121" s="62">
        <v>4</v>
      </c>
      <c r="AM121" s="33">
        <f t="shared" si="43"/>
        <v>29</v>
      </c>
      <c r="AN121" s="63">
        <f t="shared" si="44"/>
        <v>184</v>
      </c>
      <c r="AO121" s="63">
        <f t="shared" si="45"/>
        <v>1</v>
      </c>
      <c r="AP121" s="63">
        <f t="shared" si="46"/>
        <v>4</v>
      </c>
      <c r="AQ121" s="53">
        <f t="shared" si="47"/>
        <v>28.5</v>
      </c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</row>
    <row r="122" spans="1:56" ht="22" customHeight="1" x14ac:dyDescent="0.35">
      <c r="A122" s="8" t="s">
        <v>259</v>
      </c>
      <c r="B122" s="8" t="s">
        <v>260</v>
      </c>
      <c r="C122" s="8" t="s">
        <v>254</v>
      </c>
      <c r="D122" s="22" t="s">
        <v>5</v>
      </c>
      <c r="E122" s="22" t="s">
        <v>5</v>
      </c>
      <c r="F122" s="22" t="s">
        <v>5</v>
      </c>
      <c r="G122" s="23" t="s">
        <v>7</v>
      </c>
      <c r="H122" s="28" t="s">
        <v>11</v>
      </c>
      <c r="I122" s="26" t="s">
        <v>3</v>
      </c>
      <c r="J122" s="26" t="s">
        <v>3</v>
      </c>
      <c r="K122" s="26" t="s">
        <v>3</v>
      </c>
      <c r="L122" s="26" t="s">
        <v>3</v>
      </c>
      <c r="M122" s="26" t="s">
        <v>3</v>
      </c>
      <c r="N122" s="27" t="s">
        <v>7</v>
      </c>
      <c r="O122" s="28" t="s">
        <v>11</v>
      </c>
      <c r="P122" s="26" t="s">
        <v>3</v>
      </c>
      <c r="Q122" s="26" t="s">
        <v>3</v>
      </c>
      <c r="R122" s="26" t="s">
        <v>3</v>
      </c>
      <c r="S122" s="26" t="s">
        <v>3</v>
      </c>
      <c r="T122" s="26" t="s">
        <v>3</v>
      </c>
      <c r="U122" s="27" t="s">
        <v>7</v>
      </c>
      <c r="V122" s="28" t="s">
        <v>11</v>
      </c>
      <c r="W122" s="26" t="s">
        <v>3</v>
      </c>
      <c r="X122" s="26" t="s">
        <v>3</v>
      </c>
      <c r="Y122" s="26" t="s">
        <v>3</v>
      </c>
      <c r="Z122" s="26" t="s">
        <v>3</v>
      </c>
      <c r="AA122" s="26" t="s">
        <v>3</v>
      </c>
      <c r="AB122" s="27" t="s">
        <v>7</v>
      </c>
      <c r="AC122" s="28" t="s">
        <v>11</v>
      </c>
      <c r="AD122" s="26" t="s">
        <v>3</v>
      </c>
      <c r="AE122" s="26" t="s">
        <v>3</v>
      </c>
      <c r="AF122" s="26" t="s">
        <v>3</v>
      </c>
      <c r="AG122" s="26" t="s">
        <v>3</v>
      </c>
      <c r="AH122" s="26" t="s">
        <v>3</v>
      </c>
      <c r="AI122" s="8">
        <f t="shared" si="40"/>
        <v>20</v>
      </c>
      <c r="AJ122" s="8">
        <f t="shared" si="41"/>
        <v>3</v>
      </c>
      <c r="AK122" s="29">
        <f t="shared" si="42"/>
        <v>4</v>
      </c>
      <c r="AL122" s="62">
        <v>3</v>
      </c>
      <c r="AM122" s="33">
        <f t="shared" si="43"/>
        <v>25.5</v>
      </c>
      <c r="AN122" s="63">
        <f t="shared" si="44"/>
        <v>184</v>
      </c>
      <c r="AO122" s="63">
        <f t="shared" si="45"/>
        <v>1</v>
      </c>
      <c r="AP122" s="63">
        <f t="shared" si="46"/>
        <v>4</v>
      </c>
      <c r="AQ122" s="53">
        <f t="shared" si="47"/>
        <v>25</v>
      </c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</row>
    <row r="123" spans="1:56" ht="22" customHeight="1" x14ac:dyDescent="0.35">
      <c r="A123" s="8" t="s">
        <v>261</v>
      </c>
      <c r="B123" s="8" t="s">
        <v>262</v>
      </c>
      <c r="C123" s="8" t="s">
        <v>254</v>
      </c>
      <c r="D123" s="26" t="s">
        <v>3</v>
      </c>
      <c r="E123" s="26" t="s">
        <v>3</v>
      </c>
      <c r="F123" s="26" t="s">
        <v>3</v>
      </c>
      <c r="G123" s="27" t="s">
        <v>7</v>
      </c>
      <c r="H123" s="28" t="s">
        <v>11</v>
      </c>
      <c r="I123" s="26" t="s">
        <v>3</v>
      </c>
      <c r="J123" s="26" t="s">
        <v>3</v>
      </c>
      <c r="K123" s="26" t="s">
        <v>3</v>
      </c>
      <c r="L123" s="26" t="s">
        <v>3</v>
      </c>
      <c r="M123" s="26" t="s">
        <v>3</v>
      </c>
      <c r="N123" s="27" t="s">
        <v>7</v>
      </c>
      <c r="O123" s="28" t="s">
        <v>11</v>
      </c>
      <c r="P123" s="26" t="s">
        <v>3</v>
      </c>
      <c r="Q123" s="26" t="s">
        <v>3</v>
      </c>
      <c r="R123" s="26" t="s">
        <v>3</v>
      </c>
      <c r="S123" s="26" t="s">
        <v>3</v>
      </c>
      <c r="T123" s="26" t="s">
        <v>3</v>
      </c>
      <c r="U123" s="27" t="s">
        <v>7</v>
      </c>
      <c r="V123" s="28" t="s">
        <v>11</v>
      </c>
      <c r="W123" s="26" t="s">
        <v>3</v>
      </c>
      <c r="X123" s="26" t="s">
        <v>3</v>
      </c>
      <c r="Y123" s="26" t="s">
        <v>3</v>
      </c>
      <c r="Z123" s="26" t="s">
        <v>3</v>
      </c>
      <c r="AA123" s="26" t="s">
        <v>3</v>
      </c>
      <c r="AB123" s="27" t="s">
        <v>7</v>
      </c>
      <c r="AC123" s="28" t="s">
        <v>11</v>
      </c>
      <c r="AD123" s="26" t="s">
        <v>3</v>
      </c>
      <c r="AE123" s="26" t="s">
        <v>3</v>
      </c>
      <c r="AF123" s="26" t="s">
        <v>3</v>
      </c>
      <c r="AG123" s="26" t="s">
        <v>3</v>
      </c>
      <c r="AH123" s="26" t="s">
        <v>3</v>
      </c>
      <c r="AI123" s="8">
        <f t="shared" si="40"/>
        <v>23</v>
      </c>
      <c r="AJ123" s="8">
        <f t="shared" si="41"/>
        <v>0</v>
      </c>
      <c r="AK123" s="29">
        <f t="shared" si="42"/>
        <v>4</v>
      </c>
      <c r="AL123" s="62">
        <v>4</v>
      </c>
      <c r="AM123" s="33">
        <f t="shared" si="43"/>
        <v>29</v>
      </c>
      <c r="AN123" s="63">
        <f t="shared" si="44"/>
        <v>184</v>
      </c>
      <c r="AO123" s="63">
        <f t="shared" si="45"/>
        <v>1</v>
      </c>
      <c r="AP123" s="63">
        <f t="shared" si="46"/>
        <v>4</v>
      </c>
      <c r="AQ123" s="53">
        <f t="shared" si="47"/>
        <v>28.5</v>
      </c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</row>
    <row r="124" spans="1:56" ht="22" customHeight="1" x14ac:dyDescent="0.35">
      <c r="A124" s="8" t="s">
        <v>263</v>
      </c>
      <c r="B124" s="8" t="s">
        <v>264</v>
      </c>
      <c r="C124" s="8" t="s">
        <v>254</v>
      </c>
      <c r="D124" s="26" t="s">
        <v>3</v>
      </c>
      <c r="E124" s="26" t="s">
        <v>3</v>
      </c>
      <c r="F124" s="26" t="s">
        <v>3</v>
      </c>
      <c r="G124" s="27" t="s">
        <v>7</v>
      </c>
      <c r="H124" s="28" t="s">
        <v>11</v>
      </c>
      <c r="I124" s="26" t="s">
        <v>3</v>
      </c>
      <c r="J124" s="26" t="s">
        <v>3</v>
      </c>
      <c r="K124" s="26" t="s">
        <v>3</v>
      </c>
      <c r="L124" s="26" t="s">
        <v>3</v>
      </c>
      <c r="M124" s="26" t="s">
        <v>3</v>
      </c>
      <c r="N124" s="27" t="s">
        <v>7</v>
      </c>
      <c r="O124" s="28" t="s">
        <v>11</v>
      </c>
      <c r="P124" s="26" t="s">
        <v>3</v>
      </c>
      <c r="Q124" s="26" t="s">
        <v>3</v>
      </c>
      <c r="R124" s="26" t="s">
        <v>3</v>
      </c>
      <c r="S124" s="26" t="s">
        <v>3</v>
      </c>
      <c r="T124" s="26" t="s">
        <v>3</v>
      </c>
      <c r="U124" s="27" t="s">
        <v>7</v>
      </c>
      <c r="V124" s="28" t="s">
        <v>11</v>
      </c>
      <c r="W124" s="26" t="s">
        <v>3</v>
      </c>
      <c r="X124" s="26" t="s">
        <v>3</v>
      </c>
      <c r="Y124" s="26" t="s">
        <v>3</v>
      </c>
      <c r="Z124" s="26" t="s">
        <v>3</v>
      </c>
      <c r="AA124" s="26" t="s">
        <v>3</v>
      </c>
      <c r="AB124" s="27" t="s">
        <v>7</v>
      </c>
      <c r="AC124" s="28" t="s">
        <v>11</v>
      </c>
      <c r="AD124" s="26" t="s">
        <v>3</v>
      </c>
      <c r="AE124" s="26" t="s">
        <v>3</v>
      </c>
      <c r="AF124" s="26" t="s">
        <v>3</v>
      </c>
      <c r="AG124" s="26" t="s">
        <v>3</v>
      </c>
      <c r="AH124" s="26" t="s">
        <v>3</v>
      </c>
      <c r="AI124" s="8">
        <f t="shared" si="40"/>
        <v>23</v>
      </c>
      <c r="AJ124" s="8">
        <f t="shared" si="41"/>
        <v>0</v>
      </c>
      <c r="AK124" s="29">
        <f t="shared" si="42"/>
        <v>4</v>
      </c>
      <c r="AL124" s="62">
        <v>4</v>
      </c>
      <c r="AM124" s="33">
        <f t="shared" si="43"/>
        <v>29</v>
      </c>
      <c r="AN124" s="63">
        <f t="shared" si="44"/>
        <v>184</v>
      </c>
      <c r="AO124" s="63">
        <f t="shared" si="45"/>
        <v>1</v>
      </c>
      <c r="AP124" s="63">
        <f t="shared" si="46"/>
        <v>4</v>
      </c>
      <c r="AQ124" s="53">
        <f t="shared" si="47"/>
        <v>28.5</v>
      </c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</row>
    <row r="125" spans="1:56" ht="22" customHeight="1" x14ac:dyDescent="0.35">
      <c r="A125" s="8" t="s">
        <v>265</v>
      </c>
      <c r="B125" s="8" t="s">
        <v>266</v>
      </c>
      <c r="C125" s="8" t="s">
        <v>254</v>
      </c>
      <c r="D125" s="26" t="s">
        <v>3</v>
      </c>
      <c r="E125" s="26" t="s">
        <v>3</v>
      </c>
      <c r="F125" s="26" t="s">
        <v>3</v>
      </c>
      <c r="G125" s="27" t="s">
        <v>7</v>
      </c>
      <c r="H125" s="24" t="s">
        <v>9</v>
      </c>
      <c r="I125" s="26" t="s">
        <v>3</v>
      </c>
      <c r="J125" s="26" t="s">
        <v>3</v>
      </c>
      <c r="K125" s="26" t="s">
        <v>3</v>
      </c>
      <c r="L125" s="26" t="s">
        <v>3</v>
      </c>
      <c r="M125" s="26" t="s">
        <v>3</v>
      </c>
      <c r="N125" s="27" t="s">
        <v>7</v>
      </c>
      <c r="O125" s="28" t="s">
        <v>11</v>
      </c>
      <c r="P125" s="26" t="s">
        <v>3</v>
      </c>
      <c r="Q125" s="26" t="s">
        <v>3</v>
      </c>
      <c r="R125" s="26" t="s">
        <v>3</v>
      </c>
      <c r="S125" s="26" t="s">
        <v>3</v>
      </c>
      <c r="T125" s="26" t="s">
        <v>3</v>
      </c>
      <c r="U125" s="27" t="s">
        <v>7</v>
      </c>
      <c r="V125" s="28" t="s">
        <v>11</v>
      </c>
      <c r="W125" s="26" t="s">
        <v>3</v>
      </c>
      <c r="X125" s="26" t="s">
        <v>3</v>
      </c>
      <c r="Y125" s="26" t="s">
        <v>3</v>
      </c>
      <c r="Z125" s="26" t="s">
        <v>3</v>
      </c>
      <c r="AA125" s="26" t="s">
        <v>3</v>
      </c>
      <c r="AB125" s="27" t="s">
        <v>7</v>
      </c>
      <c r="AC125" s="28" t="s">
        <v>11</v>
      </c>
      <c r="AD125" s="26" t="s">
        <v>3</v>
      </c>
      <c r="AE125" s="26" t="s">
        <v>3</v>
      </c>
      <c r="AF125" s="26" t="s">
        <v>3</v>
      </c>
      <c r="AG125" s="26" t="s">
        <v>3</v>
      </c>
      <c r="AH125" s="26" t="s">
        <v>3</v>
      </c>
      <c r="AI125" s="8">
        <f t="shared" si="40"/>
        <v>23</v>
      </c>
      <c r="AJ125" s="8">
        <f t="shared" si="41"/>
        <v>0</v>
      </c>
      <c r="AK125" s="29">
        <f t="shared" si="42"/>
        <v>3</v>
      </c>
      <c r="AL125" s="62">
        <v>4</v>
      </c>
      <c r="AM125" s="33">
        <f t="shared" si="43"/>
        <v>28</v>
      </c>
      <c r="AN125" s="63">
        <f t="shared" si="44"/>
        <v>184</v>
      </c>
      <c r="AO125" s="63">
        <f t="shared" si="45"/>
        <v>1</v>
      </c>
      <c r="AP125" s="63">
        <f t="shared" si="46"/>
        <v>4</v>
      </c>
      <c r="AQ125" s="53">
        <f t="shared" si="47"/>
        <v>27.5</v>
      </c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</row>
    <row r="126" spans="1:56" ht="22" customHeight="1" x14ac:dyDescent="0.35">
      <c r="A126" s="8" t="s">
        <v>267</v>
      </c>
      <c r="B126" s="8" t="s">
        <v>268</v>
      </c>
      <c r="C126" s="8" t="s">
        <v>254</v>
      </c>
      <c r="D126" s="22" t="s">
        <v>5</v>
      </c>
      <c r="E126" s="22" t="s">
        <v>5</v>
      </c>
      <c r="F126" s="22" t="s">
        <v>5</v>
      </c>
      <c r="G126" s="23" t="s">
        <v>7</v>
      </c>
      <c r="H126" s="24" t="s">
        <v>9</v>
      </c>
      <c r="I126" s="22" t="s">
        <v>5</v>
      </c>
      <c r="J126" s="22" t="s">
        <v>5</v>
      </c>
      <c r="K126" s="22" t="s">
        <v>5</v>
      </c>
      <c r="L126" s="26" t="s">
        <v>3</v>
      </c>
      <c r="M126" s="26" t="s">
        <v>3</v>
      </c>
      <c r="N126" s="27" t="s">
        <v>7</v>
      </c>
      <c r="O126" s="28" t="s">
        <v>11</v>
      </c>
      <c r="P126" s="26" t="s">
        <v>3</v>
      </c>
      <c r="Q126" s="26" t="s">
        <v>3</v>
      </c>
      <c r="R126" s="26" t="s">
        <v>3</v>
      </c>
      <c r="S126" s="26" t="s">
        <v>3</v>
      </c>
      <c r="T126" s="26" t="s">
        <v>3</v>
      </c>
      <c r="U126" s="27" t="s">
        <v>7</v>
      </c>
      <c r="V126" s="28" t="s">
        <v>11</v>
      </c>
      <c r="W126" s="26" t="s">
        <v>3</v>
      </c>
      <c r="X126" s="26" t="s">
        <v>3</v>
      </c>
      <c r="Y126" s="22" t="s">
        <v>5</v>
      </c>
      <c r="Z126" s="26" t="s">
        <v>3</v>
      </c>
      <c r="AA126" s="26" t="s">
        <v>3</v>
      </c>
      <c r="AB126" s="27" t="s">
        <v>7</v>
      </c>
      <c r="AC126" s="28" t="s">
        <v>11</v>
      </c>
      <c r="AD126" s="26" t="s">
        <v>3</v>
      </c>
      <c r="AE126" s="26" t="s">
        <v>3</v>
      </c>
      <c r="AF126" s="26" t="s">
        <v>3</v>
      </c>
      <c r="AG126" s="26" t="s">
        <v>3</v>
      </c>
      <c r="AH126" s="26" t="s">
        <v>3</v>
      </c>
      <c r="AI126" s="8">
        <f t="shared" si="40"/>
        <v>16</v>
      </c>
      <c r="AJ126" s="8">
        <f t="shared" si="41"/>
        <v>7</v>
      </c>
      <c r="AK126" s="29">
        <f t="shared" si="42"/>
        <v>3</v>
      </c>
      <c r="AL126" s="62">
        <v>3</v>
      </c>
      <c r="AM126" s="33">
        <f t="shared" si="43"/>
        <v>20.5</v>
      </c>
      <c r="AN126" s="63">
        <f t="shared" si="44"/>
        <v>184</v>
      </c>
      <c r="AO126" s="63">
        <f t="shared" si="45"/>
        <v>1</v>
      </c>
      <c r="AP126" s="63">
        <f t="shared" si="46"/>
        <v>4</v>
      </c>
      <c r="AQ126" s="53">
        <f t="shared" si="47"/>
        <v>20</v>
      </c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</row>
    <row r="127" spans="1:56" ht="22" customHeight="1" x14ac:dyDescent="0.35">
      <c r="A127" s="8" t="s">
        <v>269</v>
      </c>
      <c r="B127" s="8" t="s">
        <v>270</v>
      </c>
      <c r="C127" s="8" t="s">
        <v>254</v>
      </c>
      <c r="D127" s="22" t="s">
        <v>5</v>
      </c>
      <c r="E127" s="22" t="s">
        <v>5</v>
      </c>
      <c r="F127" s="22" t="s">
        <v>5</v>
      </c>
      <c r="G127" s="23" t="s">
        <v>7</v>
      </c>
      <c r="H127" s="24" t="s">
        <v>9</v>
      </c>
      <c r="I127" s="22" t="s">
        <v>5</v>
      </c>
      <c r="J127" s="22" t="s">
        <v>5</v>
      </c>
      <c r="K127" s="22" t="s">
        <v>5</v>
      </c>
      <c r="L127" s="22" t="s">
        <v>5</v>
      </c>
      <c r="M127" s="22" t="s">
        <v>5</v>
      </c>
      <c r="N127" s="23" t="s">
        <v>7</v>
      </c>
      <c r="O127" s="24" t="s">
        <v>9</v>
      </c>
      <c r="P127" s="22" t="s">
        <v>5</v>
      </c>
      <c r="Q127" s="22" t="s">
        <v>5</v>
      </c>
      <c r="R127" s="22" t="s">
        <v>5</v>
      </c>
      <c r="S127" s="22" t="s">
        <v>5</v>
      </c>
      <c r="T127" s="22" t="s">
        <v>5</v>
      </c>
      <c r="U127" s="23" t="s">
        <v>7</v>
      </c>
      <c r="V127" s="24" t="s">
        <v>9</v>
      </c>
      <c r="W127" s="22" t="s">
        <v>5</v>
      </c>
      <c r="X127" s="26" t="s">
        <v>3</v>
      </c>
      <c r="Y127" s="22" t="s">
        <v>5</v>
      </c>
      <c r="Z127" s="22" t="s">
        <v>5</v>
      </c>
      <c r="AA127" s="26" t="s">
        <v>3</v>
      </c>
      <c r="AB127" s="27" t="s">
        <v>7</v>
      </c>
      <c r="AC127" s="28" t="s">
        <v>11</v>
      </c>
      <c r="AD127" s="26" t="s">
        <v>3</v>
      </c>
      <c r="AE127" s="26" t="s">
        <v>3</v>
      </c>
      <c r="AF127" s="26" t="s">
        <v>3</v>
      </c>
      <c r="AG127" s="26" t="s">
        <v>3</v>
      </c>
      <c r="AH127" s="26" t="s">
        <v>3</v>
      </c>
      <c r="AI127" s="8">
        <f t="shared" si="40"/>
        <v>7</v>
      </c>
      <c r="AJ127" s="25">
        <f t="shared" si="41"/>
        <v>16</v>
      </c>
      <c r="AK127" s="29">
        <f t="shared" si="42"/>
        <v>1</v>
      </c>
      <c r="AL127" s="62">
        <v>1</v>
      </c>
      <c r="AM127" s="33">
        <f t="shared" si="43"/>
        <v>8.5</v>
      </c>
      <c r="AN127" s="63">
        <f t="shared" si="44"/>
        <v>184</v>
      </c>
      <c r="AO127" s="63">
        <f t="shared" si="45"/>
        <v>1</v>
      </c>
      <c r="AP127" s="63">
        <f t="shared" si="46"/>
        <v>4</v>
      </c>
      <c r="AQ127" s="53">
        <f t="shared" si="47"/>
        <v>8</v>
      </c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</row>
    <row r="128" spans="1:56" ht="22" customHeight="1" x14ac:dyDescent="0.35">
      <c r="A128" s="8" t="s">
        <v>271</v>
      </c>
      <c r="B128" s="8" t="s">
        <v>272</v>
      </c>
      <c r="C128" s="8" t="s">
        <v>254</v>
      </c>
      <c r="D128" s="22" t="s">
        <v>5</v>
      </c>
      <c r="E128" s="22" t="s">
        <v>5</v>
      </c>
      <c r="F128" s="22" t="s">
        <v>5</v>
      </c>
      <c r="G128" s="27" t="s">
        <v>7</v>
      </c>
      <c r="H128" s="28" t="s">
        <v>11</v>
      </c>
      <c r="I128" s="22" t="s">
        <v>5</v>
      </c>
      <c r="J128" s="26" t="s">
        <v>3</v>
      </c>
      <c r="K128" s="26" t="s">
        <v>3</v>
      </c>
      <c r="L128" s="26" t="s">
        <v>3</v>
      </c>
      <c r="M128" s="26" t="s">
        <v>3</v>
      </c>
      <c r="N128" s="27" t="s">
        <v>7</v>
      </c>
      <c r="O128" s="28" t="s">
        <v>11</v>
      </c>
      <c r="P128" s="26" t="s">
        <v>3</v>
      </c>
      <c r="Q128" s="26" t="s">
        <v>3</v>
      </c>
      <c r="R128" s="26" t="s">
        <v>3</v>
      </c>
      <c r="S128" s="26" t="s">
        <v>3</v>
      </c>
      <c r="T128" s="26" t="s">
        <v>3</v>
      </c>
      <c r="U128" s="27" t="s">
        <v>7</v>
      </c>
      <c r="V128" s="28" t="s">
        <v>11</v>
      </c>
      <c r="W128" s="26" t="s">
        <v>3</v>
      </c>
      <c r="X128" s="26" t="s">
        <v>3</v>
      </c>
      <c r="Y128" s="26" t="s">
        <v>3</v>
      </c>
      <c r="Z128" s="26" t="s">
        <v>3</v>
      </c>
      <c r="AA128" s="26" t="s">
        <v>3</v>
      </c>
      <c r="AB128" s="27" t="s">
        <v>7</v>
      </c>
      <c r="AC128" s="24" t="s">
        <v>9</v>
      </c>
      <c r="AD128" s="22" t="s">
        <v>5</v>
      </c>
      <c r="AE128" s="26" t="s">
        <v>3</v>
      </c>
      <c r="AF128" s="26" t="s">
        <v>3</v>
      </c>
      <c r="AG128" s="26" t="s">
        <v>3</v>
      </c>
      <c r="AH128" s="26" t="s">
        <v>3</v>
      </c>
      <c r="AI128" s="8">
        <f t="shared" si="40"/>
        <v>18</v>
      </c>
      <c r="AJ128" s="8">
        <f t="shared" si="41"/>
        <v>5</v>
      </c>
      <c r="AK128" s="29">
        <f t="shared" si="42"/>
        <v>3</v>
      </c>
      <c r="AL128" s="62">
        <v>4</v>
      </c>
      <c r="AM128" s="33">
        <f t="shared" si="43"/>
        <v>23</v>
      </c>
      <c r="AN128" s="63">
        <f t="shared" si="44"/>
        <v>184</v>
      </c>
      <c r="AO128" s="63">
        <f t="shared" si="45"/>
        <v>0</v>
      </c>
      <c r="AP128" s="63">
        <f t="shared" si="46"/>
        <v>0</v>
      </c>
      <c r="AQ128" s="53">
        <f t="shared" si="47"/>
        <v>23</v>
      </c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</row>
    <row r="129" spans="1:56" ht="22" customHeight="1" x14ac:dyDescent="0.35">
      <c r="A129" s="8" t="s">
        <v>273</v>
      </c>
      <c r="B129" s="8" t="s">
        <v>274</v>
      </c>
      <c r="C129" s="8" t="s">
        <v>254</v>
      </c>
      <c r="D129" s="26" t="s">
        <v>3</v>
      </c>
      <c r="E129" s="26" t="s">
        <v>3</v>
      </c>
      <c r="F129" s="26" t="s">
        <v>3</v>
      </c>
      <c r="G129" s="27" t="s">
        <v>7</v>
      </c>
      <c r="H129" s="28" t="s">
        <v>11</v>
      </c>
      <c r="I129" s="26" t="s">
        <v>3</v>
      </c>
      <c r="J129" s="26" t="s">
        <v>3</v>
      </c>
      <c r="K129" s="22" t="s">
        <v>5</v>
      </c>
      <c r="L129" s="22" t="s">
        <v>5</v>
      </c>
      <c r="M129" s="22" t="s">
        <v>5</v>
      </c>
      <c r="N129" s="23" t="s">
        <v>7</v>
      </c>
      <c r="O129" s="24" t="s">
        <v>9</v>
      </c>
      <c r="P129" s="22" t="s">
        <v>5</v>
      </c>
      <c r="Q129" s="22" t="s">
        <v>5</v>
      </c>
      <c r="R129" s="22" t="s">
        <v>5</v>
      </c>
      <c r="S129" s="22" t="s">
        <v>5</v>
      </c>
      <c r="T129" s="22" t="s">
        <v>5</v>
      </c>
      <c r="U129" s="23" t="s">
        <v>7</v>
      </c>
      <c r="V129" s="24" t="s">
        <v>9</v>
      </c>
      <c r="W129" s="22" t="s">
        <v>5</v>
      </c>
      <c r="X129" s="22" t="s">
        <v>5</v>
      </c>
      <c r="Y129" s="22" t="s">
        <v>5</v>
      </c>
      <c r="Z129" s="22" t="s">
        <v>5</v>
      </c>
      <c r="AA129" s="22" t="s">
        <v>5</v>
      </c>
      <c r="AB129" s="23" t="s">
        <v>7</v>
      </c>
      <c r="AC129" s="24" t="s">
        <v>9</v>
      </c>
      <c r="AD129" s="22" t="s">
        <v>5</v>
      </c>
      <c r="AE129" s="22" t="s">
        <v>5</v>
      </c>
      <c r="AF129" s="22" t="s">
        <v>5</v>
      </c>
      <c r="AG129" s="22" t="s">
        <v>5</v>
      </c>
      <c r="AH129" s="22" t="s">
        <v>5</v>
      </c>
      <c r="AI129" s="8">
        <f t="shared" si="40"/>
        <v>5</v>
      </c>
      <c r="AJ129" s="25">
        <f t="shared" si="41"/>
        <v>18</v>
      </c>
      <c r="AK129" s="29">
        <f t="shared" si="42"/>
        <v>1</v>
      </c>
      <c r="AL129" s="62">
        <v>1</v>
      </c>
      <c r="AM129" s="33">
        <f t="shared" si="43"/>
        <v>6.5</v>
      </c>
      <c r="AN129" s="63">
        <f t="shared" si="44"/>
        <v>184</v>
      </c>
      <c r="AO129" s="63">
        <f t="shared" si="45"/>
        <v>0</v>
      </c>
      <c r="AP129" s="63">
        <f t="shared" si="46"/>
        <v>0</v>
      </c>
      <c r="AQ129" s="53">
        <f t="shared" si="47"/>
        <v>6.5</v>
      </c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</row>
  </sheetData>
  <mergeCells count="11">
    <mergeCell ref="A118:AK118"/>
    <mergeCell ref="A37:AK37"/>
    <mergeCell ref="A1:AK1"/>
    <mergeCell ref="A91:AK91"/>
    <mergeCell ref="A4:AK4"/>
    <mergeCell ref="A97:AK97"/>
    <mergeCell ref="A21:AK21"/>
    <mergeCell ref="A113:AK113"/>
    <mergeCell ref="A2:AK2"/>
    <mergeCell ref="A76:AK76"/>
    <mergeCell ref="A84:AK8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129"/>
  <sheetViews>
    <sheetView workbookViewId="0">
      <pane xSplit="3" ySplit="3" topLeftCell="N21" activePane="bottomRight" state="frozen"/>
      <selection pane="topRight"/>
      <selection pane="bottomLeft"/>
      <selection pane="bottomRight" activeCell="A28" sqref="A28:XFD28"/>
    </sheetView>
  </sheetViews>
  <sheetFormatPr defaultRowHeight="14.5" x14ac:dyDescent="0.35"/>
  <cols>
    <col min="1" max="1" width="7" customWidth="1"/>
    <col min="2" max="2" width="24" customWidth="1"/>
    <col min="3" max="3" width="12" customWidth="1"/>
    <col min="4" max="36" width="5" customWidth="1"/>
    <col min="37" max="37" width="7" customWidth="1"/>
    <col min="38" max="38" width="8" customWidth="1"/>
    <col min="39" max="39" width="9" customWidth="1"/>
    <col min="40" max="40" width="8" customWidth="1"/>
    <col min="41" max="42" width="9" customWidth="1"/>
  </cols>
  <sheetData>
    <row r="1" spans="1:55" ht="30" customHeight="1" x14ac:dyDescent="0.35">
      <c r="A1" s="78" t="s">
        <v>487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</row>
    <row r="2" spans="1:55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M2" s="38"/>
      <c r="AN2" s="59" t="s">
        <v>311</v>
      </c>
      <c r="AO2" s="60">
        <v>4</v>
      </c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</row>
    <row r="3" spans="1:55" ht="35.15" customHeight="1" x14ac:dyDescent="0.35">
      <c r="A3" s="18" t="s">
        <v>14</v>
      </c>
      <c r="B3" s="18" t="s">
        <v>15</v>
      </c>
      <c r="C3" s="18" t="s">
        <v>312</v>
      </c>
      <c r="D3" s="20" t="s">
        <v>356</v>
      </c>
      <c r="E3" s="21" t="s">
        <v>357</v>
      </c>
      <c r="F3" s="19" t="s">
        <v>358</v>
      </c>
      <c r="G3" s="19" t="s">
        <v>359</v>
      </c>
      <c r="H3" s="19" t="s">
        <v>360</v>
      </c>
      <c r="I3" s="19" t="s">
        <v>361</v>
      </c>
      <c r="J3" s="19" t="s">
        <v>362</v>
      </c>
      <c r="K3" s="20" t="s">
        <v>363</v>
      </c>
      <c r="L3" s="21" t="s">
        <v>364</v>
      </c>
      <c r="M3" s="19" t="s">
        <v>365</v>
      </c>
      <c r="N3" s="19" t="s">
        <v>366</v>
      </c>
      <c r="O3" s="19" t="s">
        <v>367</v>
      </c>
      <c r="P3" s="19" t="s">
        <v>368</v>
      </c>
      <c r="Q3" s="19" t="s">
        <v>369</v>
      </c>
      <c r="R3" s="20" t="s">
        <v>370</v>
      </c>
      <c r="S3" s="21" t="s">
        <v>371</v>
      </c>
      <c r="T3" s="19" t="s">
        <v>372</v>
      </c>
      <c r="U3" s="19" t="s">
        <v>373</v>
      </c>
      <c r="V3" s="19" t="s">
        <v>374</v>
      </c>
      <c r="W3" s="19" t="s">
        <v>375</v>
      </c>
      <c r="X3" s="19" t="s">
        <v>376</v>
      </c>
      <c r="Y3" s="20" t="s">
        <v>377</v>
      </c>
      <c r="Z3" s="21" t="s">
        <v>378</v>
      </c>
      <c r="AA3" s="19" t="s">
        <v>379</v>
      </c>
      <c r="AB3" s="19" t="s">
        <v>380</v>
      </c>
      <c r="AC3" s="19" t="s">
        <v>381</v>
      </c>
      <c r="AD3" s="19" t="s">
        <v>382</v>
      </c>
      <c r="AE3" s="19" t="s">
        <v>383</v>
      </c>
      <c r="AF3" s="20" t="s">
        <v>385</v>
      </c>
      <c r="AG3" s="21" t="s">
        <v>386</v>
      </c>
      <c r="AH3" s="7" t="s">
        <v>344</v>
      </c>
      <c r="AI3" s="7" t="s">
        <v>345</v>
      </c>
      <c r="AJ3" s="7" t="s">
        <v>29</v>
      </c>
      <c r="AK3" s="34" t="s">
        <v>346</v>
      </c>
      <c r="AL3" s="34" t="s">
        <v>347</v>
      </c>
      <c r="AM3" s="61" t="s">
        <v>348</v>
      </c>
      <c r="AN3" s="42" t="s">
        <v>349</v>
      </c>
      <c r="AO3" s="43" t="s">
        <v>350</v>
      </c>
      <c r="AP3" s="40" t="s">
        <v>351</v>
      </c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</row>
    <row r="4" spans="1:55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</row>
    <row r="5" spans="1:55" ht="22" customHeight="1" x14ac:dyDescent="0.35">
      <c r="A5" s="8" t="s">
        <v>43</v>
      </c>
      <c r="B5" s="8" t="s">
        <v>44</v>
      </c>
      <c r="C5" s="8" t="s">
        <v>45</v>
      </c>
      <c r="D5" s="27" t="s">
        <v>7</v>
      </c>
      <c r="E5" s="28" t="s">
        <v>11</v>
      </c>
      <c r="F5" s="26" t="s">
        <v>3</v>
      </c>
      <c r="G5" s="26" t="s">
        <v>3</v>
      </c>
      <c r="H5" s="26" t="s">
        <v>3</v>
      </c>
      <c r="I5" s="26" t="s">
        <v>3</v>
      </c>
      <c r="J5" s="26" t="s">
        <v>3</v>
      </c>
      <c r="K5" s="23" t="s">
        <v>7</v>
      </c>
      <c r="L5" s="24" t="s">
        <v>9</v>
      </c>
      <c r="M5" s="22" t="s">
        <v>5</v>
      </c>
      <c r="N5" s="26" t="s">
        <v>3</v>
      </c>
      <c r="O5" s="26" t="s">
        <v>3</v>
      </c>
      <c r="P5" s="26" t="s">
        <v>3</v>
      </c>
      <c r="Q5" s="26" t="s">
        <v>3</v>
      </c>
      <c r="R5" s="27" t="s">
        <v>7</v>
      </c>
      <c r="S5" s="28" t="s">
        <v>11</v>
      </c>
      <c r="T5" s="26" t="s">
        <v>3</v>
      </c>
      <c r="U5" s="26" t="s">
        <v>3</v>
      </c>
      <c r="V5" s="26" t="s">
        <v>3</v>
      </c>
      <c r="W5" s="26" t="s">
        <v>3</v>
      </c>
      <c r="X5" s="26" t="s">
        <v>3</v>
      </c>
      <c r="Y5" s="23" t="s">
        <v>7</v>
      </c>
      <c r="Z5" s="24" t="s">
        <v>9</v>
      </c>
      <c r="AA5" s="26" t="s">
        <v>3</v>
      </c>
      <c r="AB5" s="26" t="s">
        <v>3</v>
      </c>
      <c r="AC5" s="26" t="s">
        <v>3</v>
      </c>
      <c r="AD5" s="26" t="s">
        <v>3</v>
      </c>
      <c r="AE5" s="26" t="s">
        <v>3</v>
      </c>
      <c r="AF5" s="27" t="s">
        <v>7</v>
      </c>
      <c r="AG5" s="24" t="s">
        <v>9</v>
      </c>
      <c r="AH5" s="8">
        <f t="shared" ref="AH5:AH19" si="0">COUNTIF(D5:AG5,"ON")</f>
        <v>19</v>
      </c>
      <c r="AI5" s="8">
        <f t="shared" ref="AI5:AI19" si="1">COUNTIF(D5:AG5,"OFF")</f>
        <v>1</v>
      </c>
      <c r="AJ5" s="29">
        <f t="shared" ref="AJ5:AJ19" si="2">COUNTIF(D5:AG5,"OT")</f>
        <v>2</v>
      </c>
      <c r="AK5" s="62">
        <v>3</v>
      </c>
      <c r="AL5" s="33">
        <f t="shared" ref="AL5:AL19" si="3">AH5+AJ5+AK5*0.5</f>
        <v>22.5</v>
      </c>
      <c r="AM5" s="63">
        <f t="shared" ref="AM5:AM19" si="4">NETWORKDAYS(DATE(2025,11,1),EOMONTH(DATE(2025,11,1),0))*8</f>
        <v>160</v>
      </c>
      <c r="AN5" s="63">
        <f t="shared" ref="AN5:AN19" si="5">MAX(0,COUNTIF(J5,"ON")+COUNTIF(Q5,"ON")+COUNTIF(X5,"ON")+COUNTIF(AE5,"ON")-AK5)</f>
        <v>1</v>
      </c>
      <c r="AO5" s="63">
        <f t="shared" ref="AO5:AO19" si="6">AN5*$AO$2</f>
        <v>4</v>
      </c>
      <c r="AP5" s="53">
        <f t="shared" ref="AP5:AP19" si="7">AL5-AO5/8</f>
        <v>22</v>
      </c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</row>
    <row r="6" spans="1:55" ht="22" customHeight="1" x14ac:dyDescent="0.35">
      <c r="A6" s="8" t="s">
        <v>46</v>
      </c>
      <c r="B6" s="8" t="s">
        <v>47</v>
      </c>
      <c r="C6" s="8" t="s">
        <v>45</v>
      </c>
      <c r="D6" s="27" t="s">
        <v>7</v>
      </c>
      <c r="E6" s="28" t="s">
        <v>11</v>
      </c>
      <c r="F6" s="26" t="s">
        <v>3</v>
      </c>
      <c r="G6" s="26" t="s">
        <v>3</v>
      </c>
      <c r="H6" s="26" t="s">
        <v>3</v>
      </c>
      <c r="I6" s="26" t="s">
        <v>3</v>
      </c>
      <c r="J6" s="26" t="s">
        <v>3</v>
      </c>
      <c r="K6" s="23" t="s">
        <v>7</v>
      </c>
      <c r="L6" s="24" t="s">
        <v>9</v>
      </c>
      <c r="M6" s="26" t="s">
        <v>3</v>
      </c>
      <c r="N6" s="26" t="s">
        <v>3</v>
      </c>
      <c r="O6" s="26" t="s">
        <v>3</v>
      </c>
      <c r="P6" s="26" t="s">
        <v>3</v>
      </c>
      <c r="Q6" s="26" t="s">
        <v>3</v>
      </c>
      <c r="R6" s="27" t="s">
        <v>7</v>
      </c>
      <c r="S6" s="28" t="s">
        <v>11</v>
      </c>
      <c r="T6" s="22" t="s">
        <v>5</v>
      </c>
      <c r="U6" s="22" t="s">
        <v>5</v>
      </c>
      <c r="V6" s="22" t="s">
        <v>5</v>
      </c>
      <c r="W6" s="22" t="s">
        <v>5</v>
      </c>
      <c r="X6" s="22" t="s">
        <v>5</v>
      </c>
      <c r="Y6" s="23" t="s">
        <v>7</v>
      </c>
      <c r="Z6" s="24" t="s">
        <v>9</v>
      </c>
      <c r="AA6" s="22" t="s">
        <v>5</v>
      </c>
      <c r="AB6" s="22" t="s">
        <v>5</v>
      </c>
      <c r="AC6" s="22" t="s">
        <v>5</v>
      </c>
      <c r="AD6" s="22" t="s">
        <v>5</v>
      </c>
      <c r="AE6" s="22" t="s">
        <v>5</v>
      </c>
      <c r="AF6" s="23" t="s">
        <v>7</v>
      </c>
      <c r="AG6" s="24" t="s">
        <v>9</v>
      </c>
      <c r="AH6" s="8">
        <f t="shared" si="0"/>
        <v>10</v>
      </c>
      <c r="AI6" s="8">
        <f t="shared" si="1"/>
        <v>10</v>
      </c>
      <c r="AJ6" s="29">
        <f t="shared" si="2"/>
        <v>2</v>
      </c>
      <c r="AK6" s="62">
        <v>2</v>
      </c>
      <c r="AL6" s="33">
        <f t="shared" si="3"/>
        <v>13</v>
      </c>
      <c r="AM6" s="63">
        <f t="shared" si="4"/>
        <v>160</v>
      </c>
      <c r="AN6" s="63">
        <f t="shared" si="5"/>
        <v>0</v>
      </c>
      <c r="AO6" s="63">
        <f t="shared" si="6"/>
        <v>0</v>
      </c>
      <c r="AP6" s="53">
        <f t="shared" si="7"/>
        <v>13</v>
      </c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ht="22" customHeight="1" x14ac:dyDescent="0.35">
      <c r="A7" s="8" t="s">
        <v>48</v>
      </c>
      <c r="B7" s="8" t="s">
        <v>49</v>
      </c>
      <c r="C7" s="8" t="s">
        <v>45</v>
      </c>
      <c r="D7" s="27" t="s">
        <v>7</v>
      </c>
      <c r="E7" s="24" t="s">
        <v>9</v>
      </c>
      <c r="F7" s="26" t="s">
        <v>3</v>
      </c>
      <c r="G7" s="26" t="s">
        <v>3</v>
      </c>
      <c r="H7" s="26" t="s">
        <v>3</v>
      </c>
      <c r="I7" s="26" t="s">
        <v>3</v>
      </c>
      <c r="J7" s="26" t="s">
        <v>3</v>
      </c>
      <c r="K7" s="23" t="s">
        <v>7</v>
      </c>
      <c r="L7" s="24" t="s">
        <v>9</v>
      </c>
      <c r="M7" s="26" t="s">
        <v>3</v>
      </c>
      <c r="N7" s="26" t="s">
        <v>3</v>
      </c>
      <c r="O7" s="26" t="s">
        <v>3</v>
      </c>
      <c r="P7" s="26" t="s">
        <v>3</v>
      </c>
      <c r="Q7" s="26" t="s">
        <v>3</v>
      </c>
      <c r="R7" s="23" t="s">
        <v>7</v>
      </c>
      <c r="S7" s="24" t="s">
        <v>9</v>
      </c>
      <c r="T7" s="22" t="s">
        <v>5</v>
      </c>
      <c r="U7" s="22" t="s">
        <v>5</v>
      </c>
      <c r="V7" s="22" t="s">
        <v>5</v>
      </c>
      <c r="W7" s="22" t="s">
        <v>5</v>
      </c>
      <c r="X7" s="22" t="s">
        <v>5</v>
      </c>
      <c r="Y7" s="23" t="s">
        <v>7</v>
      </c>
      <c r="Z7" s="24" t="s">
        <v>9</v>
      </c>
      <c r="AA7" s="26" t="s">
        <v>3</v>
      </c>
      <c r="AB7" s="26" t="s">
        <v>3</v>
      </c>
      <c r="AC7" s="26" t="s">
        <v>3</v>
      </c>
      <c r="AD7" s="26" t="s">
        <v>3</v>
      </c>
      <c r="AE7" s="26" t="s">
        <v>3</v>
      </c>
      <c r="AF7" s="27" t="s">
        <v>7</v>
      </c>
      <c r="AG7" s="28" t="s">
        <v>11</v>
      </c>
      <c r="AH7" s="8">
        <f t="shared" si="0"/>
        <v>15</v>
      </c>
      <c r="AI7" s="8">
        <f t="shared" si="1"/>
        <v>5</v>
      </c>
      <c r="AJ7" s="29">
        <f t="shared" si="2"/>
        <v>1</v>
      </c>
      <c r="AK7" s="62">
        <v>2</v>
      </c>
      <c r="AL7" s="33">
        <f t="shared" si="3"/>
        <v>17</v>
      </c>
      <c r="AM7" s="63">
        <f t="shared" si="4"/>
        <v>160</v>
      </c>
      <c r="AN7" s="63">
        <f t="shared" si="5"/>
        <v>1</v>
      </c>
      <c r="AO7" s="63">
        <f t="shared" si="6"/>
        <v>4</v>
      </c>
      <c r="AP7" s="53">
        <f t="shared" si="7"/>
        <v>16.5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ht="22" customHeight="1" x14ac:dyDescent="0.35">
      <c r="A8" s="8" t="s">
        <v>50</v>
      </c>
      <c r="B8" s="8" t="s">
        <v>51</v>
      </c>
      <c r="C8" s="8" t="s">
        <v>45</v>
      </c>
      <c r="D8" s="27" t="s">
        <v>7</v>
      </c>
      <c r="E8" s="28" t="s">
        <v>11</v>
      </c>
      <c r="F8" s="26" t="s">
        <v>3</v>
      </c>
      <c r="G8" s="26" t="s">
        <v>3</v>
      </c>
      <c r="H8" s="26" t="s">
        <v>3</v>
      </c>
      <c r="I8" s="26" t="s">
        <v>3</v>
      </c>
      <c r="J8" s="26" t="s">
        <v>3</v>
      </c>
      <c r="K8" s="23" t="s">
        <v>7</v>
      </c>
      <c r="L8" s="24" t="s">
        <v>9</v>
      </c>
      <c r="M8" s="22" t="s">
        <v>5</v>
      </c>
      <c r="N8" s="22" t="s">
        <v>5</v>
      </c>
      <c r="O8" s="22" t="s">
        <v>5</v>
      </c>
      <c r="P8" s="22" t="s">
        <v>5</v>
      </c>
      <c r="Q8" s="26" t="s">
        <v>3</v>
      </c>
      <c r="R8" s="27" t="s">
        <v>7</v>
      </c>
      <c r="S8" s="28" t="s">
        <v>11</v>
      </c>
      <c r="T8" s="22" t="s">
        <v>5</v>
      </c>
      <c r="U8" s="22" t="s">
        <v>5</v>
      </c>
      <c r="V8" s="22" t="s">
        <v>5</v>
      </c>
      <c r="W8" s="22" t="s">
        <v>5</v>
      </c>
      <c r="X8" s="22" t="s">
        <v>5</v>
      </c>
      <c r="Y8" s="23" t="s">
        <v>7</v>
      </c>
      <c r="Z8" s="24" t="s">
        <v>9</v>
      </c>
      <c r="AA8" s="22" t="s">
        <v>5</v>
      </c>
      <c r="AB8" s="22" t="s">
        <v>5</v>
      </c>
      <c r="AC8" s="22" t="s">
        <v>5</v>
      </c>
      <c r="AD8" s="22" t="s">
        <v>5</v>
      </c>
      <c r="AE8" s="22" t="s">
        <v>5</v>
      </c>
      <c r="AF8" s="23" t="s">
        <v>7</v>
      </c>
      <c r="AG8" s="24" t="s">
        <v>9</v>
      </c>
      <c r="AH8" s="8">
        <f t="shared" si="0"/>
        <v>6</v>
      </c>
      <c r="AI8" s="25">
        <f t="shared" si="1"/>
        <v>14</v>
      </c>
      <c r="AJ8" s="29">
        <f t="shared" si="2"/>
        <v>2</v>
      </c>
      <c r="AK8" s="62">
        <v>2</v>
      </c>
      <c r="AL8" s="33">
        <f t="shared" si="3"/>
        <v>9</v>
      </c>
      <c r="AM8" s="63">
        <f t="shared" si="4"/>
        <v>160</v>
      </c>
      <c r="AN8" s="63">
        <f t="shared" si="5"/>
        <v>0</v>
      </c>
      <c r="AO8" s="63">
        <f t="shared" si="6"/>
        <v>0</v>
      </c>
      <c r="AP8" s="53">
        <f t="shared" si="7"/>
        <v>9</v>
      </c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ht="22" customHeight="1" x14ac:dyDescent="0.35">
      <c r="A9" s="8" t="s">
        <v>52</v>
      </c>
      <c r="B9" s="8" t="s">
        <v>53</v>
      </c>
      <c r="C9" s="8" t="s">
        <v>45</v>
      </c>
      <c r="D9" s="27" t="s">
        <v>7</v>
      </c>
      <c r="E9" s="28" t="s">
        <v>11</v>
      </c>
      <c r="F9" s="22" t="s">
        <v>5</v>
      </c>
      <c r="G9" s="26" t="s">
        <v>3</v>
      </c>
      <c r="H9" s="26" t="s">
        <v>3</v>
      </c>
      <c r="I9" s="26" t="s">
        <v>3</v>
      </c>
      <c r="J9" s="22" t="s">
        <v>5</v>
      </c>
      <c r="K9" s="23" t="s">
        <v>7</v>
      </c>
      <c r="L9" s="28" t="s">
        <v>11</v>
      </c>
      <c r="M9" s="26" t="s">
        <v>3</v>
      </c>
      <c r="N9" s="26" t="s">
        <v>3</v>
      </c>
      <c r="O9" s="26" t="s">
        <v>3</v>
      </c>
      <c r="P9" s="26" t="s">
        <v>3</v>
      </c>
      <c r="Q9" s="26" t="s">
        <v>3</v>
      </c>
      <c r="R9" s="27" t="s">
        <v>7</v>
      </c>
      <c r="S9" s="28" t="s">
        <v>11</v>
      </c>
      <c r="T9" s="26" t="s">
        <v>3</v>
      </c>
      <c r="U9" s="26" t="s">
        <v>3</v>
      </c>
      <c r="V9" s="26" t="s">
        <v>3</v>
      </c>
      <c r="W9" s="26" t="s">
        <v>3</v>
      </c>
      <c r="X9" s="26" t="s">
        <v>3</v>
      </c>
      <c r="Y9" s="23" t="s">
        <v>7</v>
      </c>
      <c r="Z9" s="24" t="s">
        <v>9</v>
      </c>
      <c r="AA9" s="26" t="s">
        <v>3</v>
      </c>
      <c r="AB9" s="26" t="s">
        <v>3</v>
      </c>
      <c r="AC9" s="22" t="s">
        <v>5</v>
      </c>
      <c r="AD9" s="22" t="s">
        <v>5</v>
      </c>
      <c r="AE9" s="22" t="s">
        <v>5</v>
      </c>
      <c r="AF9" s="23" t="s">
        <v>7</v>
      </c>
      <c r="AG9" s="28" t="s">
        <v>11</v>
      </c>
      <c r="AH9" s="8">
        <f t="shared" si="0"/>
        <v>15</v>
      </c>
      <c r="AI9" s="8">
        <f t="shared" si="1"/>
        <v>5</v>
      </c>
      <c r="AJ9" s="29">
        <f t="shared" si="2"/>
        <v>4</v>
      </c>
      <c r="AK9" s="62">
        <v>2</v>
      </c>
      <c r="AL9" s="33">
        <f t="shared" si="3"/>
        <v>20</v>
      </c>
      <c r="AM9" s="63">
        <f t="shared" si="4"/>
        <v>160</v>
      </c>
      <c r="AN9" s="63">
        <f t="shared" si="5"/>
        <v>0</v>
      </c>
      <c r="AO9" s="63">
        <f t="shared" si="6"/>
        <v>0</v>
      </c>
      <c r="AP9" s="53">
        <f t="shared" si="7"/>
        <v>20</v>
      </c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ht="22" customHeight="1" x14ac:dyDescent="0.35">
      <c r="A10" s="8" t="s">
        <v>54</v>
      </c>
      <c r="B10" s="8" t="s">
        <v>55</v>
      </c>
      <c r="C10" s="8" t="s">
        <v>45</v>
      </c>
      <c r="D10" s="23" t="s">
        <v>7</v>
      </c>
      <c r="E10" s="24" t="s">
        <v>9</v>
      </c>
      <c r="F10" s="26" t="s">
        <v>3</v>
      </c>
      <c r="G10" s="26" t="s">
        <v>3</v>
      </c>
      <c r="H10" s="26" t="s">
        <v>3</v>
      </c>
      <c r="I10" s="26" t="s">
        <v>3</v>
      </c>
      <c r="J10" s="26" t="s">
        <v>3</v>
      </c>
      <c r="K10" s="27" t="s">
        <v>7</v>
      </c>
      <c r="L10" s="28" t="s">
        <v>11</v>
      </c>
      <c r="M10" s="26" t="s">
        <v>3</v>
      </c>
      <c r="N10" s="26" t="s">
        <v>3</v>
      </c>
      <c r="O10" s="26" t="s">
        <v>3</v>
      </c>
      <c r="P10" s="26" t="s">
        <v>3</v>
      </c>
      <c r="Q10" s="26" t="s">
        <v>3</v>
      </c>
      <c r="R10" s="23" t="s">
        <v>7</v>
      </c>
      <c r="S10" s="24" t="s">
        <v>9</v>
      </c>
      <c r="T10" s="26" t="s">
        <v>3</v>
      </c>
      <c r="U10" s="22" t="s">
        <v>5</v>
      </c>
      <c r="V10" s="26" t="s">
        <v>3</v>
      </c>
      <c r="W10" s="26" t="s">
        <v>3</v>
      </c>
      <c r="X10" s="26" t="s">
        <v>3</v>
      </c>
      <c r="Y10" s="27" t="s">
        <v>7</v>
      </c>
      <c r="Z10" s="28" t="s">
        <v>11</v>
      </c>
      <c r="AA10" s="26" t="s">
        <v>3</v>
      </c>
      <c r="AB10" s="26" t="s">
        <v>3</v>
      </c>
      <c r="AC10" s="26" t="s">
        <v>3</v>
      </c>
      <c r="AD10" s="26" t="s">
        <v>3</v>
      </c>
      <c r="AE10" s="26" t="s">
        <v>3</v>
      </c>
      <c r="AF10" s="23" t="s">
        <v>7</v>
      </c>
      <c r="AG10" s="24" t="s">
        <v>9</v>
      </c>
      <c r="AH10" s="8">
        <f t="shared" si="0"/>
        <v>19</v>
      </c>
      <c r="AI10" s="8">
        <f t="shared" si="1"/>
        <v>1</v>
      </c>
      <c r="AJ10" s="29">
        <f t="shared" si="2"/>
        <v>2</v>
      </c>
      <c r="AK10" s="62">
        <v>2</v>
      </c>
      <c r="AL10" s="33">
        <f t="shared" si="3"/>
        <v>22</v>
      </c>
      <c r="AM10" s="63">
        <f t="shared" si="4"/>
        <v>160</v>
      </c>
      <c r="AN10" s="63">
        <f t="shared" si="5"/>
        <v>2</v>
      </c>
      <c r="AO10" s="63">
        <f t="shared" si="6"/>
        <v>8</v>
      </c>
      <c r="AP10" s="53">
        <f t="shared" si="7"/>
        <v>21</v>
      </c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ht="22" customHeight="1" x14ac:dyDescent="0.35">
      <c r="A11" s="8" t="s">
        <v>56</v>
      </c>
      <c r="B11" s="8" t="s">
        <v>57</v>
      </c>
      <c r="C11" s="8" t="s">
        <v>45</v>
      </c>
      <c r="D11" s="27" t="s">
        <v>7</v>
      </c>
      <c r="E11" s="28" t="s">
        <v>11</v>
      </c>
      <c r="F11" s="26" t="s">
        <v>3</v>
      </c>
      <c r="G11" s="26" t="s">
        <v>3</v>
      </c>
      <c r="H11" s="26" t="s">
        <v>3</v>
      </c>
      <c r="I11" s="26" t="s">
        <v>3</v>
      </c>
      <c r="J11" s="22" t="s">
        <v>5</v>
      </c>
      <c r="K11" s="23" t="s">
        <v>7</v>
      </c>
      <c r="L11" s="24" t="s">
        <v>9</v>
      </c>
      <c r="M11" s="22" t="s">
        <v>5</v>
      </c>
      <c r="N11" s="22" t="s">
        <v>5</v>
      </c>
      <c r="O11" s="22" t="s">
        <v>5</v>
      </c>
      <c r="P11" s="22" t="s">
        <v>5</v>
      </c>
      <c r="Q11" s="22" t="s">
        <v>5</v>
      </c>
      <c r="R11" s="23" t="s">
        <v>7</v>
      </c>
      <c r="S11" s="24" t="s">
        <v>9</v>
      </c>
      <c r="T11" s="22" t="s">
        <v>5</v>
      </c>
      <c r="U11" s="22" t="s">
        <v>5</v>
      </c>
      <c r="V11" s="22" t="s">
        <v>5</v>
      </c>
      <c r="W11" s="22" t="s">
        <v>5</v>
      </c>
      <c r="X11" s="22" t="s">
        <v>5</v>
      </c>
      <c r="Y11" s="23" t="s">
        <v>7</v>
      </c>
      <c r="Z11" s="24" t="s">
        <v>9</v>
      </c>
      <c r="AA11" s="22" t="s">
        <v>5</v>
      </c>
      <c r="AB11" s="22" t="s">
        <v>5</v>
      </c>
      <c r="AC11" s="22" t="s">
        <v>5</v>
      </c>
      <c r="AD11" s="22" t="s">
        <v>5</v>
      </c>
      <c r="AE11" s="26" t="s">
        <v>3</v>
      </c>
      <c r="AF11" s="27" t="s">
        <v>7</v>
      </c>
      <c r="AG11" s="28" t="s">
        <v>11</v>
      </c>
      <c r="AH11" s="8">
        <f t="shared" si="0"/>
        <v>5</v>
      </c>
      <c r="AI11" s="25">
        <f t="shared" si="1"/>
        <v>15</v>
      </c>
      <c r="AJ11" s="29">
        <f t="shared" si="2"/>
        <v>2</v>
      </c>
      <c r="AK11" s="62">
        <v>2</v>
      </c>
      <c r="AL11" s="33">
        <f t="shared" si="3"/>
        <v>8</v>
      </c>
      <c r="AM11" s="63">
        <f t="shared" si="4"/>
        <v>160</v>
      </c>
      <c r="AN11" s="63">
        <f t="shared" si="5"/>
        <v>0</v>
      </c>
      <c r="AO11" s="63">
        <f t="shared" si="6"/>
        <v>0</v>
      </c>
      <c r="AP11" s="53">
        <f t="shared" si="7"/>
        <v>8</v>
      </c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</row>
    <row r="12" spans="1:55" ht="22" customHeight="1" x14ac:dyDescent="0.35">
      <c r="A12" s="8" t="s">
        <v>58</v>
      </c>
      <c r="B12" s="8" t="s">
        <v>59</v>
      </c>
      <c r="C12" s="8" t="s">
        <v>45</v>
      </c>
      <c r="D12" s="27" t="s">
        <v>7</v>
      </c>
      <c r="E12" s="28" t="s">
        <v>11</v>
      </c>
      <c r="F12" s="26" t="s">
        <v>3</v>
      </c>
      <c r="G12" s="26" t="s">
        <v>3</v>
      </c>
      <c r="H12" s="26" t="s">
        <v>3</v>
      </c>
      <c r="I12" s="26" t="s">
        <v>3</v>
      </c>
      <c r="J12" s="26" t="s">
        <v>3</v>
      </c>
      <c r="K12" s="27" t="s">
        <v>7</v>
      </c>
      <c r="L12" s="28" t="s">
        <v>11</v>
      </c>
      <c r="M12" s="26" t="s">
        <v>3</v>
      </c>
      <c r="N12" s="26" t="s">
        <v>3</v>
      </c>
      <c r="O12" s="26" t="s">
        <v>3</v>
      </c>
      <c r="P12" s="26" t="s">
        <v>3</v>
      </c>
      <c r="Q12" s="26" t="s">
        <v>3</v>
      </c>
      <c r="R12" s="23" t="s">
        <v>7</v>
      </c>
      <c r="S12" s="24" t="s">
        <v>9</v>
      </c>
      <c r="T12" s="26" t="s">
        <v>3</v>
      </c>
      <c r="U12" s="26" t="s">
        <v>3</v>
      </c>
      <c r="V12" s="26" t="s">
        <v>3</v>
      </c>
      <c r="W12" s="26" t="s">
        <v>3</v>
      </c>
      <c r="X12" s="26" t="s">
        <v>3</v>
      </c>
      <c r="Y12" s="27" t="s">
        <v>7</v>
      </c>
      <c r="Z12" s="28" t="s">
        <v>11</v>
      </c>
      <c r="AA12" s="26" t="s">
        <v>3</v>
      </c>
      <c r="AB12" s="26" t="s">
        <v>3</v>
      </c>
      <c r="AC12" s="26" t="s">
        <v>3</v>
      </c>
      <c r="AD12" s="22" t="s">
        <v>5</v>
      </c>
      <c r="AE12" s="22" t="s">
        <v>5</v>
      </c>
      <c r="AF12" s="23" t="s">
        <v>7</v>
      </c>
      <c r="AG12" s="24" t="s">
        <v>9</v>
      </c>
      <c r="AH12" s="8">
        <f t="shared" si="0"/>
        <v>18</v>
      </c>
      <c r="AI12" s="8">
        <f t="shared" si="1"/>
        <v>2</v>
      </c>
      <c r="AJ12" s="29">
        <f t="shared" si="2"/>
        <v>3</v>
      </c>
      <c r="AK12" s="62">
        <v>3</v>
      </c>
      <c r="AL12" s="33">
        <f t="shared" si="3"/>
        <v>22.5</v>
      </c>
      <c r="AM12" s="63">
        <f t="shared" si="4"/>
        <v>160</v>
      </c>
      <c r="AN12" s="63">
        <f t="shared" si="5"/>
        <v>0</v>
      </c>
      <c r="AO12" s="63">
        <f t="shared" si="6"/>
        <v>0</v>
      </c>
      <c r="AP12" s="53">
        <f t="shared" si="7"/>
        <v>22.5</v>
      </c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</row>
    <row r="13" spans="1:55" ht="22" customHeight="1" x14ac:dyDescent="0.35">
      <c r="A13" s="8" t="s">
        <v>60</v>
      </c>
      <c r="B13" s="8" t="s">
        <v>61</v>
      </c>
      <c r="C13" s="8" t="s">
        <v>45</v>
      </c>
      <c r="D13" s="23" t="s">
        <v>7</v>
      </c>
      <c r="E13" s="24" t="s">
        <v>9</v>
      </c>
      <c r="F13" s="22" t="s">
        <v>5</v>
      </c>
      <c r="G13" s="26" t="s">
        <v>3</v>
      </c>
      <c r="H13" s="26" t="s">
        <v>3</v>
      </c>
      <c r="I13" s="26" t="s">
        <v>3</v>
      </c>
      <c r="J13" s="26" t="s">
        <v>3</v>
      </c>
      <c r="K13" s="27" t="s">
        <v>7</v>
      </c>
      <c r="L13" s="28" t="s">
        <v>11</v>
      </c>
      <c r="M13" s="26" t="s">
        <v>3</v>
      </c>
      <c r="N13" s="26" t="s">
        <v>3</v>
      </c>
      <c r="O13" s="26" t="s">
        <v>3</v>
      </c>
      <c r="P13" s="26" t="s">
        <v>3</v>
      </c>
      <c r="Q13" s="26" t="s">
        <v>3</v>
      </c>
      <c r="R13" s="23" t="s">
        <v>7</v>
      </c>
      <c r="S13" s="24" t="s">
        <v>9</v>
      </c>
      <c r="T13" s="26" t="s">
        <v>3</v>
      </c>
      <c r="U13" s="26" t="s">
        <v>3</v>
      </c>
      <c r="V13" s="26" t="s">
        <v>3</v>
      </c>
      <c r="W13" s="26" t="s">
        <v>3</v>
      </c>
      <c r="X13" s="26" t="s">
        <v>3</v>
      </c>
      <c r="Y13" s="27" t="s">
        <v>7</v>
      </c>
      <c r="Z13" s="28" t="s">
        <v>11</v>
      </c>
      <c r="AA13" s="26" t="s">
        <v>3</v>
      </c>
      <c r="AB13" s="26" t="s">
        <v>3</v>
      </c>
      <c r="AC13" s="26" t="s">
        <v>3</v>
      </c>
      <c r="AD13" s="22" t="s">
        <v>5</v>
      </c>
      <c r="AE13" s="22" t="s">
        <v>5</v>
      </c>
      <c r="AF13" s="23" t="s">
        <v>7</v>
      </c>
      <c r="AG13" s="24" t="s">
        <v>9</v>
      </c>
      <c r="AH13" s="8">
        <f t="shared" si="0"/>
        <v>17</v>
      </c>
      <c r="AI13" s="8">
        <f t="shared" si="1"/>
        <v>3</v>
      </c>
      <c r="AJ13" s="29">
        <f t="shared" si="2"/>
        <v>2</v>
      </c>
      <c r="AK13" s="62">
        <v>2</v>
      </c>
      <c r="AL13" s="33">
        <f t="shared" si="3"/>
        <v>20</v>
      </c>
      <c r="AM13" s="63">
        <f t="shared" si="4"/>
        <v>160</v>
      </c>
      <c r="AN13" s="63">
        <f t="shared" si="5"/>
        <v>1</v>
      </c>
      <c r="AO13" s="63">
        <f t="shared" si="6"/>
        <v>4</v>
      </c>
      <c r="AP13" s="53">
        <f t="shared" si="7"/>
        <v>19.5</v>
      </c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</row>
    <row r="14" spans="1:55" ht="22" customHeight="1" x14ac:dyDescent="0.35">
      <c r="A14" s="8" t="s">
        <v>352</v>
      </c>
      <c r="B14" s="8" t="s">
        <v>353</v>
      </c>
      <c r="C14" s="8" t="s">
        <v>45</v>
      </c>
      <c r="D14" s="23" t="s">
        <v>7</v>
      </c>
      <c r="E14" s="24" t="s">
        <v>9</v>
      </c>
      <c r="F14" s="26" t="s">
        <v>3</v>
      </c>
      <c r="G14" s="26" t="s">
        <v>3</v>
      </c>
      <c r="H14" s="26" t="s">
        <v>3</v>
      </c>
      <c r="I14" s="26" t="s">
        <v>3</v>
      </c>
      <c r="J14" s="26" t="s">
        <v>3</v>
      </c>
      <c r="K14" s="27" t="s">
        <v>7</v>
      </c>
      <c r="L14" s="28" t="s">
        <v>11</v>
      </c>
      <c r="M14" s="26" t="s">
        <v>3</v>
      </c>
      <c r="N14" s="26" t="s">
        <v>3</v>
      </c>
      <c r="O14" s="26" t="s">
        <v>3</v>
      </c>
      <c r="P14" s="26" t="s">
        <v>3</v>
      </c>
      <c r="Q14" s="26" t="s">
        <v>3</v>
      </c>
      <c r="R14" s="23" t="s">
        <v>7</v>
      </c>
      <c r="S14" s="24" t="s">
        <v>9</v>
      </c>
      <c r="T14" s="26" t="s">
        <v>3</v>
      </c>
      <c r="U14" s="26" t="s">
        <v>3</v>
      </c>
      <c r="V14" s="26" t="s">
        <v>3</v>
      </c>
      <c r="W14" s="26" t="s">
        <v>3</v>
      </c>
      <c r="X14" s="26" t="s">
        <v>3</v>
      </c>
      <c r="Y14" s="27" t="s">
        <v>7</v>
      </c>
      <c r="Z14" s="28" t="s">
        <v>11</v>
      </c>
      <c r="AA14" s="26" t="s">
        <v>3</v>
      </c>
      <c r="AB14" s="26" t="s">
        <v>3</v>
      </c>
      <c r="AC14" s="26" t="s">
        <v>3</v>
      </c>
      <c r="AD14" s="26" t="s">
        <v>3</v>
      </c>
      <c r="AE14" s="26" t="s">
        <v>3</v>
      </c>
      <c r="AF14" s="23" t="s">
        <v>7</v>
      </c>
      <c r="AG14" s="24" t="s">
        <v>9</v>
      </c>
      <c r="AH14" s="8">
        <f t="shared" si="0"/>
        <v>20</v>
      </c>
      <c r="AI14" s="8">
        <f t="shared" si="1"/>
        <v>0</v>
      </c>
      <c r="AJ14" s="29">
        <f t="shared" si="2"/>
        <v>2</v>
      </c>
      <c r="AK14" s="62">
        <v>2</v>
      </c>
      <c r="AL14" s="33">
        <f t="shared" si="3"/>
        <v>23</v>
      </c>
      <c r="AM14" s="63">
        <f t="shared" si="4"/>
        <v>160</v>
      </c>
      <c r="AN14" s="63">
        <f t="shared" si="5"/>
        <v>2</v>
      </c>
      <c r="AO14" s="63">
        <f t="shared" si="6"/>
        <v>8</v>
      </c>
      <c r="AP14" s="53">
        <f t="shared" si="7"/>
        <v>22</v>
      </c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</row>
    <row r="15" spans="1:55" ht="22" customHeight="1" x14ac:dyDescent="0.35">
      <c r="A15" s="8" t="s">
        <v>62</v>
      </c>
      <c r="B15" s="8" t="s">
        <v>63</v>
      </c>
      <c r="C15" s="8" t="s">
        <v>45</v>
      </c>
      <c r="D15" s="23" t="s">
        <v>7</v>
      </c>
      <c r="E15" s="24" t="s">
        <v>9</v>
      </c>
      <c r="F15" s="22" t="s">
        <v>5</v>
      </c>
      <c r="G15" s="22" t="s">
        <v>5</v>
      </c>
      <c r="H15" s="22" t="s">
        <v>5</v>
      </c>
      <c r="I15" s="22" t="s">
        <v>5</v>
      </c>
      <c r="J15" s="22" t="s">
        <v>5</v>
      </c>
      <c r="K15" s="23" t="s">
        <v>7</v>
      </c>
      <c r="L15" s="24" t="s">
        <v>9</v>
      </c>
      <c r="M15" s="22" t="s">
        <v>5</v>
      </c>
      <c r="N15" s="22" t="s">
        <v>5</v>
      </c>
      <c r="O15" s="22" t="s">
        <v>5</v>
      </c>
      <c r="P15" s="22" t="s">
        <v>5</v>
      </c>
      <c r="Q15" s="22" t="s">
        <v>5</v>
      </c>
      <c r="R15" s="23" t="s">
        <v>7</v>
      </c>
      <c r="S15" s="24" t="s">
        <v>9</v>
      </c>
      <c r="T15" s="22" t="s">
        <v>5</v>
      </c>
      <c r="U15" s="22" t="s">
        <v>5</v>
      </c>
      <c r="V15" s="22" t="s">
        <v>5</v>
      </c>
      <c r="W15" s="22" t="s">
        <v>5</v>
      </c>
      <c r="X15" s="22" t="s">
        <v>5</v>
      </c>
      <c r="Y15" s="23" t="s">
        <v>7</v>
      </c>
      <c r="Z15" s="24" t="s">
        <v>9</v>
      </c>
      <c r="AA15" s="22" t="s">
        <v>5</v>
      </c>
      <c r="AB15" s="22" t="s">
        <v>5</v>
      </c>
      <c r="AC15" s="26" t="s">
        <v>3</v>
      </c>
      <c r="AD15" s="26" t="s">
        <v>3</v>
      </c>
      <c r="AE15" s="26" t="s">
        <v>3</v>
      </c>
      <c r="AF15" s="27" t="s">
        <v>7</v>
      </c>
      <c r="AG15" s="28" t="s">
        <v>11</v>
      </c>
      <c r="AH15" s="8">
        <f t="shared" si="0"/>
        <v>3</v>
      </c>
      <c r="AI15" s="25">
        <f t="shared" si="1"/>
        <v>17</v>
      </c>
      <c r="AJ15" s="29">
        <f t="shared" si="2"/>
        <v>1</v>
      </c>
      <c r="AK15" s="62">
        <v>1</v>
      </c>
      <c r="AL15" s="33">
        <f t="shared" si="3"/>
        <v>4.5</v>
      </c>
      <c r="AM15" s="63">
        <f t="shared" si="4"/>
        <v>160</v>
      </c>
      <c r="AN15" s="63">
        <f t="shared" si="5"/>
        <v>0</v>
      </c>
      <c r="AO15" s="63">
        <f t="shared" si="6"/>
        <v>0</v>
      </c>
      <c r="AP15" s="53">
        <f t="shared" si="7"/>
        <v>4.5</v>
      </c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</row>
    <row r="16" spans="1:55" ht="22" customHeight="1" x14ac:dyDescent="0.35">
      <c r="A16" s="8" t="s">
        <v>64</v>
      </c>
      <c r="B16" s="8" t="s">
        <v>63</v>
      </c>
      <c r="C16" s="8" t="s">
        <v>45</v>
      </c>
      <c r="D16" s="23" t="s">
        <v>7</v>
      </c>
      <c r="E16" s="24" t="s">
        <v>9</v>
      </c>
      <c r="F16" s="22" t="s">
        <v>5</v>
      </c>
      <c r="G16" s="22" t="s">
        <v>5</v>
      </c>
      <c r="H16" s="22" t="s">
        <v>5</v>
      </c>
      <c r="I16" s="22" t="s">
        <v>5</v>
      </c>
      <c r="J16" s="22" t="s">
        <v>5</v>
      </c>
      <c r="K16" s="23" t="s">
        <v>7</v>
      </c>
      <c r="L16" s="24" t="s">
        <v>9</v>
      </c>
      <c r="M16" s="22" t="s">
        <v>5</v>
      </c>
      <c r="N16" s="22" t="s">
        <v>5</v>
      </c>
      <c r="O16" s="22" t="s">
        <v>5</v>
      </c>
      <c r="P16" s="22" t="s">
        <v>5</v>
      </c>
      <c r="Q16" s="22" t="s">
        <v>5</v>
      </c>
      <c r="R16" s="23" t="s">
        <v>7</v>
      </c>
      <c r="S16" s="24" t="s">
        <v>9</v>
      </c>
      <c r="T16" s="22" t="s">
        <v>5</v>
      </c>
      <c r="U16" s="22" t="s">
        <v>5</v>
      </c>
      <c r="V16" s="22" t="s">
        <v>5</v>
      </c>
      <c r="W16" s="22" t="s">
        <v>5</v>
      </c>
      <c r="X16" s="22" t="s">
        <v>5</v>
      </c>
      <c r="Y16" s="23" t="s">
        <v>7</v>
      </c>
      <c r="Z16" s="24" t="s">
        <v>9</v>
      </c>
      <c r="AA16" s="22" t="s">
        <v>5</v>
      </c>
      <c r="AB16" s="22" t="s">
        <v>5</v>
      </c>
      <c r="AC16" s="22" t="s">
        <v>5</v>
      </c>
      <c r="AD16" s="22" t="s">
        <v>5</v>
      </c>
      <c r="AE16" s="22" t="s">
        <v>5</v>
      </c>
      <c r="AF16" s="23" t="s">
        <v>7</v>
      </c>
      <c r="AG16" s="24" t="s">
        <v>9</v>
      </c>
      <c r="AH16" s="8">
        <f t="shared" si="0"/>
        <v>0</v>
      </c>
      <c r="AI16" s="25">
        <f t="shared" si="1"/>
        <v>20</v>
      </c>
      <c r="AJ16" s="8">
        <f t="shared" si="2"/>
        <v>0</v>
      </c>
      <c r="AK16" s="62">
        <v>0</v>
      </c>
      <c r="AL16" s="33">
        <f t="shared" si="3"/>
        <v>0</v>
      </c>
      <c r="AM16" s="63">
        <f t="shared" si="4"/>
        <v>160</v>
      </c>
      <c r="AN16" s="63">
        <f t="shared" si="5"/>
        <v>0</v>
      </c>
      <c r="AO16" s="63">
        <f t="shared" si="6"/>
        <v>0</v>
      </c>
      <c r="AP16" s="53">
        <f t="shared" si="7"/>
        <v>0</v>
      </c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</row>
    <row r="17" spans="1:55" ht="22" customHeight="1" x14ac:dyDescent="0.35">
      <c r="A17" s="8" t="s">
        <v>65</v>
      </c>
      <c r="B17" s="8" t="s">
        <v>66</v>
      </c>
      <c r="C17" s="8" t="s">
        <v>45</v>
      </c>
      <c r="D17" s="23" t="s">
        <v>7</v>
      </c>
      <c r="E17" s="24" t="s">
        <v>9</v>
      </c>
      <c r="F17" s="22" t="s">
        <v>5</v>
      </c>
      <c r="G17" s="22" t="s">
        <v>5</v>
      </c>
      <c r="H17" s="22" t="s">
        <v>5</v>
      </c>
      <c r="I17" s="22" t="s">
        <v>5</v>
      </c>
      <c r="J17" s="22" t="s">
        <v>5</v>
      </c>
      <c r="K17" s="23" t="s">
        <v>7</v>
      </c>
      <c r="L17" s="24" t="s">
        <v>9</v>
      </c>
      <c r="M17" s="26" t="s">
        <v>3</v>
      </c>
      <c r="N17" s="26" t="s">
        <v>3</v>
      </c>
      <c r="O17" s="26" t="s">
        <v>3</v>
      </c>
      <c r="P17" s="26" t="s">
        <v>3</v>
      </c>
      <c r="Q17" s="26" t="s">
        <v>3</v>
      </c>
      <c r="R17" s="27" t="s">
        <v>7</v>
      </c>
      <c r="S17" s="28" t="s">
        <v>11</v>
      </c>
      <c r="T17" s="26" t="s">
        <v>3</v>
      </c>
      <c r="U17" s="26" t="s">
        <v>3</v>
      </c>
      <c r="V17" s="26" t="s">
        <v>3</v>
      </c>
      <c r="W17" s="26" t="s">
        <v>3</v>
      </c>
      <c r="X17" s="26" t="s">
        <v>3</v>
      </c>
      <c r="Y17" s="27" t="s">
        <v>7</v>
      </c>
      <c r="Z17" s="28" t="s">
        <v>11</v>
      </c>
      <c r="AA17" s="26" t="s">
        <v>3</v>
      </c>
      <c r="AB17" s="26" t="s">
        <v>3</v>
      </c>
      <c r="AC17" s="26" t="s">
        <v>3</v>
      </c>
      <c r="AD17" s="26" t="s">
        <v>3</v>
      </c>
      <c r="AE17" s="26" t="s">
        <v>3</v>
      </c>
      <c r="AF17" s="27" t="s">
        <v>7</v>
      </c>
      <c r="AG17" s="28" t="s">
        <v>11</v>
      </c>
      <c r="AH17" s="8">
        <f t="shared" si="0"/>
        <v>15</v>
      </c>
      <c r="AI17" s="8">
        <f t="shared" si="1"/>
        <v>5</v>
      </c>
      <c r="AJ17" s="29">
        <f t="shared" si="2"/>
        <v>3</v>
      </c>
      <c r="AK17" s="62">
        <v>3</v>
      </c>
      <c r="AL17" s="33">
        <f t="shared" si="3"/>
        <v>19.5</v>
      </c>
      <c r="AM17" s="63">
        <f t="shared" si="4"/>
        <v>160</v>
      </c>
      <c r="AN17" s="63">
        <f t="shared" si="5"/>
        <v>0</v>
      </c>
      <c r="AO17" s="63">
        <f t="shared" si="6"/>
        <v>0</v>
      </c>
      <c r="AP17" s="53">
        <f t="shared" si="7"/>
        <v>19.5</v>
      </c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</row>
    <row r="18" spans="1:55" ht="22" customHeight="1" x14ac:dyDescent="0.35">
      <c r="A18" s="8" t="s">
        <v>67</v>
      </c>
      <c r="B18" s="8" t="s">
        <v>68</v>
      </c>
      <c r="C18" s="8" t="s">
        <v>45</v>
      </c>
      <c r="D18" s="23" t="s">
        <v>7</v>
      </c>
      <c r="E18" s="24" t="s">
        <v>9</v>
      </c>
      <c r="F18" s="26" t="s">
        <v>3</v>
      </c>
      <c r="G18" s="26" t="s">
        <v>3</v>
      </c>
      <c r="H18" s="26" t="s">
        <v>3</v>
      </c>
      <c r="I18" s="26" t="s">
        <v>3</v>
      </c>
      <c r="J18" s="26" t="s">
        <v>3</v>
      </c>
      <c r="K18" s="23" t="s">
        <v>7</v>
      </c>
      <c r="L18" s="24" t="s">
        <v>9</v>
      </c>
      <c r="M18" s="26" t="s">
        <v>3</v>
      </c>
      <c r="N18" s="26" t="s">
        <v>3</v>
      </c>
      <c r="O18" s="26" t="s">
        <v>3</v>
      </c>
      <c r="P18" s="26" t="s">
        <v>3</v>
      </c>
      <c r="Q18" s="26" t="s">
        <v>3</v>
      </c>
      <c r="R18" s="27" t="s">
        <v>7</v>
      </c>
      <c r="S18" s="24" t="s">
        <v>9</v>
      </c>
      <c r="T18" s="26" t="s">
        <v>3</v>
      </c>
      <c r="U18" s="26" t="s">
        <v>3</v>
      </c>
      <c r="V18" s="26" t="s">
        <v>3</v>
      </c>
      <c r="W18" s="26" t="s">
        <v>3</v>
      </c>
      <c r="X18" s="26" t="s">
        <v>3</v>
      </c>
      <c r="Y18" s="23" t="s">
        <v>7</v>
      </c>
      <c r="Z18" s="24" t="s">
        <v>9</v>
      </c>
      <c r="AA18" s="26" t="s">
        <v>3</v>
      </c>
      <c r="AB18" s="26" t="s">
        <v>3</v>
      </c>
      <c r="AC18" s="26" t="s">
        <v>3</v>
      </c>
      <c r="AD18" s="26" t="s">
        <v>3</v>
      </c>
      <c r="AE18" s="26" t="s">
        <v>3</v>
      </c>
      <c r="AF18" s="23" t="s">
        <v>7</v>
      </c>
      <c r="AG18" s="24" t="s">
        <v>9</v>
      </c>
      <c r="AH18" s="8">
        <f t="shared" si="0"/>
        <v>20</v>
      </c>
      <c r="AI18" s="8">
        <f t="shared" si="1"/>
        <v>0</v>
      </c>
      <c r="AJ18" s="8">
        <f t="shared" si="2"/>
        <v>0</v>
      </c>
      <c r="AK18" s="62">
        <v>1</v>
      </c>
      <c r="AL18" s="33">
        <f t="shared" si="3"/>
        <v>20.5</v>
      </c>
      <c r="AM18" s="63">
        <f t="shared" si="4"/>
        <v>160</v>
      </c>
      <c r="AN18" s="63">
        <f t="shared" si="5"/>
        <v>3</v>
      </c>
      <c r="AO18" s="63">
        <f t="shared" si="6"/>
        <v>12</v>
      </c>
      <c r="AP18" s="53">
        <f t="shared" si="7"/>
        <v>19</v>
      </c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</row>
    <row r="19" spans="1:55" ht="22" customHeight="1" x14ac:dyDescent="0.35">
      <c r="A19" s="8" t="s">
        <v>69</v>
      </c>
      <c r="B19" s="8" t="s">
        <v>70</v>
      </c>
      <c r="C19" s="8" t="s">
        <v>45</v>
      </c>
      <c r="D19" s="27" t="s">
        <v>7</v>
      </c>
      <c r="E19" s="28" t="s">
        <v>11</v>
      </c>
      <c r="F19" s="26" t="s">
        <v>3</v>
      </c>
      <c r="G19" s="26" t="s">
        <v>3</v>
      </c>
      <c r="H19" s="26" t="s">
        <v>3</v>
      </c>
      <c r="I19" s="26" t="s">
        <v>3</v>
      </c>
      <c r="J19" s="26" t="s">
        <v>3</v>
      </c>
      <c r="K19" s="27" t="s">
        <v>7</v>
      </c>
      <c r="L19" s="28" t="s">
        <v>11</v>
      </c>
      <c r="M19" s="26" t="s">
        <v>3</v>
      </c>
      <c r="N19" s="26" t="s">
        <v>3</v>
      </c>
      <c r="O19" s="26" t="s">
        <v>3</v>
      </c>
      <c r="P19" s="26" t="s">
        <v>3</v>
      </c>
      <c r="Q19" s="26" t="s">
        <v>3</v>
      </c>
      <c r="R19" s="23" t="s">
        <v>7</v>
      </c>
      <c r="S19" s="24" t="s">
        <v>9</v>
      </c>
      <c r="T19" s="22" t="s">
        <v>5</v>
      </c>
      <c r="U19" s="22" t="s">
        <v>5</v>
      </c>
      <c r="V19" s="22" t="s">
        <v>5</v>
      </c>
      <c r="W19" s="22" t="s">
        <v>5</v>
      </c>
      <c r="X19" s="22" t="s">
        <v>5</v>
      </c>
      <c r="Y19" s="23" t="s">
        <v>7</v>
      </c>
      <c r="Z19" s="24" t="s">
        <v>9</v>
      </c>
      <c r="AA19" s="22" t="s">
        <v>5</v>
      </c>
      <c r="AB19" s="22" t="s">
        <v>5</v>
      </c>
      <c r="AC19" s="22" t="s">
        <v>5</v>
      </c>
      <c r="AD19" s="22" t="s">
        <v>5</v>
      </c>
      <c r="AE19" s="22" t="s">
        <v>5</v>
      </c>
      <c r="AF19" s="23" t="s">
        <v>7</v>
      </c>
      <c r="AG19" s="24" t="s">
        <v>9</v>
      </c>
      <c r="AH19" s="8">
        <f t="shared" si="0"/>
        <v>10</v>
      </c>
      <c r="AI19" s="8">
        <f t="shared" si="1"/>
        <v>10</v>
      </c>
      <c r="AJ19" s="29">
        <f t="shared" si="2"/>
        <v>2</v>
      </c>
      <c r="AK19" s="62">
        <v>2</v>
      </c>
      <c r="AL19" s="33">
        <f t="shared" si="3"/>
        <v>13</v>
      </c>
      <c r="AM19" s="63">
        <f t="shared" si="4"/>
        <v>160</v>
      </c>
      <c r="AN19" s="63">
        <f t="shared" si="5"/>
        <v>0</v>
      </c>
      <c r="AO19" s="63">
        <f t="shared" si="6"/>
        <v>0</v>
      </c>
      <c r="AP19" s="53">
        <f t="shared" si="7"/>
        <v>13</v>
      </c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</row>
    <row r="20" spans="1:55" x14ac:dyDescent="0.35"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</row>
    <row r="21" spans="1:55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</row>
    <row r="22" spans="1:55" ht="22" customHeight="1" x14ac:dyDescent="0.35">
      <c r="A22" s="8" t="s">
        <v>72</v>
      </c>
      <c r="B22" s="8" t="s">
        <v>73</v>
      </c>
      <c r="C22" s="8" t="s">
        <v>74</v>
      </c>
      <c r="D22" s="23" t="s">
        <v>7</v>
      </c>
      <c r="E22" s="24" t="s">
        <v>9</v>
      </c>
      <c r="F22" s="22" t="s">
        <v>5</v>
      </c>
      <c r="G22" s="22" t="s">
        <v>5</v>
      </c>
      <c r="H22" s="22" t="s">
        <v>5</v>
      </c>
      <c r="I22" s="26" t="s">
        <v>3</v>
      </c>
      <c r="J22" s="26" t="s">
        <v>3</v>
      </c>
      <c r="K22" s="27" t="s">
        <v>7</v>
      </c>
      <c r="L22" s="28" t="s">
        <v>11</v>
      </c>
      <c r="M22" s="26" t="s">
        <v>3</v>
      </c>
      <c r="N22" s="26" t="s">
        <v>3</v>
      </c>
      <c r="O22" s="26" t="s">
        <v>3</v>
      </c>
      <c r="P22" s="26" t="s">
        <v>3</v>
      </c>
      <c r="Q22" s="26" t="s">
        <v>3</v>
      </c>
      <c r="R22" s="23" t="s">
        <v>7</v>
      </c>
      <c r="S22" s="24" t="s">
        <v>9</v>
      </c>
      <c r="T22" s="26" t="s">
        <v>3</v>
      </c>
      <c r="U22" s="26" t="s">
        <v>3</v>
      </c>
      <c r="V22" s="26" t="s">
        <v>3</v>
      </c>
      <c r="W22" s="26" t="s">
        <v>3</v>
      </c>
      <c r="X22" s="26" t="s">
        <v>3</v>
      </c>
      <c r="Y22" s="27" t="s">
        <v>7</v>
      </c>
      <c r="Z22" s="28" t="s">
        <v>11</v>
      </c>
      <c r="AA22" s="26" t="s">
        <v>3</v>
      </c>
      <c r="AB22" s="26" t="s">
        <v>3</v>
      </c>
      <c r="AC22" s="26" t="s">
        <v>3</v>
      </c>
      <c r="AD22" s="26" t="s">
        <v>3</v>
      </c>
      <c r="AE22" s="26" t="s">
        <v>3</v>
      </c>
      <c r="AF22" s="23" t="s">
        <v>7</v>
      </c>
      <c r="AG22" s="24" t="s">
        <v>9</v>
      </c>
      <c r="AH22" s="8">
        <f t="shared" ref="AH22:AH35" si="8">COUNTIF(D22:AG22,"ON")</f>
        <v>17</v>
      </c>
      <c r="AI22" s="8">
        <f t="shared" ref="AI22:AI35" si="9">COUNTIF(D22:AG22,"OFF")</f>
        <v>3</v>
      </c>
      <c r="AJ22" s="29">
        <f t="shared" ref="AJ22:AJ35" si="10">COUNTIF(D22:AG22,"OT")</f>
        <v>2</v>
      </c>
      <c r="AK22" s="62">
        <v>2</v>
      </c>
      <c r="AL22" s="33">
        <f t="shared" ref="AL22:AL35" si="11">AH22+AJ22+AK22*0.5</f>
        <v>20</v>
      </c>
      <c r="AM22" s="63">
        <f t="shared" ref="AM22:AM35" si="12">NETWORKDAYS(DATE(2025,11,1),EOMONTH(DATE(2025,11,1),0))*8</f>
        <v>160</v>
      </c>
      <c r="AN22" s="63">
        <f t="shared" ref="AN22:AN35" si="13">MAX(0,COUNTIF(J22,"ON")+COUNTIF(Q22,"ON")+COUNTIF(X22,"ON")+COUNTIF(AE22,"ON")-AK22)</f>
        <v>2</v>
      </c>
      <c r="AO22" s="63">
        <f t="shared" ref="AO22:AO35" si="14">AN22*$AO$2</f>
        <v>8</v>
      </c>
      <c r="AP22" s="53">
        <f t="shared" ref="AP22:AP35" si="15">AL22-AO22/8</f>
        <v>19</v>
      </c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</row>
    <row r="23" spans="1:55" ht="22" customHeight="1" x14ac:dyDescent="0.35">
      <c r="A23" s="8" t="s">
        <v>75</v>
      </c>
      <c r="B23" s="8" t="s">
        <v>76</v>
      </c>
      <c r="C23" s="8" t="s">
        <v>74</v>
      </c>
      <c r="D23" s="23" t="s">
        <v>7</v>
      </c>
      <c r="E23" s="24" t="s">
        <v>9</v>
      </c>
      <c r="F23" s="26" t="s">
        <v>3</v>
      </c>
      <c r="G23" s="26" t="s">
        <v>3</v>
      </c>
      <c r="H23" s="22" t="s">
        <v>5</v>
      </c>
      <c r="I23" s="22" t="s">
        <v>5</v>
      </c>
      <c r="J23" s="22" t="s">
        <v>5</v>
      </c>
      <c r="K23" s="23" t="s">
        <v>7</v>
      </c>
      <c r="L23" s="24" t="s">
        <v>9</v>
      </c>
      <c r="M23" s="22" t="s">
        <v>5</v>
      </c>
      <c r="N23" s="22" t="s">
        <v>5</v>
      </c>
      <c r="O23" s="22" t="s">
        <v>5</v>
      </c>
      <c r="P23" s="22" t="s">
        <v>5</v>
      </c>
      <c r="Q23" s="22" t="s">
        <v>5</v>
      </c>
      <c r="R23" s="23" t="s">
        <v>7</v>
      </c>
      <c r="S23" s="24" t="s">
        <v>9</v>
      </c>
      <c r="T23" s="22" t="s">
        <v>5</v>
      </c>
      <c r="U23" s="22" t="s">
        <v>5</v>
      </c>
      <c r="V23" s="22" t="s">
        <v>5</v>
      </c>
      <c r="W23" s="22" t="s">
        <v>5</v>
      </c>
      <c r="X23" s="22" t="s">
        <v>5</v>
      </c>
      <c r="Y23" s="23" t="s">
        <v>7</v>
      </c>
      <c r="Z23" s="24" t="s">
        <v>9</v>
      </c>
      <c r="AA23" s="22" t="s">
        <v>5</v>
      </c>
      <c r="AB23" s="22" t="s">
        <v>5</v>
      </c>
      <c r="AC23" s="22" t="s">
        <v>5</v>
      </c>
      <c r="AD23" s="22" t="s">
        <v>5</v>
      </c>
      <c r="AE23" s="22" t="s">
        <v>5</v>
      </c>
      <c r="AF23" s="23" t="s">
        <v>7</v>
      </c>
      <c r="AG23" s="24" t="s">
        <v>9</v>
      </c>
      <c r="AH23" s="8">
        <f t="shared" si="8"/>
        <v>2</v>
      </c>
      <c r="AI23" s="25">
        <f t="shared" si="9"/>
        <v>18</v>
      </c>
      <c r="AJ23" s="8">
        <f t="shared" si="10"/>
        <v>0</v>
      </c>
      <c r="AK23" s="62">
        <v>0</v>
      </c>
      <c r="AL23" s="33">
        <f t="shared" si="11"/>
        <v>2</v>
      </c>
      <c r="AM23" s="63">
        <f t="shared" si="12"/>
        <v>160</v>
      </c>
      <c r="AN23" s="63">
        <f t="shared" si="13"/>
        <v>0</v>
      </c>
      <c r="AO23" s="63">
        <f t="shared" si="14"/>
        <v>0</v>
      </c>
      <c r="AP23" s="53">
        <f t="shared" si="15"/>
        <v>2</v>
      </c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</row>
    <row r="24" spans="1:55" ht="22" customHeight="1" x14ac:dyDescent="0.35">
      <c r="A24" s="8" t="s">
        <v>77</v>
      </c>
      <c r="B24" s="8" t="s">
        <v>78</v>
      </c>
      <c r="C24" s="8" t="s">
        <v>74</v>
      </c>
      <c r="D24" s="23" t="s">
        <v>7</v>
      </c>
      <c r="E24" s="24" t="s">
        <v>9</v>
      </c>
      <c r="F24" s="26" t="s">
        <v>3</v>
      </c>
      <c r="G24" s="26" t="s">
        <v>3</v>
      </c>
      <c r="H24" s="26" t="s">
        <v>3</v>
      </c>
      <c r="I24" s="26" t="s">
        <v>3</v>
      </c>
      <c r="J24" s="26" t="s">
        <v>3</v>
      </c>
      <c r="K24" s="27" t="s">
        <v>7</v>
      </c>
      <c r="L24" s="28" t="s">
        <v>11</v>
      </c>
      <c r="M24" s="22" t="s">
        <v>5</v>
      </c>
      <c r="N24" s="22" t="s">
        <v>5</v>
      </c>
      <c r="O24" s="22" t="s">
        <v>5</v>
      </c>
      <c r="P24" s="22" t="s">
        <v>5</v>
      </c>
      <c r="Q24" s="22" t="s">
        <v>5</v>
      </c>
      <c r="R24" s="23" t="s">
        <v>7</v>
      </c>
      <c r="S24" s="24" t="s">
        <v>9</v>
      </c>
      <c r="T24" s="22" t="s">
        <v>5</v>
      </c>
      <c r="U24" s="22" t="s">
        <v>5</v>
      </c>
      <c r="V24" s="22" t="s">
        <v>5</v>
      </c>
      <c r="W24" s="22" t="s">
        <v>5</v>
      </c>
      <c r="X24" s="22" t="s">
        <v>5</v>
      </c>
      <c r="Y24" s="23" t="s">
        <v>7</v>
      </c>
      <c r="Z24" s="24" t="s">
        <v>9</v>
      </c>
      <c r="AA24" s="22" t="s">
        <v>5</v>
      </c>
      <c r="AB24" s="22" t="s">
        <v>5</v>
      </c>
      <c r="AC24" s="22" t="s">
        <v>5</v>
      </c>
      <c r="AD24" s="22" t="s">
        <v>5</v>
      </c>
      <c r="AE24" s="22" t="s">
        <v>5</v>
      </c>
      <c r="AF24" s="23" t="s">
        <v>7</v>
      </c>
      <c r="AG24" s="24" t="s">
        <v>9</v>
      </c>
      <c r="AH24" s="8">
        <f t="shared" si="8"/>
        <v>5</v>
      </c>
      <c r="AI24" s="25">
        <f t="shared" si="9"/>
        <v>15</v>
      </c>
      <c r="AJ24" s="29">
        <f t="shared" si="10"/>
        <v>1</v>
      </c>
      <c r="AK24" s="62">
        <v>1</v>
      </c>
      <c r="AL24" s="33">
        <f t="shared" si="11"/>
        <v>6.5</v>
      </c>
      <c r="AM24" s="63">
        <f t="shared" si="12"/>
        <v>160</v>
      </c>
      <c r="AN24" s="63">
        <f t="shared" si="13"/>
        <v>0</v>
      </c>
      <c r="AO24" s="63">
        <f t="shared" si="14"/>
        <v>0</v>
      </c>
      <c r="AP24" s="53">
        <f t="shared" si="15"/>
        <v>6.5</v>
      </c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</row>
    <row r="25" spans="1:55" ht="22" customHeight="1" x14ac:dyDescent="0.35">
      <c r="A25" s="8" t="s">
        <v>79</v>
      </c>
      <c r="B25" s="8" t="s">
        <v>80</v>
      </c>
      <c r="C25" s="8" t="s">
        <v>74</v>
      </c>
      <c r="D25" s="27" t="s">
        <v>7</v>
      </c>
      <c r="E25" s="28" t="s">
        <v>11</v>
      </c>
      <c r="F25" s="26" t="s">
        <v>3</v>
      </c>
      <c r="G25" s="26" t="s">
        <v>3</v>
      </c>
      <c r="H25" s="26" t="s">
        <v>3</v>
      </c>
      <c r="I25" s="26" t="s">
        <v>3</v>
      </c>
      <c r="J25" s="26" t="s">
        <v>3</v>
      </c>
      <c r="K25" s="23" t="s">
        <v>7</v>
      </c>
      <c r="L25" s="24" t="s">
        <v>9</v>
      </c>
      <c r="M25" s="26" t="s">
        <v>3</v>
      </c>
      <c r="N25" s="26" t="s">
        <v>3</v>
      </c>
      <c r="O25" s="26" t="s">
        <v>3</v>
      </c>
      <c r="P25" s="26" t="s">
        <v>3</v>
      </c>
      <c r="Q25" s="26" t="s">
        <v>3</v>
      </c>
      <c r="R25" s="27" t="s">
        <v>7</v>
      </c>
      <c r="S25" s="28" t="s">
        <v>11</v>
      </c>
      <c r="T25" s="26" t="s">
        <v>3</v>
      </c>
      <c r="U25" s="26" t="s">
        <v>3</v>
      </c>
      <c r="V25" s="26" t="s">
        <v>3</v>
      </c>
      <c r="W25" s="26" t="s">
        <v>3</v>
      </c>
      <c r="X25" s="26" t="s">
        <v>3</v>
      </c>
      <c r="Y25" s="27" t="s">
        <v>7</v>
      </c>
      <c r="Z25" s="28" t="s">
        <v>11</v>
      </c>
      <c r="AA25" s="26" t="s">
        <v>3</v>
      </c>
      <c r="AB25" s="26" t="s">
        <v>3</v>
      </c>
      <c r="AC25" s="26" t="s">
        <v>3</v>
      </c>
      <c r="AD25" s="26" t="s">
        <v>3</v>
      </c>
      <c r="AE25" s="26" t="s">
        <v>3</v>
      </c>
      <c r="AF25" s="27" t="s">
        <v>7</v>
      </c>
      <c r="AG25" s="28" t="s">
        <v>11</v>
      </c>
      <c r="AH25" s="8">
        <f t="shared" si="8"/>
        <v>20</v>
      </c>
      <c r="AI25" s="8">
        <f t="shared" si="9"/>
        <v>0</v>
      </c>
      <c r="AJ25" s="29">
        <f t="shared" si="10"/>
        <v>4</v>
      </c>
      <c r="AK25" s="62">
        <v>4</v>
      </c>
      <c r="AL25" s="33">
        <f t="shared" si="11"/>
        <v>26</v>
      </c>
      <c r="AM25" s="63">
        <f t="shared" si="12"/>
        <v>160</v>
      </c>
      <c r="AN25" s="63">
        <f t="shared" si="13"/>
        <v>0</v>
      </c>
      <c r="AO25" s="63">
        <f t="shared" si="14"/>
        <v>0</v>
      </c>
      <c r="AP25" s="53">
        <f t="shared" si="15"/>
        <v>26</v>
      </c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</row>
    <row r="26" spans="1:55" ht="22" customHeight="1" x14ac:dyDescent="0.35">
      <c r="A26" s="8" t="s">
        <v>81</v>
      </c>
      <c r="B26" s="8" t="s">
        <v>82</v>
      </c>
      <c r="C26" s="8" t="s">
        <v>74</v>
      </c>
      <c r="D26" s="23" t="s">
        <v>7</v>
      </c>
      <c r="E26" s="24" t="s">
        <v>9</v>
      </c>
      <c r="F26" s="26" t="s">
        <v>3</v>
      </c>
      <c r="G26" s="26" t="s">
        <v>3</v>
      </c>
      <c r="H26" s="26" t="s">
        <v>3</v>
      </c>
      <c r="I26" s="26" t="s">
        <v>3</v>
      </c>
      <c r="J26" s="26" t="s">
        <v>3</v>
      </c>
      <c r="K26" s="27" t="s">
        <v>7</v>
      </c>
      <c r="L26" s="28" t="s">
        <v>11</v>
      </c>
      <c r="M26" s="26" t="s">
        <v>3</v>
      </c>
      <c r="N26" s="26" t="s">
        <v>3</v>
      </c>
      <c r="O26" s="26" t="s">
        <v>3</v>
      </c>
      <c r="P26" s="26" t="s">
        <v>3</v>
      </c>
      <c r="Q26" s="26" t="s">
        <v>3</v>
      </c>
      <c r="R26" s="23" t="s">
        <v>7</v>
      </c>
      <c r="S26" s="24" t="s">
        <v>9</v>
      </c>
      <c r="T26" s="22" t="s">
        <v>5</v>
      </c>
      <c r="U26" s="26" t="s">
        <v>3</v>
      </c>
      <c r="V26" s="26" t="s">
        <v>3</v>
      </c>
      <c r="W26" s="26" t="s">
        <v>3</v>
      </c>
      <c r="X26" s="26" t="s">
        <v>3</v>
      </c>
      <c r="Y26" s="27" t="s">
        <v>7</v>
      </c>
      <c r="Z26" s="28" t="s">
        <v>11</v>
      </c>
      <c r="AA26" s="26" t="s">
        <v>3</v>
      </c>
      <c r="AB26" s="26" t="s">
        <v>3</v>
      </c>
      <c r="AC26" s="26" t="s">
        <v>3</v>
      </c>
      <c r="AD26" s="26" t="s">
        <v>3</v>
      </c>
      <c r="AE26" s="26" t="s">
        <v>3</v>
      </c>
      <c r="AF26" s="23" t="s">
        <v>7</v>
      </c>
      <c r="AG26" s="24" t="s">
        <v>9</v>
      </c>
      <c r="AH26" s="8">
        <f t="shared" si="8"/>
        <v>19</v>
      </c>
      <c r="AI26" s="8">
        <f t="shared" si="9"/>
        <v>1</v>
      </c>
      <c r="AJ26" s="29">
        <f t="shared" si="10"/>
        <v>2</v>
      </c>
      <c r="AK26" s="62">
        <v>2</v>
      </c>
      <c r="AL26" s="33">
        <f t="shared" si="11"/>
        <v>22</v>
      </c>
      <c r="AM26" s="63">
        <f t="shared" si="12"/>
        <v>160</v>
      </c>
      <c r="AN26" s="63">
        <f t="shared" si="13"/>
        <v>2</v>
      </c>
      <c r="AO26" s="63">
        <f t="shared" si="14"/>
        <v>8</v>
      </c>
      <c r="AP26" s="53">
        <f t="shared" si="15"/>
        <v>21</v>
      </c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</row>
    <row r="27" spans="1:55" ht="22" customHeight="1" x14ac:dyDescent="0.35">
      <c r="A27" s="8" t="s">
        <v>83</v>
      </c>
      <c r="B27" s="8" t="s">
        <v>84</v>
      </c>
      <c r="C27" s="8" t="s">
        <v>74</v>
      </c>
      <c r="D27" s="27" t="s">
        <v>7</v>
      </c>
      <c r="E27" s="28" t="s">
        <v>11</v>
      </c>
      <c r="F27" s="26" t="s">
        <v>3</v>
      </c>
      <c r="G27" s="26" t="s">
        <v>3</v>
      </c>
      <c r="H27" s="26" t="s">
        <v>3</v>
      </c>
      <c r="I27" s="26" t="s">
        <v>3</v>
      </c>
      <c r="J27" s="26" t="s">
        <v>3</v>
      </c>
      <c r="K27" s="23" t="s">
        <v>7</v>
      </c>
      <c r="L27" s="24" t="s">
        <v>9</v>
      </c>
      <c r="M27" s="22" t="s">
        <v>5</v>
      </c>
      <c r="N27" s="22" t="s">
        <v>5</v>
      </c>
      <c r="O27" s="22" t="s">
        <v>5</v>
      </c>
      <c r="P27" s="22" t="s">
        <v>5</v>
      </c>
      <c r="Q27" s="22" t="s">
        <v>5</v>
      </c>
      <c r="R27" s="23" t="s">
        <v>7</v>
      </c>
      <c r="S27" s="24" t="s">
        <v>9</v>
      </c>
      <c r="T27" s="22" t="s">
        <v>5</v>
      </c>
      <c r="U27" s="22" t="s">
        <v>5</v>
      </c>
      <c r="V27" s="22" t="s">
        <v>5</v>
      </c>
      <c r="W27" s="22" t="s">
        <v>5</v>
      </c>
      <c r="X27" s="22" t="s">
        <v>5</v>
      </c>
      <c r="Y27" s="23" t="s">
        <v>7</v>
      </c>
      <c r="Z27" s="24" t="s">
        <v>9</v>
      </c>
      <c r="AA27" s="22" t="s">
        <v>5</v>
      </c>
      <c r="AB27" s="22" t="s">
        <v>5</v>
      </c>
      <c r="AC27" s="22" t="s">
        <v>5</v>
      </c>
      <c r="AD27" s="22" t="s">
        <v>5</v>
      </c>
      <c r="AE27" s="22" t="s">
        <v>5</v>
      </c>
      <c r="AF27" s="23" t="s">
        <v>7</v>
      </c>
      <c r="AG27" s="24" t="s">
        <v>9</v>
      </c>
      <c r="AH27" s="8">
        <f t="shared" si="8"/>
        <v>5</v>
      </c>
      <c r="AI27" s="25">
        <f t="shared" si="9"/>
        <v>15</v>
      </c>
      <c r="AJ27" s="29">
        <f t="shared" si="10"/>
        <v>1</v>
      </c>
      <c r="AK27" s="62">
        <v>1</v>
      </c>
      <c r="AL27" s="33">
        <f t="shared" si="11"/>
        <v>6.5</v>
      </c>
      <c r="AM27" s="63">
        <f t="shared" si="12"/>
        <v>160</v>
      </c>
      <c r="AN27" s="63">
        <f t="shared" si="13"/>
        <v>0</v>
      </c>
      <c r="AO27" s="63">
        <f t="shared" si="14"/>
        <v>0</v>
      </c>
      <c r="AP27" s="53">
        <f t="shared" si="15"/>
        <v>6.5</v>
      </c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</row>
    <row r="28" spans="1:55" ht="22" customHeight="1" x14ac:dyDescent="0.35">
      <c r="A28" s="8" t="s">
        <v>85</v>
      </c>
      <c r="B28" s="8" t="s">
        <v>86</v>
      </c>
      <c r="C28" s="8" t="s">
        <v>74</v>
      </c>
      <c r="D28" s="27" t="s">
        <v>7</v>
      </c>
      <c r="E28" s="24" t="s">
        <v>9</v>
      </c>
      <c r="F28" s="26" t="s">
        <v>3</v>
      </c>
      <c r="G28" s="26" t="s">
        <v>3</v>
      </c>
      <c r="H28" s="26" t="s">
        <v>3</v>
      </c>
      <c r="I28" s="26" t="s">
        <v>3</v>
      </c>
      <c r="J28" s="26" t="s">
        <v>3</v>
      </c>
      <c r="K28" s="23" t="s">
        <v>7</v>
      </c>
      <c r="L28" s="24" t="s">
        <v>9</v>
      </c>
      <c r="M28" s="22" t="s">
        <v>5</v>
      </c>
      <c r="N28" s="22" t="s">
        <v>5</v>
      </c>
      <c r="O28" s="22" t="s">
        <v>5</v>
      </c>
      <c r="P28" s="22" t="s">
        <v>5</v>
      </c>
      <c r="Q28" s="22" t="s">
        <v>5</v>
      </c>
      <c r="R28" s="23" t="s">
        <v>7</v>
      </c>
      <c r="S28" s="24" t="s">
        <v>9</v>
      </c>
      <c r="T28" s="22" t="s">
        <v>5</v>
      </c>
      <c r="U28" s="22" t="s">
        <v>5</v>
      </c>
      <c r="V28" s="22" t="s">
        <v>5</v>
      </c>
      <c r="W28" s="22" t="s">
        <v>5</v>
      </c>
      <c r="X28" s="22" t="s">
        <v>5</v>
      </c>
      <c r="Y28" s="23" t="s">
        <v>7</v>
      </c>
      <c r="Z28" s="24" t="s">
        <v>9</v>
      </c>
      <c r="AA28" s="22" t="s">
        <v>5</v>
      </c>
      <c r="AB28" s="22" t="s">
        <v>5</v>
      </c>
      <c r="AC28" s="22" t="s">
        <v>5</v>
      </c>
      <c r="AD28" s="22" t="s">
        <v>5</v>
      </c>
      <c r="AE28" s="22" t="s">
        <v>5</v>
      </c>
      <c r="AF28" s="23" t="s">
        <v>7</v>
      </c>
      <c r="AG28" s="24" t="s">
        <v>9</v>
      </c>
      <c r="AH28" s="8">
        <f t="shared" si="8"/>
        <v>5</v>
      </c>
      <c r="AI28" s="25">
        <f t="shared" si="9"/>
        <v>15</v>
      </c>
      <c r="AJ28" s="8">
        <f t="shared" si="10"/>
        <v>0</v>
      </c>
      <c r="AK28" s="62">
        <v>1</v>
      </c>
      <c r="AL28" s="33">
        <f t="shared" si="11"/>
        <v>5.5</v>
      </c>
      <c r="AM28" s="63">
        <f t="shared" si="12"/>
        <v>160</v>
      </c>
      <c r="AN28" s="63">
        <f t="shared" si="13"/>
        <v>0</v>
      </c>
      <c r="AO28" s="63">
        <f t="shared" si="14"/>
        <v>0</v>
      </c>
      <c r="AP28" s="53">
        <f t="shared" si="15"/>
        <v>5.5</v>
      </c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</row>
    <row r="29" spans="1:55" ht="22" customHeight="1" x14ac:dyDescent="0.35">
      <c r="A29" s="8" t="s">
        <v>87</v>
      </c>
      <c r="B29" s="8" t="s">
        <v>88</v>
      </c>
      <c r="C29" s="8" t="s">
        <v>74</v>
      </c>
      <c r="D29" s="23" t="s">
        <v>7</v>
      </c>
      <c r="E29" s="24" t="s">
        <v>9</v>
      </c>
      <c r="F29" s="22" t="s">
        <v>5</v>
      </c>
      <c r="G29" s="22" t="s">
        <v>5</v>
      </c>
      <c r="H29" s="22" t="s">
        <v>5</v>
      </c>
      <c r="I29" s="22" t="s">
        <v>5</v>
      </c>
      <c r="J29" s="22" t="s">
        <v>5</v>
      </c>
      <c r="K29" s="23" t="s">
        <v>7</v>
      </c>
      <c r="L29" s="24" t="s">
        <v>9</v>
      </c>
      <c r="M29" s="22" t="s">
        <v>5</v>
      </c>
      <c r="N29" s="22" t="s">
        <v>5</v>
      </c>
      <c r="O29" s="22" t="s">
        <v>5</v>
      </c>
      <c r="P29" s="22" t="s">
        <v>5</v>
      </c>
      <c r="Q29" s="22" t="s">
        <v>5</v>
      </c>
      <c r="R29" s="23" t="s">
        <v>7</v>
      </c>
      <c r="S29" s="24" t="s">
        <v>9</v>
      </c>
      <c r="T29" s="22" t="s">
        <v>5</v>
      </c>
      <c r="U29" s="22" t="s">
        <v>5</v>
      </c>
      <c r="V29" s="26" t="s">
        <v>3</v>
      </c>
      <c r="W29" s="26" t="s">
        <v>3</v>
      </c>
      <c r="X29" s="26" t="s">
        <v>3</v>
      </c>
      <c r="Y29" s="27" t="s">
        <v>7</v>
      </c>
      <c r="Z29" s="28" t="s">
        <v>11</v>
      </c>
      <c r="AA29" s="26" t="s">
        <v>3</v>
      </c>
      <c r="AB29" s="26" t="s">
        <v>3</v>
      </c>
      <c r="AC29" s="26" t="s">
        <v>3</v>
      </c>
      <c r="AD29" s="26" t="s">
        <v>3</v>
      </c>
      <c r="AE29" s="26" t="s">
        <v>3</v>
      </c>
      <c r="AF29" s="27" t="s">
        <v>7</v>
      </c>
      <c r="AG29" s="28" t="s">
        <v>11</v>
      </c>
      <c r="AH29" s="8">
        <f t="shared" si="8"/>
        <v>8</v>
      </c>
      <c r="AI29" s="25">
        <f t="shared" si="9"/>
        <v>12</v>
      </c>
      <c r="AJ29" s="29">
        <f t="shared" si="10"/>
        <v>2</v>
      </c>
      <c r="AK29" s="62">
        <v>2</v>
      </c>
      <c r="AL29" s="33">
        <f t="shared" si="11"/>
        <v>11</v>
      </c>
      <c r="AM29" s="63">
        <f t="shared" si="12"/>
        <v>160</v>
      </c>
      <c r="AN29" s="63">
        <f t="shared" si="13"/>
        <v>0</v>
      </c>
      <c r="AO29" s="63">
        <f t="shared" si="14"/>
        <v>0</v>
      </c>
      <c r="AP29" s="53">
        <f t="shared" si="15"/>
        <v>11</v>
      </c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</row>
    <row r="30" spans="1:55" ht="22" customHeight="1" x14ac:dyDescent="0.35">
      <c r="A30" s="8" t="s">
        <v>89</v>
      </c>
      <c r="B30" s="8" t="s">
        <v>90</v>
      </c>
      <c r="C30" s="8" t="s">
        <v>74</v>
      </c>
      <c r="D30" s="23" t="s">
        <v>7</v>
      </c>
      <c r="E30" s="24" t="s">
        <v>9</v>
      </c>
      <c r="F30" s="22" t="s">
        <v>5</v>
      </c>
      <c r="G30" s="22" t="s">
        <v>5</v>
      </c>
      <c r="H30" s="26" t="s">
        <v>3</v>
      </c>
      <c r="I30" s="26" t="s">
        <v>3</v>
      </c>
      <c r="J30" s="26" t="s">
        <v>3</v>
      </c>
      <c r="K30" s="27" t="s">
        <v>7</v>
      </c>
      <c r="L30" s="28" t="s">
        <v>11</v>
      </c>
      <c r="M30" s="26" t="s">
        <v>3</v>
      </c>
      <c r="N30" s="26" t="s">
        <v>3</v>
      </c>
      <c r="O30" s="26" t="s">
        <v>3</v>
      </c>
      <c r="P30" s="26" t="s">
        <v>3</v>
      </c>
      <c r="Q30" s="26" t="s">
        <v>3</v>
      </c>
      <c r="R30" s="27" t="s">
        <v>7</v>
      </c>
      <c r="S30" s="28" t="s">
        <v>11</v>
      </c>
      <c r="T30" s="26" t="s">
        <v>3</v>
      </c>
      <c r="U30" s="26" t="s">
        <v>3</v>
      </c>
      <c r="V30" s="26" t="s">
        <v>3</v>
      </c>
      <c r="W30" s="26" t="s">
        <v>3</v>
      </c>
      <c r="X30" s="26" t="s">
        <v>3</v>
      </c>
      <c r="Y30" s="23" t="s">
        <v>7</v>
      </c>
      <c r="Z30" s="24" t="s">
        <v>9</v>
      </c>
      <c r="AA30" s="26" t="s">
        <v>3</v>
      </c>
      <c r="AB30" s="26" t="s">
        <v>3</v>
      </c>
      <c r="AC30" s="26" t="s">
        <v>3</v>
      </c>
      <c r="AD30" s="26" t="s">
        <v>3</v>
      </c>
      <c r="AE30" s="26" t="s">
        <v>3</v>
      </c>
      <c r="AF30" s="27" t="s">
        <v>7</v>
      </c>
      <c r="AG30" s="28" t="s">
        <v>11</v>
      </c>
      <c r="AH30" s="8">
        <f t="shared" si="8"/>
        <v>18</v>
      </c>
      <c r="AI30" s="8">
        <f t="shared" si="9"/>
        <v>2</v>
      </c>
      <c r="AJ30" s="29">
        <f t="shared" si="10"/>
        <v>3</v>
      </c>
      <c r="AK30" s="62">
        <v>3</v>
      </c>
      <c r="AL30" s="33">
        <f t="shared" si="11"/>
        <v>22.5</v>
      </c>
      <c r="AM30" s="63">
        <f t="shared" si="12"/>
        <v>160</v>
      </c>
      <c r="AN30" s="63">
        <f t="shared" si="13"/>
        <v>1</v>
      </c>
      <c r="AO30" s="63">
        <f t="shared" si="14"/>
        <v>4</v>
      </c>
      <c r="AP30" s="53">
        <f t="shared" si="15"/>
        <v>22</v>
      </c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</row>
    <row r="31" spans="1:55" ht="22" customHeight="1" x14ac:dyDescent="0.35">
      <c r="A31" s="8" t="s">
        <v>91</v>
      </c>
      <c r="B31" s="8" t="s">
        <v>92</v>
      </c>
      <c r="C31" s="8" t="s">
        <v>74</v>
      </c>
      <c r="D31" s="23" t="s">
        <v>7</v>
      </c>
      <c r="E31" s="24" t="s">
        <v>9</v>
      </c>
      <c r="F31" s="22" t="s">
        <v>5</v>
      </c>
      <c r="G31" s="22" t="s">
        <v>5</v>
      </c>
      <c r="H31" s="22" t="s">
        <v>5</v>
      </c>
      <c r="I31" s="26" t="s">
        <v>3</v>
      </c>
      <c r="J31" s="26" t="s">
        <v>3</v>
      </c>
      <c r="K31" s="27" t="s">
        <v>7</v>
      </c>
      <c r="L31" s="28" t="s">
        <v>11</v>
      </c>
      <c r="M31" s="26" t="s">
        <v>3</v>
      </c>
      <c r="N31" s="26" t="s">
        <v>3</v>
      </c>
      <c r="O31" s="26" t="s">
        <v>3</v>
      </c>
      <c r="P31" s="26" t="s">
        <v>3</v>
      </c>
      <c r="Q31" s="26" t="s">
        <v>3</v>
      </c>
      <c r="R31" s="27" t="s">
        <v>7</v>
      </c>
      <c r="S31" s="28" t="s">
        <v>11</v>
      </c>
      <c r="T31" s="26" t="s">
        <v>3</v>
      </c>
      <c r="U31" s="26" t="s">
        <v>3</v>
      </c>
      <c r="V31" s="26" t="s">
        <v>3</v>
      </c>
      <c r="W31" s="26" t="s">
        <v>3</v>
      </c>
      <c r="X31" s="26" t="s">
        <v>3</v>
      </c>
      <c r="Y31" s="23" t="s">
        <v>7</v>
      </c>
      <c r="Z31" s="24" t="s">
        <v>9</v>
      </c>
      <c r="AA31" s="26" t="s">
        <v>3</v>
      </c>
      <c r="AB31" s="26" t="s">
        <v>3</v>
      </c>
      <c r="AC31" s="26" t="s">
        <v>3</v>
      </c>
      <c r="AD31" s="26" t="s">
        <v>3</v>
      </c>
      <c r="AE31" s="26" t="s">
        <v>3</v>
      </c>
      <c r="AF31" s="27" t="s">
        <v>7</v>
      </c>
      <c r="AG31" s="28" t="s">
        <v>11</v>
      </c>
      <c r="AH31" s="8">
        <f t="shared" si="8"/>
        <v>17</v>
      </c>
      <c r="AI31" s="8">
        <f t="shared" si="9"/>
        <v>3</v>
      </c>
      <c r="AJ31" s="29">
        <f t="shared" si="10"/>
        <v>3</v>
      </c>
      <c r="AK31" s="62">
        <v>3</v>
      </c>
      <c r="AL31" s="33">
        <f t="shared" si="11"/>
        <v>21.5</v>
      </c>
      <c r="AM31" s="63">
        <f t="shared" si="12"/>
        <v>160</v>
      </c>
      <c r="AN31" s="63">
        <f t="shared" si="13"/>
        <v>1</v>
      </c>
      <c r="AO31" s="63">
        <f t="shared" si="14"/>
        <v>4</v>
      </c>
      <c r="AP31" s="53">
        <f t="shared" si="15"/>
        <v>21</v>
      </c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</row>
    <row r="32" spans="1:55" ht="22" customHeight="1" x14ac:dyDescent="0.35">
      <c r="A32" s="8" t="s">
        <v>93</v>
      </c>
      <c r="B32" s="8" t="s">
        <v>94</v>
      </c>
      <c r="C32" s="8" t="s">
        <v>74</v>
      </c>
      <c r="D32" s="27" t="s">
        <v>7</v>
      </c>
      <c r="E32" s="28" t="s">
        <v>11</v>
      </c>
      <c r="F32" s="26" t="s">
        <v>3</v>
      </c>
      <c r="G32" s="26" t="s">
        <v>3</v>
      </c>
      <c r="H32" s="26" t="s">
        <v>3</v>
      </c>
      <c r="I32" s="26" t="s">
        <v>3</v>
      </c>
      <c r="J32" s="26" t="s">
        <v>3</v>
      </c>
      <c r="K32" s="23" t="s">
        <v>7</v>
      </c>
      <c r="L32" s="24" t="s">
        <v>9</v>
      </c>
      <c r="M32" s="26" t="s">
        <v>3</v>
      </c>
      <c r="N32" s="26" t="s">
        <v>3</v>
      </c>
      <c r="O32" s="26" t="s">
        <v>3</v>
      </c>
      <c r="P32" s="26" t="s">
        <v>3</v>
      </c>
      <c r="Q32" s="26" t="s">
        <v>3</v>
      </c>
      <c r="R32" s="27" t="s">
        <v>7</v>
      </c>
      <c r="S32" s="28" t="s">
        <v>11</v>
      </c>
      <c r="T32" s="26" t="s">
        <v>3</v>
      </c>
      <c r="U32" s="26" t="s">
        <v>3</v>
      </c>
      <c r="V32" s="26" t="s">
        <v>3</v>
      </c>
      <c r="W32" s="26" t="s">
        <v>3</v>
      </c>
      <c r="X32" s="26" t="s">
        <v>3</v>
      </c>
      <c r="Y32" s="27" t="s">
        <v>7</v>
      </c>
      <c r="Z32" s="28" t="s">
        <v>11</v>
      </c>
      <c r="AA32" s="26" t="s">
        <v>3</v>
      </c>
      <c r="AB32" s="26" t="s">
        <v>3</v>
      </c>
      <c r="AC32" s="26" t="s">
        <v>3</v>
      </c>
      <c r="AD32" s="26" t="s">
        <v>3</v>
      </c>
      <c r="AE32" s="26" t="s">
        <v>3</v>
      </c>
      <c r="AF32" s="23" t="s">
        <v>7</v>
      </c>
      <c r="AG32" s="24" t="s">
        <v>9</v>
      </c>
      <c r="AH32" s="8">
        <f t="shared" si="8"/>
        <v>20</v>
      </c>
      <c r="AI32" s="8">
        <f t="shared" si="9"/>
        <v>0</v>
      </c>
      <c r="AJ32" s="29">
        <f t="shared" si="10"/>
        <v>3</v>
      </c>
      <c r="AK32" s="62">
        <v>3</v>
      </c>
      <c r="AL32" s="33">
        <f t="shared" si="11"/>
        <v>24.5</v>
      </c>
      <c r="AM32" s="63">
        <f t="shared" si="12"/>
        <v>160</v>
      </c>
      <c r="AN32" s="63">
        <f t="shared" si="13"/>
        <v>1</v>
      </c>
      <c r="AO32" s="63">
        <f t="shared" si="14"/>
        <v>4</v>
      </c>
      <c r="AP32" s="53">
        <f t="shared" si="15"/>
        <v>24</v>
      </c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</row>
    <row r="33" spans="1:55" ht="22" customHeight="1" x14ac:dyDescent="0.35">
      <c r="A33" s="8" t="s">
        <v>95</v>
      </c>
      <c r="B33" s="8" t="s">
        <v>96</v>
      </c>
      <c r="C33" s="8" t="s">
        <v>74</v>
      </c>
      <c r="D33" s="27" t="s">
        <v>7</v>
      </c>
      <c r="E33" s="28" t="s">
        <v>11</v>
      </c>
      <c r="F33" s="26" t="s">
        <v>3</v>
      </c>
      <c r="G33" s="26" t="s">
        <v>3</v>
      </c>
      <c r="H33" s="26" t="s">
        <v>3</v>
      </c>
      <c r="I33" s="26" t="s">
        <v>3</v>
      </c>
      <c r="J33" s="26" t="s">
        <v>3</v>
      </c>
      <c r="K33" s="23" t="s">
        <v>7</v>
      </c>
      <c r="L33" s="24" t="s">
        <v>9</v>
      </c>
      <c r="M33" s="26" t="s">
        <v>3</v>
      </c>
      <c r="N33" s="26" t="s">
        <v>3</v>
      </c>
      <c r="O33" s="26" t="s">
        <v>3</v>
      </c>
      <c r="P33" s="26" t="s">
        <v>3</v>
      </c>
      <c r="Q33" s="26" t="s">
        <v>3</v>
      </c>
      <c r="R33" s="27" t="s">
        <v>7</v>
      </c>
      <c r="S33" s="28" t="s">
        <v>11</v>
      </c>
      <c r="T33" s="26" t="s">
        <v>3</v>
      </c>
      <c r="U33" s="26" t="s">
        <v>3</v>
      </c>
      <c r="V33" s="26" t="s">
        <v>3</v>
      </c>
      <c r="W33" s="26" t="s">
        <v>3</v>
      </c>
      <c r="X33" s="26" t="s">
        <v>3</v>
      </c>
      <c r="Y33" s="23" t="s">
        <v>7</v>
      </c>
      <c r="Z33" s="24" t="s">
        <v>9</v>
      </c>
      <c r="AA33" s="26" t="s">
        <v>3</v>
      </c>
      <c r="AB33" s="26" t="s">
        <v>3</v>
      </c>
      <c r="AC33" s="26" t="s">
        <v>3</v>
      </c>
      <c r="AD33" s="26" t="s">
        <v>3</v>
      </c>
      <c r="AE33" s="26" t="s">
        <v>3</v>
      </c>
      <c r="AF33" s="27" t="s">
        <v>7</v>
      </c>
      <c r="AG33" s="28" t="s">
        <v>11</v>
      </c>
      <c r="AH33" s="8">
        <f t="shared" si="8"/>
        <v>20</v>
      </c>
      <c r="AI33" s="8">
        <f t="shared" si="9"/>
        <v>0</v>
      </c>
      <c r="AJ33" s="29">
        <f t="shared" si="10"/>
        <v>3</v>
      </c>
      <c r="AK33" s="62">
        <v>3</v>
      </c>
      <c r="AL33" s="33">
        <f t="shared" si="11"/>
        <v>24.5</v>
      </c>
      <c r="AM33" s="63">
        <f t="shared" si="12"/>
        <v>160</v>
      </c>
      <c r="AN33" s="63">
        <f t="shared" si="13"/>
        <v>1</v>
      </c>
      <c r="AO33" s="63">
        <f t="shared" si="14"/>
        <v>4</v>
      </c>
      <c r="AP33" s="53">
        <f t="shared" si="15"/>
        <v>24</v>
      </c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</row>
    <row r="34" spans="1:55" ht="22" customHeight="1" x14ac:dyDescent="0.35">
      <c r="A34" s="8" t="s">
        <v>97</v>
      </c>
      <c r="B34" s="8" t="s">
        <v>98</v>
      </c>
      <c r="C34" s="8" t="s">
        <v>74</v>
      </c>
      <c r="D34" s="23" t="s">
        <v>7</v>
      </c>
      <c r="E34" s="24" t="s">
        <v>9</v>
      </c>
      <c r="F34" s="22" t="s">
        <v>5</v>
      </c>
      <c r="G34" s="22" t="s">
        <v>5</v>
      </c>
      <c r="H34" s="26" t="s">
        <v>3</v>
      </c>
      <c r="I34" s="26" t="s">
        <v>3</v>
      </c>
      <c r="J34" s="26" t="s">
        <v>3</v>
      </c>
      <c r="K34" s="27" t="s">
        <v>7</v>
      </c>
      <c r="L34" s="28" t="s">
        <v>11</v>
      </c>
      <c r="M34" s="26" t="s">
        <v>3</v>
      </c>
      <c r="N34" s="26" t="s">
        <v>3</v>
      </c>
      <c r="O34" s="26" t="s">
        <v>3</v>
      </c>
      <c r="P34" s="26" t="s">
        <v>3</v>
      </c>
      <c r="Q34" s="26" t="s">
        <v>3</v>
      </c>
      <c r="R34" s="27" t="s">
        <v>7</v>
      </c>
      <c r="S34" s="28" t="s">
        <v>11</v>
      </c>
      <c r="T34" s="26" t="s">
        <v>3</v>
      </c>
      <c r="U34" s="26" t="s">
        <v>3</v>
      </c>
      <c r="V34" s="26" t="s">
        <v>3</v>
      </c>
      <c r="W34" s="26" t="s">
        <v>3</v>
      </c>
      <c r="X34" s="26" t="s">
        <v>3</v>
      </c>
      <c r="Y34" s="23" t="s">
        <v>7</v>
      </c>
      <c r="Z34" s="24" t="s">
        <v>9</v>
      </c>
      <c r="AA34" s="26" t="s">
        <v>3</v>
      </c>
      <c r="AB34" s="26" t="s">
        <v>3</v>
      </c>
      <c r="AC34" s="26" t="s">
        <v>3</v>
      </c>
      <c r="AD34" s="26" t="s">
        <v>3</v>
      </c>
      <c r="AE34" s="26" t="s">
        <v>3</v>
      </c>
      <c r="AF34" s="23" t="s">
        <v>7</v>
      </c>
      <c r="AG34" s="24" t="s">
        <v>9</v>
      </c>
      <c r="AH34" s="8">
        <f t="shared" si="8"/>
        <v>18</v>
      </c>
      <c r="AI34" s="8">
        <f t="shared" si="9"/>
        <v>2</v>
      </c>
      <c r="AJ34" s="29">
        <f t="shared" si="10"/>
        <v>2</v>
      </c>
      <c r="AK34" s="62">
        <v>2</v>
      </c>
      <c r="AL34" s="33">
        <f t="shared" si="11"/>
        <v>21</v>
      </c>
      <c r="AM34" s="63">
        <f t="shared" si="12"/>
        <v>160</v>
      </c>
      <c r="AN34" s="63">
        <f t="shared" si="13"/>
        <v>2</v>
      </c>
      <c r="AO34" s="63">
        <f t="shared" si="14"/>
        <v>8</v>
      </c>
      <c r="AP34" s="53">
        <f t="shared" si="15"/>
        <v>20</v>
      </c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</row>
    <row r="35" spans="1:55" ht="22" customHeight="1" x14ac:dyDescent="0.35">
      <c r="A35" s="8" t="s">
        <v>99</v>
      </c>
      <c r="B35" s="8" t="s">
        <v>100</v>
      </c>
      <c r="C35" s="8" t="s">
        <v>74</v>
      </c>
      <c r="D35" s="23" t="s">
        <v>7</v>
      </c>
      <c r="E35" s="24" t="s">
        <v>9</v>
      </c>
      <c r="F35" s="22" t="s">
        <v>5</v>
      </c>
      <c r="G35" s="22" t="s">
        <v>5</v>
      </c>
      <c r="H35" s="22" t="s">
        <v>5</v>
      </c>
      <c r="I35" s="22" t="s">
        <v>5</v>
      </c>
      <c r="J35" s="22" t="s">
        <v>5</v>
      </c>
      <c r="K35" s="23" t="s">
        <v>7</v>
      </c>
      <c r="L35" s="24" t="s">
        <v>9</v>
      </c>
      <c r="M35" s="22" t="s">
        <v>5</v>
      </c>
      <c r="N35" s="22" t="s">
        <v>5</v>
      </c>
      <c r="O35" s="22" t="s">
        <v>5</v>
      </c>
      <c r="P35" s="22" t="s">
        <v>5</v>
      </c>
      <c r="Q35" s="22" t="s">
        <v>5</v>
      </c>
      <c r="R35" s="23" t="s">
        <v>7</v>
      </c>
      <c r="S35" s="24" t="s">
        <v>9</v>
      </c>
      <c r="T35" s="22" t="s">
        <v>5</v>
      </c>
      <c r="U35" s="22" t="s">
        <v>5</v>
      </c>
      <c r="V35" s="22" t="s">
        <v>5</v>
      </c>
      <c r="W35" s="22" t="s">
        <v>5</v>
      </c>
      <c r="X35" s="22" t="s">
        <v>5</v>
      </c>
      <c r="Y35" s="23" t="s">
        <v>7</v>
      </c>
      <c r="Z35" s="24" t="s">
        <v>9</v>
      </c>
      <c r="AA35" s="22" t="s">
        <v>5</v>
      </c>
      <c r="AB35" s="22" t="s">
        <v>5</v>
      </c>
      <c r="AC35" s="22" t="s">
        <v>5</v>
      </c>
      <c r="AD35" s="22" t="s">
        <v>5</v>
      </c>
      <c r="AE35" s="22" t="s">
        <v>5</v>
      </c>
      <c r="AF35" s="23" t="s">
        <v>7</v>
      </c>
      <c r="AG35" s="24" t="s">
        <v>9</v>
      </c>
      <c r="AH35" s="8">
        <f t="shared" si="8"/>
        <v>0</v>
      </c>
      <c r="AI35" s="25">
        <f t="shared" si="9"/>
        <v>20</v>
      </c>
      <c r="AJ35" s="8">
        <f t="shared" si="10"/>
        <v>0</v>
      </c>
      <c r="AK35" s="62">
        <v>0</v>
      </c>
      <c r="AL35" s="33">
        <f t="shared" si="11"/>
        <v>0</v>
      </c>
      <c r="AM35" s="63">
        <f t="shared" si="12"/>
        <v>160</v>
      </c>
      <c r="AN35" s="63">
        <f t="shared" si="13"/>
        <v>0</v>
      </c>
      <c r="AO35" s="63">
        <f t="shared" si="14"/>
        <v>0</v>
      </c>
      <c r="AP35" s="53">
        <f t="shared" si="15"/>
        <v>0</v>
      </c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</row>
    <row r="36" spans="1:55" x14ac:dyDescent="0.35"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</row>
    <row r="37" spans="1:55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</row>
    <row r="38" spans="1:55" ht="22" customHeight="1" x14ac:dyDescent="0.35">
      <c r="A38" s="8" t="s">
        <v>102</v>
      </c>
      <c r="B38" s="8" t="s">
        <v>103</v>
      </c>
      <c r="C38" s="8" t="s">
        <v>104</v>
      </c>
      <c r="D38" s="23" t="s">
        <v>7</v>
      </c>
      <c r="E38" s="24" t="s">
        <v>9</v>
      </c>
      <c r="F38" s="22" t="s">
        <v>5</v>
      </c>
      <c r="G38" s="22" t="s">
        <v>5</v>
      </c>
      <c r="H38" s="22" t="s">
        <v>5</v>
      </c>
      <c r="I38" s="22" t="s">
        <v>5</v>
      </c>
      <c r="J38" s="22" t="s">
        <v>5</v>
      </c>
      <c r="K38" s="23" t="s">
        <v>7</v>
      </c>
      <c r="L38" s="24" t="s">
        <v>9</v>
      </c>
      <c r="M38" s="22" t="s">
        <v>5</v>
      </c>
      <c r="N38" s="22" t="s">
        <v>5</v>
      </c>
      <c r="O38" s="22" t="s">
        <v>5</v>
      </c>
      <c r="P38" s="22" t="s">
        <v>5</v>
      </c>
      <c r="Q38" s="26" t="s">
        <v>3</v>
      </c>
      <c r="R38" s="27" t="s">
        <v>7</v>
      </c>
      <c r="S38" s="28" t="s">
        <v>11</v>
      </c>
      <c r="T38" s="26" t="s">
        <v>3</v>
      </c>
      <c r="U38" s="26" t="s">
        <v>3</v>
      </c>
      <c r="V38" s="26" t="s">
        <v>3</v>
      </c>
      <c r="W38" s="26" t="s">
        <v>3</v>
      </c>
      <c r="X38" s="26" t="s">
        <v>3</v>
      </c>
      <c r="Y38" s="27" t="s">
        <v>7</v>
      </c>
      <c r="Z38" s="28" t="s">
        <v>11</v>
      </c>
      <c r="AA38" s="26" t="s">
        <v>3</v>
      </c>
      <c r="AB38" s="26" t="s">
        <v>3</v>
      </c>
      <c r="AC38" s="26" t="s">
        <v>3</v>
      </c>
      <c r="AD38" s="26" t="s">
        <v>3</v>
      </c>
      <c r="AE38" s="26" t="s">
        <v>3</v>
      </c>
      <c r="AF38" s="27" t="s">
        <v>7</v>
      </c>
      <c r="AG38" s="28" t="s">
        <v>11</v>
      </c>
      <c r="AH38" s="8">
        <f t="shared" ref="AH38:AH74" si="16">COUNTIF(D38:AG38,"ON")</f>
        <v>11</v>
      </c>
      <c r="AI38" s="8">
        <f t="shared" ref="AI38:AI74" si="17">COUNTIF(D38:AG38,"OFF")</f>
        <v>9</v>
      </c>
      <c r="AJ38" s="29">
        <f t="shared" ref="AJ38:AJ74" si="18">COUNTIF(D38:AG38,"OT")</f>
        <v>3</v>
      </c>
      <c r="AK38" s="62">
        <v>3</v>
      </c>
      <c r="AL38" s="33">
        <f t="shared" ref="AL38:AL74" si="19">AH38+AJ38+AK38*0.5</f>
        <v>15.5</v>
      </c>
      <c r="AM38" s="63">
        <f t="shared" ref="AM38:AM74" si="20">NETWORKDAYS(DATE(2025,11,1),EOMONTH(DATE(2025,11,1),0))*8</f>
        <v>160</v>
      </c>
      <c r="AN38" s="63">
        <f t="shared" ref="AN38:AN74" si="21">MAX(0,COUNTIF(J38,"ON")+COUNTIF(Q38,"ON")+COUNTIF(X38,"ON")+COUNTIF(AE38,"ON")-AK38)</f>
        <v>0</v>
      </c>
      <c r="AO38" s="63">
        <f t="shared" ref="AO38:AO74" si="22">AN38*$AO$2</f>
        <v>0</v>
      </c>
      <c r="AP38" s="53">
        <f t="shared" ref="AP38:AP74" si="23">AL38-AO38/8</f>
        <v>15.5</v>
      </c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</row>
    <row r="39" spans="1:55" ht="22" customHeight="1" x14ac:dyDescent="0.35">
      <c r="A39" s="8" t="s">
        <v>105</v>
      </c>
      <c r="B39" s="8" t="s">
        <v>106</v>
      </c>
      <c r="C39" s="8" t="s">
        <v>104</v>
      </c>
      <c r="D39" s="23" t="s">
        <v>7</v>
      </c>
      <c r="E39" s="24" t="s">
        <v>9</v>
      </c>
      <c r="F39" s="22" t="s">
        <v>5</v>
      </c>
      <c r="G39" s="22" t="s">
        <v>5</v>
      </c>
      <c r="H39" s="22" t="s">
        <v>5</v>
      </c>
      <c r="I39" s="22" t="s">
        <v>5</v>
      </c>
      <c r="J39" s="22" t="s">
        <v>5</v>
      </c>
      <c r="K39" s="23" t="s">
        <v>7</v>
      </c>
      <c r="L39" s="24" t="s">
        <v>9</v>
      </c>
      <c r="M39" s="22" t="s">
        <v>5</v>
      </c>
      <c r="N39" s="22" t="s">
        <v>5</v>
      </c>
      <c r="O39" s="22" t="s">
        <v>5</v>
      </c>
      <c r="P39" s="22" t="s">
        <v>5</v>
      </c>
      <c r="Q39" s="26" t="s">
        <v>3</v>
      </c>
      <c r="R39" s="27" t="s">
        <v>7</v>
      </c>
      <c r="S39" s="28" t="s">
        <v>11</v>
      </c>
      <c r="T39" s="26" t="s">
        <v>3</v>
      </c>
      <c r="U39" s="26" t="s">
        <v>3</v>
      </c>
      <c r="V39" s="26" t="s">
        <v>3</v>
      </c>
      <c r="W39" s="26" t="s">
        <v>3</v>
      </c>
      <c r="X39" s="26" t="s">
        <v>3</v>
      </c>
      <c r="Y39" s="23" t="s">
        <v>7</v>
      </c>
      <c r="Z39" s="24" t="s">
        <v>9</v>
      </c>
      <c r="AA39" s="26" t="s">
        <v>3</v>
      </c>
      <c r="AB39" s="26" t="s">
        <v>3</v>
      </c>
      <c r="AC39" s="26" t="s">
        <v>3</v>
      </c>
      <c r="AD39" s="26" t="s">
        <v>3</v>
      </c>
      <c r="AE39" s="26" t="s">
        <v>3</v>
      </c>
      <c r="AF39" s="27" t="s">
        <v>7</v>
      </c>
      <c r="AG39" s="28" t="s">
        <v>11</v>
      </c>
      <c r="AH39" s="8">
        <f t="shared" si="16"/>
        <v>11</v>
      </c>
      <c r="AI39" s="8">
        <f t="shared" si="17"/>
        <v>9</v>
      </c>
      <c r="AJ39" s="29">
        <f t="shared" si="18"/>
        <v>2</v>
      </c>
      <c r="AK39" s="62">
        <v>2</v>
      </c>
      <c r="AL39" s="33">
        <f t="shared" si="19"/>
        <v>14</v>
      </c>
      <c r="AM39" s="63">
        <f t="shared" si="20"/>
        <v>160</v>
      </c>
      <c r="AN39" s="63">
        <f t="shared" si="21"/>
        <v>1</v>
      </c>
      <c r="AO39" s="63">
        <f t="shared" si="22"/>
        <v>4</v>
      </c>
      <c r="AP39" s="53">
        <f t="shared" si="23"/>
        <v>13.5</v>
      </c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</row>
    <row r="40" spans="1:55" ht="22" customHeight="1" x14ac:dyDescent="0.35">
      <c r="A40" s="8" t="s">
        <v>107</v>
      </c>
      <c r="B40" s="8" t="s">
        <v>108</v>
      </c>
      <c r="C40" s="8" t="s">
        <v>104</v>
      </c>
      <c r="D40" s="27" t="s">
        <v>7</v>
      </c>
      <c r="E40" s="28" t="s">
        <v>11</v>
      </c>
      <c r="F40" s="26" t="s">
        <v>3</v>
      </c>
      <c r="G40" s="26" t="s">
        <v>3</v>
      </c>
      <c r="H40" s="26" t="s">
        <v>3</v>
      </c>
      <c r="I40" s="26" t="s">
        <v>3</v>
      </c>
      <c r="J40" s="26" t="s">
        <v>3</v>
      </c>
      <c r="K40" s="27" t="s">
        <v>7</v>
      </c>
      <c r="L40" s="28" t="s">
        <v>11</v>
      </c>
      <c r="M40" s="26" t="s">
        <v>3</v>
      </c>
      <c r="N40" s="26" t="s">
        <v>3</v>
      </c>
      <c r="O40" s="22" t="s">
        <v>5</v>
      </c>
      <c r="P40" s="26" t="s">
        <v>3</v>
      </c>
      <c r="Q40" s="22" t="s">
        <v>5</v>
      </c>
      <c r="R40" s="23" t="s">
        <v>7</v>
      </c>
      <c r="S40" s="24" t="s">
        <v>9</v>
      </c>
      <c r="T40" s="22" t="s">
        <v>5</v>
      </c>
      <c r="U40" s="22" t="s">
        <v>5</v>
      </c>
      <c r="V40" s="22" t="s">
        <v>5</v>
      </c>
      <c r="W40" s="22" t="s">
        <v>5</v>
      </c>
      <c r="X40" s="22" t="s">
        <v>5</v>
      </c>
      <c r="Y40" s="23" t="s">
        <v>7</v>
      </c>
      <c r="Z40" s="24" t="s">
        <v>9</v>
      </c>
      <c r="AA40" s="22" t="s">
        <v>5</v>
      </c>
      <c r="AB40" s="22" t="s">
        <v>5</v>
      </c>
      <c r="AC40" s="22" t="s">
        <v>5</v>
      </c>
      <c r="AD40" s="22" t="s">
        <v>5</v>
      </c>
      <c r="AE40" s="22" t="s">
        <v>5</v>
      </c>
      <c r="AF40" s="23" t="s">
        <v>7</v>
      </c>
      <c r="AG40" s="24" t="s">
        <v>9</v>
      </c>
      <c r="AH40" s="8">
        <f t="shared" si="16"/>
        <v>8</v>
      </c>
      <c r="AI40" s="25">
        <f t="shared" si="17"/>
        <v>12</v>
      </c>
      <c r="AJ40" s="29">
        <f t="shared" si="18"/>
        <v>2</v>
      </c>
      <c r="AK40" s="62">
        <v>2</v>
      </c>
      <c r="AL40" s="33">
        <f t="shared" si="19"/>
        <v>11</v>
      </c>
      <c r="AM40" s="63">
        <f t="shared" si="20"/>
        <v>160</v>
      </c>
      <c r="AN40" s="63">
        <f t="shared" si="21"/>
        <v>0</v>
      </c>
      <c r="AO40" s="63">
        <f t="shared" si="22"/>
        <v>0</v>
      </c>
      <c r="AP40" s="53">
        <f t="shared" si="23"/>
        <v>11</v>
      </c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</row>
    <row r="41" spans="1:55" ht="22" customHeight="1" x14ac:dyDescent="0.35">
      <c r="A41" s="8" t="s">
        <v>109</v>
      </c>
      <c r="B41" s="8" t="s">
        <v>110</v>
      </c>
      <c r="C41" s="8" t="s">
        <v>104</v>
      </c>
      <c r="D41" s="23" t="s">
        <v>7</v>
      </c>
      <c r="E41" s="28" t="s">
        <v>11</v>
      </c>
      <c r="F41" s="26" t="s">
        <v>3</v>
      </c>
      <c r="G41" s="26" t="s">
        <v>3</v>
      </c>
      <c r="H41" s="26" t="s">
        <v>3</v>
      </c>
      <c r="I41" s="26" t="s">
        <v>3</v>
      </c>
      <c r="J41" s="26" t="s">
        <v>3</v>
      </c>
      <c r="K41" s="23" t="s">
        <v>7</v>
      </c>
      <c r="L41" s="24" t="s">
        <v>9</v>
      </c>
      <c r="M41" s="26" t="s">
        <v>3</v>
      </c>
      <c r="N41" s="26" t="s">
        <v>3</v>
      </c>
      <c r="O41" s="22" t="s">
        <v>5</v>
      </c>
      <c r="P41" s="26" t="s">
        <v>3</v>
      </c>
      <c r="Q41" s="22" t="s">
        <v>5</v>
      </c>
      <c r="R41" s="23" t="s">
        <v>7</v>
      </c>
      <c r="S41" s="24" t="s">
        <v>9</v>
      </c>
      <c r="T41" s="22" t="s">
        <v>5</v>
      </c>
      <c r="U41" s="22" t="s">
        <v>5</v>
      </c>
      <c r="V41" s="22" t="s">
        <v>5</v>
      </c>
      <c r="W41" s="26" t="s">
        <v>3</v>
      </c>
      <c r="X41" s="22" t="s">
        <v>5</v>
      </c>
      <c r="Y41" s="23" t="s">
        <v>7</v>
      </c>
      <c r="Z41" s="24" t="s">
        <v>9</v>
      </c>
      <c r="AA41" s="22" t="s">
        <v>5</v>
      </c>
      <c r="AB41" s="26" t="s">
        <v>3</v>
      </c>
      <c r="AC41" s="26" t="s">
        <v>3</v>
      </c>
      <c r="AD41" s="26" t="s">
        <v>3</v>
      </c>
      <c r="AE41" s="26" t="s">
        <v>3</v>
      </c>
      <c r="AF41" s="27" t="s">
        <v>7</v>
      </c>
      <c r="AG41" s="28" t="s">
        <v>11</v>
      </c>
      <c r="AH41" s="8">
        <f t="shared" si="16"/>
        <v>13</v>
      </c>
      <c r="AI41" s="8">
        <f t="shared" si="17"/>
        <v>7</v>
      </c>
      <c r="AJ41" s="29">
        <f t="shared" si="18"/>
        <v>2</v>
      </c>
      <c r="AK41" s="62">
        <v>1</v>
      </c>
      <c r="AL41" s="33">
        <f t="shared" si="19"/>
        <v>15.5</v>
      </c>
      <c r="AM41" s="63">
        <f t="shared" si="20"/>
        <v>160</v>
      </c>
      <c r="AN41" s="63">
        <f t="shared" si="21"/>
        <v>1</v>
      </c>
      <c r="AO41" s="63">
        <f t="shared" si="22"/>
        <v>4</v>
      </c>
      <c r="AP41" s="53">
        <f t="shared" si="23"/>
        <v>15</v>
      </c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</row>
    <row r="42" spans="1:55" ht="22" customHeight="1" x14ac:dyDescent="0.35">
      <c r="A42" s="8" t="s">
        <v>111</v>
      </c>
      <c r="B42" s="8" t="s">
        <v>112</v>
      </c>
      <c r="C42" s="8" t="s">
        <v>104</v>
      </c>
      <c r="D42" s="23" t="s">
        <v>7</v>
      </c>
      <c r="E42" s="24" t="s">
        <v>9</v>
      </c>
      <c r="F42" s="22" t="s">
        <v>5</v>
      </c>
      <c r="G42" s="22" t="s">
        <v>5</v>
      </c>
      <c r="H42" s="22" t="s">
        <v>5</v>
      </c>
      <c r="I42" s="22" t="s">
        <v>5</v>
      </c>
      <c r="J42" s="22" t="s">
        <v>5</v>
      </c>
      <c r="K42" s="23" t="s">
        <v>7</v>
      </c>
      <c r="L42" s="24" t="s">
        <v>9</v>
      </c>
      <c r="M42" s="22" t="s">
        <v>5</v>
      </c>
      <c r="N42" s="22" t="s">
        <v>5</v>
      </c>
      <c r="O42" s="22" t="s">
        <v>5</v>
      </c>
      <c r="P42" s="22" t="s">
        <v>5</v>
      </c>
      <c r="Q42" s="26" t="s">
        <v>3</v>
      </c>
      <c r="R42" s="27" t="s">
        <v>7</v>
      </c>
      <c r="S42" s="28" t="s">
        <v>11</v>
      </c>
      <c r="T42" s="26" t="s">
        <v>3</v>
      </c>
      <c r="U42" s="26" t="s">
        <v>3</v>
      </c>
      <c r="V42" s="26" t="s">
        <v>3</v>
      </c>
      <c r="W42" s="26" t="s">
        <v>3</v>
      </c>
      <c r="X42" s="26" t="s">
        <v>3</v>
      </c>
      <c r="Y42" s="27" t="s">
        <v>7</v>
      </c>
      <c r="Z42" s="28" t="s">
        <v>11</v>
      </c>
      <c r="AA42" s="26" t="s">
        <v>3</v>
      </c>
      <c r="AB42" s="26" t="s">
        <v>3</v>
      </c>
      <c r="AC42" s="26" t="s">
        <v>3</v>
      </c>
      <c r="AD42" s="26" t="s">
        <v>3</v>
      </c>
      <c r="AE42" s="26" t="s">
        <v>3</v>
      </c>
      <c r="AF42" s="27" t="s">
        <v>7</v>
      </c>
      <c r="AG42" s="28" t="s">
        <v>11</v>
      </c>
      <c r="AH42" s="8">
        <f t="shared" si="16"/>
        <v>11</v>
      </c>
      <c r="AI42" s="8">
        <f t="shared" si="17"/>
        <v>9</v>
      </c>
      <c r="AJ42" s="29">
        <f t="shared" si="18"/>
        <v>3</v>
      </c>
      <c r="AK42" s="62">
        <v>3</v>
      </c>
      <c r="AL42" s="33">
        <f t="shared" si="19"/>
        <v>15.5</v>
      </c>
      <c r="AM42" s="63">
        <f t="shared" si="20"/>
        <v>160</v>
      </c>
      <c r="AN42" s="63">
        <f t="shared" si="21"/>
        <v>0</v>
      </c>
      <c r="AO42" s="63">
        <f t="shared" si="22"/>
        <v>0</v>
      </c>
      <c r="AP42" s="53">
        <f t="shared" si="23"/>
        <v>15.5</v>
      </c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</row>
    <row r="43" spans="1:55" ht="22" customHeight="1" x14ac:dyDescent="0.35">
      <c r="A43" s="8" t="s">
        <v>113</v>
      </c>
      <c r="B43" s="8" t="s">
        <v>114</v>
      </c>
      <c r="C43" s="8" t="s">
        <v>104</v>
      </c>
      <c r="D43" s="23" t="s">
        <v>7</v>
      </c>
      <c r="E43" s="24" t="s">
        <v>9</v>
      </c>
      <c r="F43" s="22" t="s">
        <v>5</v>
      </c>
      <c r="G43" s="22" t="s">
        <v>5</v>
      </c>
      <c r="H43" s="22" t="s">
        <v>5</v>
      </c>
      <c r="I43" s="22" t="s">
        <v>5</v>
      </c>
      <c r="J43" s="22" t="s">
        <v>5</v>
      </c>
      <c r="K43" s="23" t="s">
        <v>7</v>
      </c>
      <c r="L43" s="24" t="s">
        <v>9</v>
      </c>
      <c r="M43" s="22" t="s">
        <v>5</v>
      </c>
      <c r="N43" s="22" t="s">
        <v>5</v>
      </c>
      <c r="O43" s="22" t="s">
        <v>5</v>
      </c>
      <c r="P43" s="22" t="s">
        <v>5</v>
      </c>
      <c r="Q43" s="26" t="s">
        <v>3</v>
      </c>
      <c r="R43" s="27" t="s">
        <v>7</v>
      </c>
      <c r="S43" s="28" t="s">
        <v>11</v>
      </c>
      <c r="T43" s="26" t="s">
        <v>3</v>
      </c>
      <c r="U43" s="26" t="s">
        <v>3</v>
      </c>
      <c r="V43" s="26" t="s">
        <v>3</v>
      </c>
      <c r="W43" s="26" t="s">
        <v>3</v>
      </c>
      <c r="X43" s="26" t="s">
        <v>3</v>
      </c>
      <c r="Y43" s="27" t="s">
        <v>7</v>
      </c>
      <c r="Z43" s="28" t="s">
        <v>11</v>
      </c>
      <c r="AA43" s="26" t="s">
        <v>3</v>
      </c>
      <c r="AB43" s="26" t="s">
        <v>3</v>
      </c>
      <c r="AC43" s="26" t="s">
        <v>3</v>
      </c>
      <c r="AD43" s="26" t="s">
        <v>3</v>
      </c>
      <c r="AE43" s="26" t="s">
        <v>3</v>
      </c>
      <c r="AF43" s="27" t="s">
        <v>7</v>
      </c>
      <c r="AG43" s="28" t="s">
        <v>11</v>
      </c>
      <c r="AH43" s="8">
        <f t="shared" si="16"/>
        <v>11</v>
      </c>
      <c r="AI43" s="8">
        <f t="shared" si="17"/>
        <v>9</v>
      </c>
      <c r="AJ43" s="29">
        <f t="shared" si="18"/>
        <v>3</v>
      </c>
      <c r="AK43" s="62">
        <v>3</v>
      </c>
      <c r="AL43" s="33">
        <f t="shared" si="19"/>
        <v>15.5</v>
      </c>
      <c r="AM43" s="63">
        <f t="shared" si="20"/>
        <v>160</v>
      </c>
      <c r="AN43" s="63">
        <f t="shared" si="21"/>
        <v>0</v>
      </c>
      <c r="AO43" s="63">
        <f t="shared" si="22"/>
        <v>0</v>
      </c>
      <c r="AP43" s="53">
        <f t="shared" si="23"/>
        <v>15.5</v>
      </c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</row>
    <row r="44" spans="1:55" ht="22" customHeight="1" x14ac:dyDescent="0.35">
      <c r="A44" s="8" t="s">
        <v>115</v>
      </c>
      <c r="B44" s="8" t="s">
        <v>116</v>
      </c>
      <c r="C44" s="8" t="s">
        <v>104</v>
      </c>
      <c r="D44" s="27" t="s">
        <v>7</v>
      </c>
      <c r="E44" s="28" t="s">
        <v>11</v>
      </c>
      <c r="F44" s="26" t="s">
        <v>3</v>
      </c>
      <c r="G44" s="26" t="s">
        <v>3</v>
      </c>
      <c r="H44" s="26" t="s">
        <v>3</v>
      </c>
      <c r="I44" s="26" t="s">
        <v>3</v>
      </c>
      <c r="J44" s="26" t="s">
        <v>3</v>
      </c>
      <c r="K44" s="27" t="s">
        <v>7</v>
      </c>
      <c r="L44" s="28" t="s">
        <v>11</v>
      </c>
      <c r="M44" s="26" t="s">
        <v>3</v>
      </c>
      <c r="N44" s="22" t="s">
        <v>5</v>
      </c>
      <c r="O44" s="26" t="s">
        <v>3</v>
      </c>
      <c r="P44" s="26" t="s">
        <v>3</v>
      </c>
      <c r="Q44" s="26" t="s">
        <v>3</v>
      </c>
      <c r="R44" s="27" t="s">
        <v>7</v>
      </c>
      <c r="S44" s="28" t="s">
        <v>11</v>
      </c>
      <c r="T44" s="22" t="s">
        <v>5</v>
      </c>
      <c r="U44" s="22" t="s">
        <v>5</v>
      </c>
      <c r="V44" s="22" t="s">
        <v>5</v>
      </c>
      <c r="W44" s="22" t="s">
        <v>5</v>
      </c>
      <c r="X44" s="22" t="s">
        <v>5</v>
      </c>
      <c r="Y44" s="23" t="s">
        <v>7</v>
      </c>
      <c r="Z44" s="24" t="s">
        <v>9</v>
      </c>
      <c r="AA44" s="22" t="s">
        <v>5</v>
      </c>
      <c r="AB44" s="26" t="s">
        <v>3</v>
      </c>
      <c r="AC44" s="26" t="s">
        <v>3</v>
      </c>
      <c r="AD44" s="22" t="s">
        <v>5</v>
      </c>
      <c r="AE44" s="22" t="s">
        <v>5</v>
      </c>
      <c r="AF44" s="23" t="s">
        <v>7</v>
      </c>
      <c r="AG44" s="24" t="s">
        <v>9</v>
      </c>
      <c r="AH44" s="8">
        <f t="shared" si="16"/>
        <v>11</v>
      </c>
      <c r="AI44" s="8">
        <f t="shared" si="17"/>
        <v>9</v>
      </c>
      <c r="AJ44" s="29">
        <f t="shared" si="18"/>
        <v>3</v>
      </c>
      <c r="AK44" s="62">
        <v>3</v>
      </c>
      <c r="AL44" s="33">
        <f t="shared" si="19"/>
        <v>15.5</v>
      </c>
      <c r="AM44" s="63">
        <f t="shared" si="20"/>
        <v>160</v>
      </c>
      <c r="AN44" s="63">
        <f t="shared" si="21"/>
        <v>0</v>
      </c>
      <c r="AO44" s="63">
        <f t="shared" si="22"/>
        <v>0</v>
      </c>
      <c r="AP44" s="53">
        <f t="shared" si="23"/>
        <v>15.5</v>
      </c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</row>
    <row r="45" spans="1:55" ht="22" customHeight="1" x14ac:dyDescent="0.35">
      <c r="A45" s="8" t="s">
        <v>117</v>
      </c>
      <c r="B45" s="8" t="s">
        <v>118</v>
      </c>
      <c r="C45" s="8" t="s">
        <v>104</v>
      </c>
      <c r="D45" s="27" t="s">
        <v>7</v>
      </c>
      <c r="E45" s="28" t="s">
        <v>11</v>
      </c>
      <c r="F45" s="26" t="s">
        <v>3</v>
      </c>
      <c r="G45" s="26" t="s">
        <v>3</v>
      </c>
      <c r="H45" s="26" t="s">
        <v>3</v>
      </c>
      <c r="I45" s="26" t="s">
        <v>3</v>
      </c>
      <c r="J45" s="26" t="s">
        <v>3</v>
      </c>
      <c r="K45" s="27" t="s">
        <v>7</v>
      </c>
      <c r="L45" s="28" t="s">
        <v>11</v>
      </c>
      <c r="M45" s="26" t="s">
        <v>3</v>
      </c>
      <c r="N45" s="26" t="s">
        <v>3</v>
      </c>
      <c r="O45" s="26" t="s">
        <v>3</v>
      </c>
      <c r="P45" s="26" t="s">
        <v>3</v>
      </c>
      <c r="Q45" s="26" t="s">
        <v>3</v>
      </c>
      <c r="R45" s="27" t="s">
        <v>7</v>
      </c>
      <c r="S45" s="28" t="s">
        <v>11</v>
      </c>
      <c r="T45" s="26" t="s">
        <v>3</v>
      </c>
      <c r="U45" s="22" t="s">
        <v>5</v>
      </c>
      <c r="V45" s="22" t="s">
        <v>5</v>
      </c>
      <c r="W45" s="22" t="s">
        <v>5</v>
      </c>
      <c r="X45" s="22" t="s">
        <v>5</v>
      </c>
      <c r="Y45" s="23" t="s">
        <v>7</v>
      </c>
      <c r="Z45" s="24" t="s">
        <v>9</v>
      </c>
      <c r="AA45" s="22" t="s">
        <v>5</v>
      </c>
      <c r="AB45" s="22" t="s">
        <v>5</v>
      </c>
      <c r="AC45" s="22" t="s">
        <v>5</v>
      </c>
      <c r="AD45" s="22" t="s">
        <v>5</v>
      </c>
      <c r="AE45" s="22" t="s">
        <v>5</v>
      </c>
      <c r="AF45" s="23" t="s">
        <v>7</v>
      </c>
      <c r="AG45" s="24" t="s">
        <v>9</v>
      </c>
      <c r="AH45" s="8">
        <f t="shared" si="16"/>
        <v>11</v>
      </c>
      <c r="AI45" s="8">
        <f t="shared" si="17"/>
        <v>9</v>
      </c>
      <c r="AJ45" s="29">
        <f t="shared" si="18"/>
        <v>3</v>
      </c>
      <c r="AK45" s="62">
        <v>3</v>
      </c>
      <c r="AL45" s="33">
        <f t="shared" si="19"/>
        <v>15.5</v>
      </c>
      <c r="AM45" s="63">
        <f t="shared" si="20"/>
        <v>160</v>
      </c>
      <c r="AN45" s="63">
        <f t="shared" si="21"/>
        <v>0</v>
      </c>
      <c r="AO45" s="63">
        <f t="shared" si="22"/>
        <v>0</v>
      </c>
      <c r="AP45" s="53">
        <f t="shared" si="23"/>
        <v>15.5</v>
      </c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</row>
    <row r="46" spans="1:55" ht="22" customHeight="1" x14ac:dyDescent="0.35">
      <c r="A46" s="8" t="s">
        <v>119</v>
      </c>
      <c r="B46" s="8" t="s">
        <v>120</v>
      </c>
      <c r="C46" s="8" t="s">
        <v>104</v>
      </c>
      <c r="D46" s="23" t="s">
        <v>7</v>
      </c>
      <c r="E46" s="24" t="s">
        <v>9</v>
      </c>
      <c r="F46" s="22" t="s">
        <v>5</v>
      </c>
      <c r="G46" s="22" t="s">
        <v>5</v>
      </c>
      <c r="H46" s="22" t="s">
        <v>5</v>
      </c>
      <c r="I46" s="22" t="s">
        <v>5</v>
      </c>
      <c r="J46" s="22" t="s">
        <v>5</v>
      </c>
      <c r="K46" s="23" t="s">
        <v>7</v>
      </c>
      <c r="L46" s="24" t="s">
        <v>9</v>
      </c>
      <c r="M46" s="22" t="s">
        <v>5</v>
      </c>
      <c r="N46" s="22" t="s">
        <v>5</v>
      </c>
      <c r="O46" s="22" t="s">
        <v>5</v>
      </c>
      <c r="P46" s="22" t="s">
        <v>5</v>
      </c>
      <c r="Q46" s="22" t="s">
        <v>5</v>
      </c>
      <c r="R46" s="23" t="s">
        <v>7</v>
      </c>
      <c r="S46" s="24" t="s">
        <v>9</v>
      </c>
      <c r="T46" s="22" t="s">
        <v>5</v>
      </c>
      <c r="U46" s="22" t="s">
        <v>5</v>
      </c>
      <c r="V46" s="22" t="s">
        <v>5</v>
      </c>
      <c r="W46" s="22" t="s">
        <v>5</v>
      </c>
      <c r="X46" s="22" t="s">
        <v>5</v>
      </c>
      <c r="Y46" s="23" t="s">
        <v>7</v>
      </c>
      <c r="Z46" s="24" t="s">
        <v>9</v>
      </c>
      <c r="AA46" s="22" t="s">
        <v>5</v>
      </c>
      <c r="AB46" s="22" t="s">
        <v>5</v>
      </c>
      <c r="AC46" s="22" t="s">
        <v>5</v>
      </c>
      <c r="AD46" s="26" t="s">
        <v>3</v>
      </c>
      <c r="AE46" s="26" t="s">
        <v>3</v>
      </c>
      <c r="AF46" s="27" t="s">
        <v>7</v>
      </c>
      <c r="AG46" s="28" t="s">
        <v>11</v>
      </c>
      <c r="AH46" s="8">
        <f t="shared" si="16"/>
        <v>2</v>
      </c>
      <c r="AI46" s="25">
        <f t="shared" si="17"/>
        <v>18</v>
      </c>
      <c r="AJ46" s="29">
        <f t="shared" si="18"/>
        <v>1</v>
      </c>
      <c r="AK46" s="62">
        <v>1</v>
      </c>
      <c r="AL46" s="33">
        <f t="shared" si="19"/>
        <v>3.5</v>
      </c>
      <c r="AM46" s="63">
        <f t="shared" si="20"/>
        <v>160</v>
      </c>
      <c r="AN46" s="63">
        <f t="shared" si="21"/>
        <v>0</v>
      </c>
      <c r="AO46" s="63">
        <f t="shared" si="22"/>
        <v>0</v>
      </c>
      <c r="AP46" s="53">
        <f t="shared" si="23"/>
        <v>3.5</v>
      </c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</row>
    <row r="47" spans="1:55" ht="22" customHeight="1" x14ac:dyDescent="0.35">
      <c r="A47" s="8" t="s">
        <v>121</v>
      </c>
      <c r="B47" s="8" t="s">
        <v>122</v>
      </c>
      <c r="C47" s="8" t="s">
        <v>104</v>
      </c>
      <c r="D47" s="27" t="s">
        <v>7</v>
      </c>
      <c r="E47" s="28" t="s">
        <v>11</v>
      </c>
      <c r="F47" s="26" t="s">
        <v>3</v>
      </c>
      <c r="G47" s="26" t="s">
        <v>3</v>
      </c>
      <c r="H47" s="26" t="s">
        <v>3</v>
      </c>
      <c r="I47" s="26" t="s">
        <v>3</v>
      </c>
      <c r="J47" s="26" t="s">
        <v>3</v>
      </c>
      <c r="K47" s="27" t="s">
        <v>7</v>
      </c>
      <c r="L47" s="28" t="s">
        <v>11</v>
      </c>
      <c r="M47" s="26" t="s">
        <v>3</v>
      </c>
      <c r="N47" s="26" t="s">
        <v>3</v>
      </c>
      <c r="O47" s="26" t="s">
        <v>3</v>
      </c>
      <c r="P47" s="22" t="s">
        <v>5</v>
      </c>
      <c r="Q47" s="22" t="s">
        <v>5</v>
      </c>
      <c r="R47" s="23" t="s">
        <v>7</v>
      </c>
      <c r="S47" s="24" t="s">
        <v>9</v>
      </c>
      <c r="T47" s="22" t="s">
        <v>5</v>
      </c>
      <c r="U47" s="22" t="s">
        <v>5</v>
      </c>
      <c r="V47" s="22" t="s">
        <v>5</v>
      </c>
      <c r="W47" s="22" t="s">
        <v>5</v>
      </c>
      <c r="X47" s="22" t="s">
        <v>5</v>
      </c>
      <c r="Y47" s="23" t="s">
        <v>7</v>
      </c>
      <c r="Z47" s="24" t="s">
        <v>9</v>
      </c>
      <c r="AA47" s="22" t="s">
        <v>5</v>
      </c>
      <c r="AB47" s="22" t="s">
        <v>5</v>
      </c>
      <c r="AC47" s="22" t="s">
        <v>5</v>
      </c>
      <c r="AD47" s="26" t="s">
        <v>3</v>
      </c>
      <c r="AE47" s="26" t="s">
        <v>3</v>
      </c>
      <c r="AF47" s="27" t="s">
        <v>7</v>
      </c>
      <c r="AG47" s="24" t="s">
        <v>9</v>
      </c>
      <c r="AH47" s="8">
        <f t="shared" si="16"/>
        <v>10</v>
      </c>
      <c r="AI47" s="8">
        <f t="shared" si="17"/>
        <v>10</v>
      </c>
      <c r="AJ47" s="29">
        <f t="shared" si="18"/>
        <v>2</v>
      </c>
      <c r="AK47" s="62">
        <v>3</v>
      </c>
      <c r="AL47" s="33">
        <f t="shared" si="19"/>
        <v>13.5</v>
      </c>
      <c r="AM47" s="63">
        <f t="shared" si="20"/>
        <v>160</v>
      </c>
      <c r="AN47" s="63">
        <f t="shared" si="21"/>
        <v>0</v>
      </c>
      <c r="AO47" s="63">
        <f t="shared" si="22"/>
        <v>0</v>
      </c>
      <c r="AP47" s="53">
        <f t="shared" si="23"/>
        <v>13.5</v>
      </c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</row>
    <row r="48" spans="1:55" ht="22" customHeight="1" x14ac:dyDescent="0.35">
      <c r="A48" s="8" t="s">
        <v>123</v>
      </c>
      <c r="B48" s="8" t="s">
        <v>124</v>
      </c>
      <c r="C48" s="8" t="s">
        <v>104</v>
      </c>
      <c r="D48" s="27" t="s">
        <v>7</v>
      </c>
      <c r="E48" s="24" t="s">
        <v>9</v>
      </c>
      <c r="F48" s="26" t="s">
        <v>3</v>
      </c>
      <c r="G48" s="26" t="s">
        <v>3</v>
      </c>
      <c r="H48" s="26" t="s">
        <v>3</v>
      </c>
      <c r="I48" s="26" t="s">
        <v>3</v>
      </c>
      <c r="J48" s="26" t="s">
        <v>3</v>
      </c>
      <c r="K48" s="23" t="s">
        <v>7</v>
      </c>
      <c r="L48" s="24" t="s">
        <v>9</v>
      </c>
      <c r="M48" s="22" t="s">
        <v>5</v>
      </c>
      <c r="N48" s="22" t="s">
        <v>5</v>
      </c>
      <c r="O48" s="22" t="s">
        <v>5</v>
      </c>
      <c r="P48" s="26" t="s">
        <v>3</v>
      </c>
      <c r="Q48" s="22" t="s">
        <v>5</v>
      </c>
      <c r="R48" s="27" t="s">
        <v>7</v>
      </c>
      <c r="S48" s="28" t="s">
        <v>11</v>
      </c>
      <c r="T48" s="22" t="s">
        <v>5</v>
      </c>
      <c r="U48" s="22" t="s">
        <v>5</v>
      </c>
      <c r="V48" s="22" t="s">
        <v>5</v>
      </c>
      <c r="W48" s="26" t="s">
        <v>3</v>
      </c>
      <c r="X48" s="22" t="s">
        <v>5</v>
      </c>
      <c r="Y48" s="23" t="s">
        <v>7</v>
      </c>
      <c r="Z48" s="24" t="s">
        <v>9</v>
      </c>
      <c r="AA48" s="22" t="s">
        <v>5</v>
      </c>
      <c r="AB48" s="26" t="s">
        <v>3</v>
      </c>
      <c r="AC48" s="22" t="s">
        <v>5</v>
      </c>
      <c r="AD48" s="26" t="s">
        <v>3</v>
      </c>
      <c r="AE48" s="26" t="s">
        <v>3</v>
      </c>
      <c r="AF48" s="27" t="s">
        <v>7</v>
      </c>
      <c r="AG48" s="28" t="s">
        <v>11</v>
      </c>
      <c r="AH48" s="8">
        <f t="shared" si="16"/>
        <v>10</v>
      </c>
      <c r="AI48" s="8">
        <f t="shared" si="17"/>
        <v>10</v>
      </c>
      <c r="AJ48" s="29">
        <f t="shared" si="18"/>
        <v>2</v>
      </c>
      <c r="AK48" s="62">
        <v>3</v>
      </c>
      <c r="AL48" s="33">
        <f t="shared" si="19"/>
        <v>13.5</v>
      </c>
      <c r="AM48" s="63">
        <f t="shared" si="20"/>
        <v>160</v>
      </c>
      <c r="AN48" s="63">
        <f t="shared" si="21"/>
        <v>0</v>
      </c>
      <c r="AO48" s="63">
        <f t="shared" si="22"/>
        <v>0</v>
      </c>
      <c r="AP48" s="53">
        <f t="shared" si="23"/>
        <v>13.5</v>
      </c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</row>
    <row r="49" spans="1:55" ht="22" customHeight="1" x14ac:dyDescent="0.35">
      <c r="A49" s="8" t="s">
        <v>125</v>
      </c>
      <c r="B49" s="8" t="s">
        <v>126</v>
      </c>
      <c r="C49" s="8" t="s">
        <v>104</v>
      </c>
      <c r="D49" s="23" t="s">
        <v>7</v>
      </c>
      <c r="E49" s="24" t="s">
        <v>9</v>
      </c>
      <c r="F49" s="22" t="s">
        <v>5</v>
      </c>
      <c r="G49" s="22" t="s">
        <v>5</v>
      </c>
      <c r="H49" s="22" t="s">
        <v>5</v>
      </c>
      <c r="I49" s="22" t="s">
        <v>5</v>
      </c>
      <c r="J49" s="22" t="s">
        <v>5</v>
      </c>
      <c r="K49" s="23" t="s">
        <v>7</v>
      </c>
      <c r="L49" s="24" t="s">
        <v>9</v>
      </c>
      <c r="M49" s="22" t="s">
        <v>5</v>
      </c>
      <c r="N49" s="22" t="s">
        <v>5</v>
      </c>
      <c r="O49" s="22" t="s">
        <v>5</v>
      </c>
      <c r="P49" s="22" t="s">
        <v>5</v>
      </c>
      <c r="Q49" s="26" t="s">
        <v>3</v>
      </c>
      <c r="R49" s="27" t="s">
        <v>7</v>
      </c>
      <c r="S49" s="28" t="s">
        <v>11</v>
      </c>
      <c r="T49" s="26" t="s">
        <v>3</v>
      </c>
      <c r="U49" s="26" t="s">
        <v>3</v>
      </c>
      <c r="V49" s="26" t="s">
        <v>3</v>
      </c>
      <c r="W49" s="26" t="s">
        <v>3</v>
      </c>
      <c r="X49" s="26" t="s">
        <v>3</v>
      </c>
      <c r="Y49" s="27" t="s">
        <v>7</v>
      </c>
      <c r="Z49" s="28" t="s">
        <v>11</v>
      </c>
      <c r="AA49" s="26" t="s">
        <v>3</v>
      </c>
      <c r="AB49" s="26" t="s">
        <v>3</v>
      </c>
      <c r="AC49" s="26" t="s">
        <v>3</v>
      </c>
      <c r="AD49" s="26" t="s">
        <v>3</v>
      </c>
      <c r="AE49" s="26" t="s">
        <v>3</v>
      </c>
      <c r="AF49" s="27" t="s">
        <v>7</v>
      </c>
      <c r="AG49" s="28" t="s">
        <v>11</v>
      </c>
      <c r="AH49" s="8">
        <f t="shared" si="16"/>
        <v>11</v>
      </c>
      <c r="AI49" s="8">
        <f t="shared" si="17"/>
        <v>9</v>
      </c>
      <c r="AJ49" s="29">
        <f t="shared" si="18"/>
        <v>3</v>
      </c>
      <c r="AK49" s="62">
        <v>3</v>
      </c>
      <c r="AL49" s="33">
        <f t="shared" si="19"/>
        <v>15.5</v>
      </c>
      <c r="AM49" s="63">
        <f t="shared" si="20"/>
        <v>160</v>
      </c>
      <c r="AN49" s="63">
        <f t="shared" si="21"/>
        <v>0</v>
      </c>
      <c r="AO49" s="63">
        <f t="shared" si="22"/>
        <v>0</v>
      </c>
      <c r="AP49" s="53">
        <f t="shared" si="23"/>
        <v>15.5</v>
      </c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</row>
    <row r="50" spans="1:55" ht="22" customHeight="1" x14ac:dyDescent="0.35">
      <c r="A50" s="8" t="s">
        <v>127</v>
      </c>
      <c r="B50" s="8" t="s">
        <v>128</v>
      </c>
      <c r="C50" s="8" t="s">
        <v>104</v>
      </c>
      <c r="D50" s="27" t="s">
        <v>7</v>
      </c>
      <c r="E50" s="28" t="s">
        <v>11</v>
      </c>
      <c r="F50" s="26" t="s">
        <v>3</v>
      </c>
      <c r="G50" s="26" t="s">
        <v>3</v>
      </c>
      <c r="H50" s="26" t="s">
        <v>3</v>
      </c>
      <c r="I50" s="26" t="s">
        <v>3</v>
      </c>
      <c r="J50" s="26" t="s">
        <v>3</v>
      </c>
      <c r="K50" s="27" t="s">
        <v>7</v>
      </c>
      <c r="L50" s="28" t="s">
        <v>11</v>
      </c>
      <c r="M50" s="26" t="s">
        <v>3</v>
      </c>
      <c r="N50" s="26" t="s">
        <v>3</v>
      </c>
      <c r="O50" s="26" t="s">
        <v>3</v>
      </c>
      <c r="P50" s="26" t="s">
        <v>3</v>
      </c>
      <c r="Q50" s="26" t="s">
        <v>3</v>
      </c>
      <c r="R50" s="27" t="s">
        <v>7</v>
      </c>
      <c r="S50" s="28" t="s">
        <v>11</v>
      </c>
      <c r="T50" s="22" t="s">
        <v>5</v>
      </c>
      <c r="U50" s="22" t="s">
        <v>5</v>
      </c>
      <c r="V50" s="22" t="s">
        <v>5</v>
      </c>
      <c r="W50" s="26" t="s">
        <v>3</v>
      </c>
      <c r="X50" s="22" t="s">
        <v>5</v>
      </c>
      <c r="Y50" s="23" t="s">
        <v>7</v>
      </c>
      <c r="Z50" s="24" t="s">
        <v>9</v>
      </c>
      <c r="AA50" s="22" t="s">
        <v>5</v>
      </c>
      <c r="AB50" s="22" t="s">
        <v>5</v>
      </c>
      <c r="AC50" s="22" t="s">
        <v>5</v>
      </c>
      <c r="AD50" s="22" t="s">
        <v>5</v>
      </c>
      <c r="AE50" s="26" t="s">
        <v>3</v>
      </c>
      <c r="AF50" s="27" t="s">
        <v>7</v>
      </c>
      <c r="AG50" s="28" t="s">
        <v>11</v>
      </c>
      <c r="AH50" s="8">
        <f t="shared" si="16"/>
        <v>12</v>
      </c>
      <c r="AI50" s="8">
        <f t="shared" si="17"/>
        <v>8</v>
      </c>
      <c r="AJ50" s="29">
        <f t="shared" si="18"/>
        <v>4</v>
      </c>
      <c r="AK50" s="62">
        <v>4</v>
      </c>
      <c r="AL50" s="33">
        <f t="shared" si="19"/>
        <v>18</v>
      </c>
      <c r="AM50" s="63">
        <f t="shared" si="20"/>
        <v>160</v>
      </c>
      <c r="AN50" s="63">
        <f t="shared" si="21"/>
        <v>0</v>
      </c>
      <c r="AO50" s="63">
        <f t="shared" si="22"/>
        <v>0</v>
      </c>
      <c r="AP50" s="53">
        <f t="shared" si="23"/>
        <v>18</v>
      </c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</row>
    <row r="51" spans="1:55" ht="22" customHeight="1" x14ac:dyDescent="0.35">
      <c r="A51" s="8" t="s">
        <v>129</v>
      </c>
      <c r="B51" s="8" t="s">
        <v>130</v>
      </c>
      <c r="C51" s="8" t="s">
        <v>104</v>
      </c>
      <c r="D51" s="23" t="s">
        <v>7</v>
      </c>
      <c r="E51" s="24" t="s">
        <v>9</v>
      </c>
      <c r="F51" s="22" t="s">
        <v>5</v>
      </c>
      <c r="G51" s="22" t="s">
        <v>5</v>
      </c>
      <c r="H51" s="22" t="s">
        <v>5</v>
      </c>
      <c r="I51" s="22" t="s">
        <v>5</v>
      </c>
      <c r="J51" s="22" t="s">
        <v>5</v>
      </c>
      <c r="K51" s="23" t="s">
        <v>7</v>
      </c>
      <c r="L51" s="24" t="s">
        <v>9</v>
      </c>
      <c r="M51" s="22" t="s">
        <v>5</v>
      </c>
      <c r="N51" s="22" t="s">
        <v>5</v>
      </c>
      <c r="O51" s="22" t="s">
        <v>5</v>
      </c>
      <c r="P51" s="22" t="s">
        <v>5</v>
      </c>
      <c r="Q51" s="26" t="s">
        <v>3</v>
      </c>
      <c r="R51" s="27" t="s">
        <v>7</v>
      </c>
      <c r="S51" s="28" t="s">
        <v>11</v>
      </c>
      <c r="T51" s="26" t="s">
        <v>3</v>
      </c>
      <c r="U51" s="26" t="s">
        <v>3</v>
      </c>
      <c r="V51" s="26" t="s">
        <v>3</v>
      </c>
      <c r="W51" s="26" t="s">
        <v>3</v>
      </c>
      <c r="X51" s="26" t="s">
        <v>3</v>
      </c>
      <c r="Y51" s="27" t="s">
        <v>7</v>
      </c>
      <c r="Z51" s="28" t="s">
        <v>11</v>
      </c>
      <c r="AA51" s="26" t="s">
        <v>3</v>
      </c>
      <c r="AB51" s="26" t="s">
        <v>3</v>
      </c>
      <c r="AC51" s="26" t="s">
        <v>3</v>
      </c>
      <c r="AD51" s="26" t="s">
        <v>3</v>
      </c>
      <c r="AE51" s="26" t="s">
        <v>3</v>
      </c>
      <c r="AF51" s="27" t="s">
        <v>7</v>
      </c>
      <c r="AG51" s="28" t="s">
        <v>11</v>
      </c>
      <c r="AH51" s="8">
        <f t="shared" si="16"/>
        <v>11</v>
      </c>
      <c r="AI51" s="8">
        <f t="shared" si="17"/>
        <v>9</v>
      </c>
      <c r="AJ51" s="29">
        <f t="shared" si="18"/>
        <v>3</v>
      </c>
      <c r="AK51" s="62">
        <v>3</v>
      </c>
      <c r="AL51" s="33">
        <f t="shared" si="19"/>
        <v>15.5</v>
      </c>
      <c r="AM51" s="63">
        <f t="shared" si="20"/>
        <v>160</v>
      </c>
      <c r="AN51" s="63">
        <f t="shared" si="21"/>
        <v>0</v>
      </c>
      <c r="AO51" s="63">
        <f t="shared" si="22"/>
        <v>0</v>
      </c>
      <c r="AP51" s="53">
        <f t="shared" si="23"/>
        <v>15.5</v>
      </c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</row>
    <row r="52" spans="1:55" ht="22" customHeight="1" x14ac:dyDescent="0.35">
      <c r="A52" s="8" t="s">
        <v>131</v>
      </c>
      <c r="B52" s="8" t="s">
        <v>132</v>
      </c>
      <c r="C52" s="8" t="s">
        <v>104</v>
      </c>
      <c r="D52" s="23" t="s">
        <v>7</v>
      </c>
      <c r="E52" s="24" t="s">
        <v>9</v>
      </c>
      <c r="F52" s="22" t="s">
        <v>5</v>
      </c>
      <c r="G52" s="22" t="s">
        <v>5</v>
      </c>
      <c r="H52" s="22" t="s">
        <v>5</v>
      </c>
      <c r="I52" s="22" t="s">
        <v>5</v>
      </c>
      <c r="J52" s="22" t="s">
        <v>5</v>
      </c>
      <c r="K52" s="23" t="s">
        <v>7</v>
      </c>
      <c r="L52" s="24" t="s">
        <v>9</v>
      </c>
      <c r="M52" s="22" t="s">
        <v>5</v>
      </c>
      <c r="N52" s="22" t="s">
        <v>5</v>
      </c>
      <c r="O52" s="22" t="s">
        <v>5</v>
      </c>
      <c r="P52" s="26" t="s">
        <v>3</v>
      </c>
      <c r="Q52" s="26" t="s">
        <v>3</v>
      </c>
      <c r="R52" s="27" t="s">
        <v>7</v>
      </c>
      <c r="S52" s="28" t="s">
        <v>11</v>
      </c>
      <c r="T52" s="26" t="s">
        <v>3</v>
      </c>
      <c r="U52" s="26" t="s">
        <v>3</v>
      </c>
      <c r="V52" s="26" t="s">
        <v>3</v>
      </c>
      <c r="W52" s="26" t="s">
        <v>3</v>
      </c>
      <c r="X52" s="26" t="s">
        <v>3</v>
      </c>
      <c r="Y52" s="27" t="s">
        <v>7</v>
      </c>
      <c r="Z52" s="24" t="s">
        <v>9</v>
      </c>
      <c r="AA52" s="26" t="s">
        <v>3</v>
      </c>
      <c r="AB52" s="26" t="s">
        <v>3</v>
      </c>
      <c r="AC52" s="26" t="s">
        <v>3</v>
      </c>
      <c r="AD52" s="26" t="s">
        <v>3</v>
      </c>
      <c r="AE52" s="26" t="s">
        <v>3</v>
      </c>
      <c r="AF52" s="27" t="s">
        <v>7</v>
      </c>
      <c r="AG52" s="28" t="s">
        <v>11</v>
      </c>
      <c r="AH52" s="8">
        <f t="shared" si="16"/>
        <v>12</v>
      </c>
      <c r="AI52" s="8">
        <f t="shared" si="17"/>
        <v>8</v>
      </c>
      <c r="AJ52" s="29">
        <f t="shared" si="18"/>
        <v>2</v>
      </c>
      <c r="AK52" s="62">
        <v>3</v>
      </c>
      <c r="AL52" s="33">
        <f t="shared" si="19"/>
        <v>15.5</v>
      </c>
      <c r="AM52" s="63">
        <f t="shared" si="20"/>
        <v>160</v>
      </c>
      <c r="AN52" s="63">
        <f t="shared" si="21"/>
        <v>0</v>
      </c>
      <c r="AO52" s="63">
        <f t="shared" si="22"/>
        <v>0</v>
      </c>
      <c r="AP52" s="53">
        <f t="shared" si="23"/>
        <v>15.5</v>
      </c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</row>
    <row r="53" spans="1:55" ht="22" customHeight="1" x14ac:dyDescent="0.35">
      <c r="A53" s="8" t="s">
        <v>133</v>
      </c>
      <c r="B53" s="8" t="s">
        <v>134</v>
      </c>
      <c r="C53" s="8" t="s">
        <v>104</v>
      </c>
      <c r="D53" s="23" t="s">
        <v>7</v>
      </c>
      <c r="E53" s="24" t="s">
        <v>9</v>
      </c>
      <c r="F53" s="22" t="s">
        <v>5</v>
      </c>
      <c r="G53" s="22" t="s">
        <v>5</v>
      </c>
      <c r="H53" s="22" t="s">
        <v>5</v>
      </c>
      <c r="I53" s="22" t="s">
        <v>5</v>
      </c>
      <c r="J53" s="22" t="s">
        <v>5</v>
      </c>
      <c r="K53" s="23" t="s">
        <v>7</v>
      </c>
      <c r="L53" s="24" t="s">
        <v>9</v>
      </c>
      <c r="M53" s="22" t="s">
        <v>5</v>
      </c>
      <c r="N53" s="22" t="s">
        <v>5</v>
      </c>
      <c r="O53" s="22" t="s">
        <v>5</v>
      </c>
      <c r="P53" s="22" t="s">
        <v>5</v>
      </c>
      <c r="Q53" s="26" t="s">
        <v>3</v>
      </c>
      <c r="R53" s="27" t="s">
        <v>7</v>
      </c>
      <c r="S53" s="28" t="s">
        <v>11</v>
      </c>
      <c r="T53" s="26" t="s">
        <v>3</v>
      </c>
      <c r="U53" s="26" t="s">
        <v>3</v>
      </c>
      <c r="V53" s="26" t="s">
        <v>3</v>
      </c>
      <c r="W53" s="26" t="s">
        <v>3</v>
      </c>
      <c r="X53" s="26" t="s">
        <v>3</v>
      </c>
      <c r="Y53" s="27" t="s">
        <v>7</v>
      </c>
      <c r="Z53" s="24" t="s">
        <v>9</v>
      </c>
      <c r="AA53" s="26" t="s">
        <v>3</v>
      </c>
      <c r="AB53" s="26" t="s">
        <v>3</v>
      </c>
      <c r="AC53" s="22" t="s">
        <v>5</v>
      </c>
      <c r="AD53" s="22" t="s">
        <v>5</v>
      </c>
      <c r="AE53" s="26" t="s">
        <v>3</v>
      </c>
      <c r="AF53" s="27" t="s">
        <v>7</v>
      </c>
      <c r="AG53" s="28" t="s">
        <v>11</v>
      </c>
      <c r="AH53" s="8">
        <f t="shared" si="16"/>
        <v>9</v>
      </c>
      <c r="AI53" s="25">
        <f t="shared" si="17"/>
        <v>11</v>
      </c>
      <c r="AJ53" s="29">
        <f t="shared" si="18"/>
        <v>2</v>
      </c>
      <c r="AK53" s="62">
        <v>3</v>
      </c>
      <c r="AL53" s="33">
        <f t="shared" si="19"/>
        <v>12.5</v>
      </c>
      <c r="AM53" s="63">
        <f t="shared" si="20"/>
        <v>160</v>
      </c>
      <c r="AN53" s="63">
        <f t="shared" si="21"/>
        <v>0</v>
      </c>
      <c r="AO53" s="63">
        <f t="shared" si="22"/>
        <v>0</v>
      </c>
      <c r="AP53" s="53">
        <f t="shared" si="23"/>
        <v>12.5</v>
      </c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</row>
    <row r="54" spans="1:55" ht="22" customHeight="1" x14ac:dyDescent="0.35">
      <c r="A54" s="8" t="s">
        <v>135</v>
      </c>
      <c r="B54" s="8" t="s">
        <v>136</v>
      </c>
      <c r="C54" s="8" t="s">
        <v>104</v>
      </c>
      <c r="D54" s="27" t="s">
        <v>7</v>
      </c>
      <c r="E54" s="28" t="s">
        <v>11</v>
      </c>
      <c r="F54" s="26" t="s">
        <v>3</v>
      </c>
      <c r="G54" s="26" t="s">
        <v>3</v>
      </c>
      <c r="H54" s="26" t="s">
        <v>3</v>
      </c>
      <c r="I54" s="22" t="s">
        <v>5</v>
      </c>
      <c r="J54" s="22" t="s">
        <v>5</v>
      </c>
      <c r="K54" s="23" t="s">
        <v>7</v>
      </c>
      <c r="L54" s="24" t="s">
        <v>9</v>
      </c>
      <c r="M54" s="26" t="s">
        <v>3</v>
      </c>
      <c r="N54" s="26" t="s">
        <v>3</v>
      </c>
      <c r="O54" s="26" t="s">
        <v>3</v>
      </c>
      <c r="P54" s="26" t="s">
        <v>3</v>
      </c>
      <c r="Q54" s="22" t="s">
        <v>5</v>
      </c>
      <c r="R54" s="23" t="s">
        <v>7</v>
      </c>
      <c r="S54" s="24" t="s">
        <v>9</v>
      </c>
      <c r="T54" s="22" t="s">
        <v>5</v>
      </c>
      <c r="U54" s="22" t="s">
        <v>5</v>
      </c>
      <c r="V54" s="22" t="s">
        <v>5</v>
      </c>
      <c r="W54" s="22" t="s">
        <v>5</v>
      </c>
      <c r="X54" s="22" t="s">
        <v>5</v>
      </c>
      <c r="Y54" s="23" t="s">
        <v>7</v>
      </c>
      <c r="Z54" s="24" t="s">
        <v>9</v>
      </c>
      <c r="AA54" s="22" t="s">
        <v>5</v>
      </c>
      <c r="AB54" s="22" t="s">
        <v>5</v>
      </c>
      <c r="AC54" s="22" t="s">
        <v>5</v>
      </c>
      <c r="AD54" s="22" t="s">
        <v>5</v>
      </c>
      <c r="AE54" s="26" t="s">
        <v>3</v>
      </c>
      <c r="AF54" s="27" t="s">
        <v>7</v>
      </c>
      <c r="AG54" s="28" t="s">
        <v>11</v>
      </c>
      <c r="AH54" s="8">
        <f t="shared" si="16"/>
        <v>8</v>
      </c>
      <c r="AI54" s="25">
        <f t="shared" si="17"/>
        <v>12</v>
      </c>
      <c r="AJ54" s="29">
        <f t="shared" si="18"/>
        <v>2</v>
      </c>
      <c r="AK54" s="62">
        <v>2</v>
      </c>
      <c r="AL54" s="33">
        <f t="shared" si="19"/>
        <v>11</v>
      </c>
      <c r="AM54" s="63">
        <f t="shared" si="20"/>
        <v>160</v>
      </c>
      <c r="AN54" s="63">
        <f t="shared" si="21"/>
        <v>0</v>
      </c>
      <c r="AO54" s="63">
        <f t="shared" si="22"/>
        <v>0</v>
      </c>
      <c r="AP54" s="53">
        <f t="shared" si="23"/>
        <v>11</v>
      </c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</row>
    <row r="55" spans="1:55" ht="22" customHeight="1" x14ac:dyDescent="0.35">
      <c r="A55" s="8" t="s">
        <v>137</v>
      </c>
      <c r="B55" s="8" t="s">
        <v>138</v>
      </c>
      <c r="C55" s="8" t="s">
        <v>104</v>
      </c>
      <c r="D55" s="27" t="s">
        <v>7</v>
      </c>
      <c r="E55" s="28" t="s">
        <v>11</v>
      </c>
      <c r="F55" s="26" t="s">
        <v>3</v>
      </c>
      <c r="G55" s="26" t="s">
        <v>3</v>
      </c>
      <c r="H55" s="26" t="s">
        <v>3</v>
      </c>
      <c r="I55" s="26" t="s">
        <v>3</v>
      </c>
      <c r="J55" s="26" t="s">
        <v>3</v>
      </c>
      <c r="K55" s="23" t="s">
        <v>7</v>
      </c>
      <c r="L55" s="24" t="s">
        <v>9</v>
      </c>
      <c r="M55" s="22" t="s">
        <v>5</v>
      </c>
      <c r="N55" s="22" t="s">
        <v>5</v>
      </c>
      <c r="O55" s="22" t="s">
        <v>5</v>
      </c>
      <c r="P55" s="22" t="s">
        <v>5</v>
      </c>
      <c r="Q55" s="22" t="s">
        <v>5</v>
      </c>
      <c r="R55" s="23" t="s">
        <v>7</v>
      </c>
      <c r="S55" s="24" t="s">
        <v>9</v>
      </c>
      <c r="T55" s="22" t="s">
        <v>5</v>
      </c>
      <c r="U55" s="26" t="s">
        <v>3</v>
      </c>
      <c r="V55" s="26" t="s">
        <v>3</v>
      </c>
      <c r="W55" s="26" t="s">
        <v>3</v>
      </c>
      <c r="X55" s="22" t="s">
        <v>5</v>
      </c>
      <c r="Y55" s="23" t="s">
        <v>7</v>
      </c>
      <c r="Z55" s="28" t="s">
        <v>11</v>
      </c>
      <c r="AA55" s="26" t="s">
        <v>3</v>
      </c>
      <c r="AB55" s="26" t="s">
        <v>3</v>
      </c>
      <c r="AC55" s="26" t="s">
        <v>3</v>
      </c>
      <c r="AD55" s="26" t="s">
        <v>3</v>
      </c>
      <c r="AE55" s="26" t="s">
        <v>3</v>
      </c>
      <c r="AF55" s="27" t="s">
        <v>7</v>
      </c>
      <c r="AG55" s="28" t="s">
        <v>11</v>
      </c>
      <c r="AH55" s="8">
        <f t="shared" si="16"/>
        <v>13</v>
      </c>
      <c r="AI55" s="8">
        <f t="shared" si="17"/>
        <v>7</v>
      </c>
      <c r="AJ55" s="29">
        <f t="shared" si="18"/>
        <v>3</v>
      </c>
      <c r="AK55" s="62">
        <v>2</v>
      </c>
      <c r="AL55" s="33">
        <f t="shared" si="19"/>
        <v>17</v>
      </c>
      <c r="AM55" s="63">
        <f t="shared" si="20"/>
        <v>160</v>
      </c>
      <c r="AN55" s="63">
        <f t="shared" si="21"/>
        <v>0</v>
      </c>
      <c r="AO55" s="63">
        <f t="shared" si="22"/>
        <v>0</v>
      </c>
      <c r="AP55" s="53">
        <f t="shared" si="23"/>
        <v>17</v>
      </c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</row>
    <row r="56" spans="1:55" ht="22" customHeight="1" x14ac:dyDescent="0.35">
      <c r="A56" s="8" t="s">
        <v>139</v>
      </c>
      <c r="B56" s="8" t="s">
        <v>140</v>
      </c>
      <c r="C56" s="8" t="s">
        <v>104</v>
      </c>
      <c r="D56" s="27" t="s">
        <v>7</v>
      </c>
      <c r="E56" s="28" t="s">
        <v>11</v>
      </c>
      <c r="F56" s="26" t="s">
        <v>3</v>
      </c>
      <c r="G56" s="26" t="s">
        <v>3</v>
      </c>
      <c r="H56" s="26" t="s">
        <v>3</v>
      </c>
      <c r="I56" s="26" t="s">
        <v>3</v>
      </c>
      <c r="J56" s="26" t="s">
        <v>3</v>
      </c>
      <c r="K56" s="23" t="s">
        <v>7</v>
      </c>
      <c r="L56" s="24" t="s">
        <v>9</v>
      </c>
      <c r="M56" s="26" t="s">
        <v>3</v>
      </c>
      <c r="N56" s="22" t="s">
        <v>5</v>
      </c>
      <c r="O56" s="26" t="s">
        <v>3</v>
      </c>
      <c r="P56" s="26" t="s">
        <v>3</v>
      </c>
      <c r="Q56" s="22" t="s">
        <v>5</v>
      </c>
      <c r="R56" s="23" t="s">
        <v>7</v>
      </c>
      <c r="S56" s="24" t="s">
        <v>9</v>
      </c>
      <c r="T56" s="22" t="s">
        <v>5</v>
      </c>
      <c r="U56" s="22" t="s">
        <v>5</v>
      </c>
      <c r="V56" s="22" t="s">
        <v>5</v>
      </c>
      <c r="W56" s="22" t="s">
        <v>5</v>
      </c>
      <c r="X56" s="22" t="s">
        <v>5</v>
      </c>
      <c r="Y56" s="23" t="s">
        <v>7</v>
      </c>
      <c r="Z56" s="24" t="s">
        <v>9</v>
      </c>
      <c r="AA56" s="22" t="s">
        <v>5</v>
      </c>
      <c r="AB56" s="22" t="s">
        <v>5</v>
      </c>
      <c r="AC56" s="22" t="s">
        <v>5</v>
      </c>
      <c r="AD56" s="22" t="s">
        <v>5</v>
      </c>
      <c r="AE56" s="26" t="s">
        <v>3</v>
      </c>
      <c r="AF56" s="27" t="s">
        <v>7</v>
      </c>
      <c r="AG56" s="28" t="s">
        <v>11</v>
      </c>
      <c r="AH56" s="8">
        <f t="shared" si="16"/>
        <v>9</v>
      </c>
      <c r="AI56" s="25">
        <f t="shared" si="17"/>
        <v>11</v>
      </c>
      <c r="AJ56" s="29">
        <f t="shared" si="18"/>
        <v>2</v>
      </c>
      <c r="AK56" s="62">
        <v>2</v>
      </c>
      <c r="AL56" s="33">
        <f t="shared" si="19"/>
        <v>12</v>
      </c>
      <c r="AM56" s="63">
        <f t="shared" si="20"/>
        <v>160</v>
      </c>
      <c r="AN56" s="63">
        <f t="shared" si="21"/>
        <v>0</v>
      </c>
      <c r="AO56" s="63">
        <f t="shared" si="22"/>
        <v>0</v>
      </c>
      <c r="AP56" s="53">
        <f t="shared" si="23"/>
        <v>12</v>
      </c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</row>
    <row r="57" spans="1:55" ht="22" customHeight="1" x14ac:dyDescent="0.35">
      <c r="A57" s="8" t="s">
        <v>141</v>
      </c>
      <c r="B57" s="8" t="s">
        <v>142</v>
      </c>
      <c r="C57" s="8" t="s">
        <v>104</v>
      </c>
      <c r="D57" s="23" t="s">
        <v>7</v>
      </c>
      <c r="E57" s="24" t="s">
        <v>9</v>
      </c>
      <c r="F57" s="22" t="s">
        <v>5</v>
      </c>
      <c r="G57" s="22" t="s">
        <v>5</v>
      </c>
      <c r="H57" s="26" t="s">
        <v>3</v>
      </c>
      <c r="I57" s="26" t="s">
        <v>3</v>
      </c>
      <c r="J57" s="26" t="s">
        <v>3</v>
      </c>
      <c r="K57" s="27" t="s">
        <v>7</v>
      </c>
      <c r="L57" s="28" t="s">
        <v>11</v>
      </c>
      <c r="M57" s="26" t="s">
        <v>3</v>
      </c>
      <c r="N57" s="22" t="s">
        <v>5</v>
      </c>
      <c r="O57" s="22" t="s">
        <v>5</v>
      </c>
      <c r="P57" s="26" t="s">
        <v>3</v>
      </c>
      <c r="Q57" s="26" t="s">
        <v>3</v>
      </c>
      <c r="R57" s="27" t="s">
        <v>7</v>
      </c>
      <c r="S57" s="28" t="s">
        <v>11</v>
      </c>
      <c r="T57" s="26" t="s">
        <v>3</v>
      </c>
      <c r="U57" s="26" t="s">
        <v>3</v>
      </c>
      <c r="V57" s="26" t="s">
        <v>3</v>
      </c>
      <c r="W57" s="26" t="s">
        <v>3</v>
      </c>
      <c r="X57" s="26" t="s">
        <v>3</v>
      </c>
      <c r="Y57" s="27" t="s">
        <v>7</v>
      </c>
      <c r="Z57" s="28" t="s">
        <v>11</v>
      </c>
      <c r="AA57" s="26" t="s">
        <v>3</v>
      </c>
      <c r="AB57" s="26" t="s">
        <v>3</v>
      </c>
      <c r="AC57" s="22" t="s">
        <v>5</v>
      </c>
      <c r="AD57" s="22" t="s">
        <v>5</v>
      </c>
      <c r="AE57" s="22" t="s">
        <v>5</v>
      </c>
      <c r="AF57" s="27" t="s">
        <v>7</v>
      </c>
      <c r="AG57" s="28" t="s">
        <v>11</v>
      </c>
      <c r="AH57" s="8">
        <f t="shared" si="16"/>
        <v>13</v>
      </c>
      <c r="AI57" s="8">
        <f t="shared" si="17"/>
        <v>7</v>
      </c>
      <c r="AJ57" s="29">
        <f t="shared" si="18"/>
        <v>4</v>
      </c>
      <c r="AK57" s="62">
        <v>4</v>
      </c>
      <c r="AL57" s="33">
        <f t="shared" si="19"/>
        <v>19</v>
      </c>
      <c r="AM57" s="63">
        <f t="shared" si="20"/>
        <v>160</v>
      </c>
      <c r="AN57" s="63">
        <f t="shared" si="21"/>
        <v>0</v>
      </c>
      <c r="AO57" s="63">
        <f t="shared" si="22"/>
        <v>0</v>
      </c>
      <c r="AP57" s="53">
        <f t="shared" si="23"/>
        <v>19</v>
      </c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</row>
    <row r="58" spans="1:55" ht="22" customHeight="1" x14ac:dyDescent="0.35">
      <c r="A58" s="8" t="s">
        <v>143</v>
      </c>
      <c r="B58" s="8" t="s">
        <v>144</v>
      </c>
      <c r="C58" s="8" t="s">
        <v>104</v>
      </c>
      <c r="D58" s="23" t="s">
        <v>7</v>
      </c>
      <c r="E58" s="24" t="s">
        <v>9</v>
      </c>
      <c r="F58" s="22" t="s">
        <v>5</v>
      </c>
      <c r="G58" s="22" t="s">
        <v>5</v>
      </c>
      <c r="H58" s="26" t="s">
        <v>3</v>
      </c>
      <c r="I58" s="26" t="s">
        <v>3</v>
      </c>
      <c r="J58" s="26" t="s">
        <v>3</v>
      </c>
      <c r="K58" s="27" t="s">
        <v>7</v>
      </c>
      <c r="L58" s="28" t="s">
        <v>11</v>
      </c>
      <c r="M58" s="26" t="s">
        <v>3</v>
      </c>
      <c r="N58" s="26" t="s">
        <v>3</v>
      </c>
      <c r="O58" s="26" t="s">
        <v>3</v>
      </c>
      <c r="P58" s="26" t="s">
        <v>3</v>
      </c>
      <c r="Q58" s="26" t="s">
        <v>3</v>
      </c>
      <c r="R58" s="27" t="s">
        <v>7</v>
      </c>
      <c r="S58" s="28" t="s">
        <v>11</v>
      </c>
      <c r="T58" s="26" t="s">
        <v>3</v>
      </c>
      <c r="U58" s="26" t="s">
        <v>3</v>
      </c>
      <c r="V58" s="26" t="s">
        <v>3</v>
      </c>
      <c r="W58" s="22" t="s">
        <v>5</v>
      </c>
      <c r="X58" s="22" t="s">
        <v>5</v>
      </c>
      <c r="Y58" s="23" t="s">
        <v>7</v>
      </c>
      <c r="Z58" s="24" t="s">
        <v>9</v>
      </c>
      <c r="AA58" s="26" t="s">
        <v>3</v>
      </c>
      <c r="AB58" s="26" t="s">
        <v>3</v>
      </c>
      <c r="AC58" s="26" t="s">
        <v>3</v>
      </c>
      <c r="AD58" s="26" t="s">
        <v>3</v>
      </c>
      <c r="AE58" s="26" t="s">
        <v>3</v>
      </c>
      <c r="AF58" s="27" t="s">
        <v>7</v>
      </c>
      <c r="AG58" s="28" t="s">
        <v>11</v>
      </c>
      <c r="AH58" s="8">
        <f t="shared" si="16"/>
        <v>16</v>
      </c>
      <c r="AI58" s="8">
        <f t="shared" si="17"/>
        <v>4</v>
      </c>
      <c r="AJ58" s="29">
        <f t="shared" si="18"/>
        <v>3</v>
      </c>
      <c r="AK58" s="62">
        <v>3</v>
      </c>
      <c r="AL58" s="33">
        <f t="shared" si="19"/>
        <v>20.5</v>
      </c>
      <c r="AM58" s="63">
        <f t="shared" si="20"/>
        <v>160</v>
      </c>
      <c r="AN58" s="63">
        <f t="shared" si="21"/>
        <v>0</v>
      </c>
      <c r="AO58" s="63">
        <f t="shared" si="22"/>
        <v>0</v>
      </c>
      <c r="AP58" s="53">
        <f t="shared" si="23"/>
        <v>20.5</v>
      </c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</row>
    <row r="59" spans="1:55" ht="22" customHeight="1" x14ac:dyDescent="0.35">
      <c r="A59" s="8" t="s">
        <v>145</v>
      </c>
      <c r="B59" s="8" t="s">
        <v>146</v>
      </c>
      <c r="C59" s="8" t="s">
        <v>104</v>
      </c>
      <c r="D59" s="23" t="s">
        <v>7</v>
      </c>
      <c r="E59" s="24" t="s">
        <v>9</v>
      </c>
      <c r="F59" s="22" t="s">
        <v>5</v>
      </c>
      <c r="G59" s="22" t="s">
        <v>5</v>
      </c>
      <c r="H59" s="22" t="s">
        <v>5</v>
      </c>
      <c r="I59" s="22" t="s">
        <v>5</v>
      </c>
      <c r="J59" s="26" t="s">
        <v>3</v>
      </c>
      <c r="K59" s="27" t="s">
        <v>7</v>
      </c>
      <c r="L59" s="28" t="s">
        <v>11</v>
      </c>
      <c r="M59" s="26" t="s">
        <v>3</v>
      </c>
      <c r="N59" s="26" t="s">
        <v>3</v>
      </c>
      <c r="O59" s="26" t="s">
        <v>3</v>
      </c>
      <c r="P59" s="26" t="s">
        <v>3</v>
      </c>
      <c r="Q59" s="26" t="s">
        <v>3</v>
      </c>
      <c r="R59" s="27" t="s">
        <v>7</v>
      </c>
      <c r="S59" s="28" t="s">
        <v>11</v>
      </c>
      <c r="T59" s="26" t="s">
        <v>3</v>
      </c>
      <c r="U59" s="26" t="s">
        <v>3</v>
      </c>
      <c r="V59" s="26" t="s">
        <v>3</v>
      </c>
      <c r="W59" s="26" t="s">
        <v>3</v>
      </c>
      <c r="X59" s="26" t="s">
        <v>3</v>
      </c>
      <c r="Y59" s="27" t="s">
        <v>7</v>
      </c>
      <c r="Z59" s="24" t="s">
        <v>9</v>
      </c>
      <c r="AA59" s="22" t="s">
        <v>5</v>
      </c>
      <c r="AB59" s="26" t="s">
        <v>3</v>
      </c>
      <c r="AC59" s="26" t="s">
        <v>3</v>
      </c>
      <c r="AD59" s="26" t="s">
        <v>3</v>
      </c>
      <c r="AE59" s="26" t="s">
        <v>3</v>
      </c>
      <c r="AF59" s="27" t="s">
        <v>7</v>
      </c>
      <c r="AG59" s="28" t="s">
        <v>11</v>
      </c>
      <c r="AH59" s="8">
        <f t="shared" si="16"/>
        <v>15</v>
      </c>
      <c r="AI59" s="8">
        <f t="shared" si="17"/>
        <v>5</v>
      </c>
      <c r="AJ59" s="29">
        <f t="shared" si="18"/>
        <v>3</v>
      </c>
      <c r="AK59" s="62">
        <v>4</v>
      </c>
      <c r="AL59" s="33">
        <f t="shared" si="19"/>
        <v>20</v>
      </c>
      <c r="AM59" s="63">
        <f t="shared" si="20"/>
        <v>160</v>
      </c>
      <c r="AN59" s="63">
        <f t="shared" si="21"/>
        <v>0</v>
      </c>
      <c r="AO59" s="63">
        <f t="shared" si="22"/>
        <v>0</v>
      </c>
      <c r="AP59" s="53">
        <f t="shared" si="23"/>
        <v>20</v>
      </c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</row>
    <row r="60" spans="1:55" ht="22" customHeight="1" x14ac:dyDescent="0.35">
      <c r="A60" s="8" t="s">
        <v>147</v>
      </c>
      <c r="B60" s="8" t="s">
        <v>148</v>
      </c>
      <c r="C60" s="8" t="s">
        <v>104</v>
      </c>
      <c r="D60" s="23" t="s">
        <v>7</v>
      </c>
      <c r="E60" s="28" t="s">
        <v>11</v>
      </c>
      <c r="F60" s="26" t="s">
        <v>3</v>
      </c>
      <c r="G60" s="26" t="s">
        <v>3</v>
      </c>
      <c r="H60" s="26" t="s">
        <v>3</v>
      </c>
      <c r="I60" s="26" t="s">
        <v>3</v>
      </c>
      <c r="J60" s="26" t="s">
        <v>3</v>
      </c>
      <c r="K60" s="27" t="s">
        <v>7</v>
      </c>
      <c r="L60" s="24" t="s">
        <v>9</v>
      </c>
      <c r="M60" s="22" t="s">
        <v>5</v>
      </c>
      <c r="N60" s="22" t="s">
        <v>5</v>
      </c>
      <c r="O60" s="22" t="s">
        <v>5</v>
      </c>
      <c r="P60" s="22" t="s">
        <v>5</v>
      </c>
      <c r="Q60" s="22" t="s">
        <v>5</v>
      </c>
      <c r="R60" s="23" t="s">
        <v>7</v>
      </c>
      <c r="S60" s="24" t="s">
        <v>9</v>
      </c>
      <c r="T60" s="22" t="s">
        <v>5</v>
      </c>
      <c r="U60" s="22" t="s">
        <v>5</v>
      </c>
      <c r="V60" s="22" t="s">
        <v>5</v>
      </c>
      <c r="W60" s="22" t="s">
        <v>5</v>
      </c>
      <c r="X60" s="22" t="s">
        <v>5</v>
      </c>
      <c r="Y60" s="23" t="s">
        <v>7</v>
      </c>
      <c r="Z60" s="24" t="s">
        <v>9</v>
      </c>
      <c r="AA60" s="22" t="s">
        <v>5</v>
      </c>
      <c r="AB60" s="22" t="s">
        <v>5</v>
      </c>
      <c r="AC60" s="22" t="s">
        <v>5</v>
      </c>
      <c r="AD60" s="22" t="s">
        <v>5</v>
      </c>
      <c r="AE60" s="22" t="s">
        <v>5</v>
      </c>
      <c r="AF60" s="23" t="s">
        <v>7</v>
      </c>
      <c r="AG60" s="24" t="s">
        <v>9</v>
      </c>
      <c r="AH60" s="8">
        <f t="shared" si="16"/>
        <v>5</v>
      </c>
      <c r="AI60" s="25">
        <f t="shared" si="17"/>
        <v>15</v>
      </c>
      <c r="AJ60" s="29">
        <f t="shared" si="18"/>
        <v>1</v>
      </c>
      <c r="AK60" s="62">
        <v>1</v>
      </c>
      <c r="AL60" s="33">
        <f t="shared" si="19"/>
        <v>6.5</v>
      </c>
      <c r="AM60" s="63">
        <f t="shared" si="20"/>
        <v>160</v>
      </c>
      <c r="AN60" s="63">
        <f t="shared" si="21"/>
        <v>0</v>
      </c>
      <c r="AO60" s="63">
        <f t="shared" si="22"/>
        <v>0</v>
      </c>
      <c r="AP60" s="53">
        <f t="shared" si="23"/>
        <v>6.5</v>
      </c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</row>
    <row r="61" spans="1:55" ht="22" customHeight="1" x14ac:dyDescent="0.35">
      <c r="A61" s="8" t="s">
        <v>149</v>
      </c>
      <c r="B61" s="8" t="s">
        <v>150</v>
      </c>
      <c r="C61" s="8" t="s">
        <v>104</v>
      </c>
      <c r="D61" s="23" t="s">
        <v>7</v>
      </c>
      <c r="E61" s="24" t="s">
        <v>9</v>
      </c>
      <c r="F61" s="22" t="s">
        <v>5</v>
      </c>
      <c r="G61" s="22" t="s">
        <v>5</v>
      </c>
      <c r="H61" s="22" t="s">
        <v>5</v>
      </c>
      <c r="I61" s="22" t="s">
        <v>5</v>
      </c>
      <c r="J61" s="22" t="s">
        <v>5</v>
      </c>
      <c r="K61" s="23" t="s">
        <v>7</v>
      </c>
      <c r="L61" s="24" t="s">
        <v>9</v>
      </c>
      <c r="M61" s="22" t="s">
        <v>5</v>
      </c>
      <c r="N61" s="22" t="s">
        <v>5</v>
      </c>
      <c r="O61" s="22" t="s">
        <v>5</v>
      </c>
      <c r="P61" s="22" t="s">
        <v>5</v>
      </c>
      <c r="Q61" s="26" t="s">
        <v>3</v>
      </c>
      <c r="R61" s="27" t="s">
        <v>7</v>
      </c>
      <c r="S61" s="28" t="s">
        <v>11</v>
      </c>
      <c r="T61" s="26" t="s">
        <v>3</v>
      </c>
      <c r="U61" s="26" t="s">
        <v>3</v>
      </c>
      <c r="V61" s="26" t="s">
        <v>3</v>
      </c>
      <c r="W61" s="26" t="s">
        <v>3</v>
      </c>
      <c r="X61" s="26" t="s">
        <v>3</v>
      </c>
      <c r="Y61" s="27" t="s">
        <v>7</v>
      </c>
      <c r="Z61" s="24" t="s">
        <v>9</v>
      </c>
      <c r="AA61" s="22" t="s">
        <v>5</v>
      </c>
      <c r="AB61" s="26" t="s">
        <v>3</v>
      </c>
      <c r="AC61" s="26" t="s">
        <v>3</v>
      </c>
      <c r="AD61" s="26" t="s">
        <v>3</v>
      </c>
      <c r="AE61" s="26" t="s">
        <v>3</v>
      </c>
      <c r="AF61" s="27" t="s">
        <v>7</v>
      </c>
      <c r="AG61" s="28" t="s">
        <v>11</v>
      </c>
      <c r="AH61" s="8">
        <f t="shared" si="16"/>
        <v>10</v>
      </c>
      <c r="AI61" s="8">
        <f t="shared" si="17"/>
        <v>10</v>
      </c>
      <c r="AJ61" s="29">
        <f t="shared" si="18"/>
        <v>2</v>
      </c>
      <c r="AK61" s="62">
        <v>3</v>
      </c>
      <c r="AL61" s="33">
        <f t="shared" si="19"/>
        <v>13.5</v>
      </c>
      <c r="AM61" s="63">
        <f t="shared" si="20"/>
        <v>160</v>
      </c>
      <c r="AN61" s="63">
        <f t="shared" si="21"/>
        <v>0</v>
      </c>
      <c r="AO61" s="63">
        <f t="shared" si="22"/>
        <v>0</v>
      </c>
      <c r="AP61" s="53">
        <f t="shared" si="23"/>
        <v>13.5</v>
      </c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</row>
    <row r="62" spans="1:55" ht="22" customHeight="1" x14ac:dyDescent="0.35">
      <c r="A62" s="8" t="s">
        <v>151</v>
      </c>
      <c r="B62" s="8" t="s">
        <v>152</v>
      </c>
      <c r="C62" s="8" t="s">
        <v>104</v>
      </c>
      <c r="D62" s="27" t="s">
        <v>7</v>
      </c>
      <c r="E62" s="28" t="s">
        <v>11</v>
      </c>
      <c r="F62" s="26" t="s">
        <v>3</v>
      </c>
      <c r="G62" s="26" t="s">
        <v>3</v>
      </c>
      <c r="H62" s="26" t="s">
        <v>3</v>
      </c>
      <c r="I62" s="26" t="s">
        <v>3</v>
      </c>
      <c r="J62" s="26" t="s">
        <v>3</v>
      </c>
      <c r="K62" s="27" t="s">
        <v>7</v>
      </c>
      <c r="L62" s="28" t="s">
        <v>11</v>
      </c>
      <c r="M62" s="26" t="s">
        <v>3</v>
      </c>
      <c r="N62" s="26" t="s">
        <v>3</v>
      </c>
      <c r="O62" s="22" t="s">
        <v>5</v>
      </c>
      <c r="P62" s="22" t="s">
        <v>5</v>
      </c>
      <c r="Q62" s="22" t="s">
        <v>5</v>
      </c>
      <c r="R62" s="23" t="s">
        <v>7</v>
      </c>
      <c r="S62" s="24" t="s">
        <v>9</v>
      </c>
      <c r="T62" s="22" t="s">
        <v>5</v>
      </c>
      <c r="U62" s="26" t="s">
        <v>3</v>
      </c>
      <c r="V62" s="26" t="s">
        <v>3</v>
      </c>
      <c r="W62" s="26" t="s">
        <v>3</v>
      </c>
      <c r="X62" s="22" t="s">
        <v>5</v>
      </c>
      <c r="Y62" s="23" t="s">
        <v>7</v>
      </c>
      <c r="Z62" s="28" t="s">
        <v>11</v>
      </c>
      <c r="AA62" s="26" t="s">
        <v>3</v>
      </c>
      <c r="AB62" s="26" t="s">
        <v>3</v>
      </c>
      <c r="AC62" s="26" t="s">
        <v>3</v>
      </c>
      <c r="AD62" s="26" t="s">
        <v>3</v>
      </c>
      <c r="AE62" s="26" t="s">
        <v>3</v>
      </c>
      <c r="AF62" s="27" t="s">
        <v>7</v>
      </c>
      <c r="AG62" s="28" t="s">
        <v>11</v>
      </c>
      <c r="AH62" s="8">
        <f t="shared" si="16"/>
        <v>15</v>
      </c>
      <c r="AI62" s="8">
        <f t="shared" si="17"/>
        <v>5</v>
      </c>
      <c r="AJ62" s="29">
        <f t="shared" si="18"/>
        <v>4</v>
      </c>
      <c r="AK62" s="62">
        <v>3</v>
      </c>
      <c r="AL62" s="33">
        <f t="shared" si="19"/>
        <v>20.5</v>
      </c>
      <c r="AM62" s="63">
        <f t="shared" si="20"/>
        <v>160</v>
      </c>
      <c r="AN62" s="63">
        <f t="shared" si="21"/>
        <v>0</v>
      </c>
      <c r="AO62" s="63">
        <f t="shared" si="22"/>
        <v>0</v>
      </c>
      <c r="AP62" s="53">
        <f t="shared" si="23"/>
        <v>20.5</v>
      </c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</row>
    <row r="63" spans="1:55" ht="22" customHeight="1" x14ac:dyDescent="0.35">
      <c r="A63" s="8" t="s">
        <v>153</v>
      </c>
      <c r="B63" s="8" t="s">
        <v>154</v>
      </c>
      <c r="C63" s="8" t="s">
        <v>104</v>
      </c>
      <c r="D63" s="23" t="s">
        <v>7</v>
      </c>
      <c r="E63" s="24" t="s">
        <v>9</v>
      </c>
      <c r="F63" s="22" t="s">
        <v>5</v>
      </c>
      <c r="G63" s="22" t="s">
        <v>5</v>
      </c>
      <c r="H63" s="22" t="s">
        <v>5</v>
      </c>
      <c r="I63" s="22" t="s">
        <v>5</v>
      </c>
      <c r="J63" s="22" t="s">
        <v>5</v>
      </c>
      <c r="K63" s="23" t="s">
        <v>7</v>
      </c>
      <c r="L63" s="24" t="s">
        <v>9</v>
      </c>
      <c r="M63" s="22" t="s">
        <v>5</v>
      </c>
      <c r="N63" s="22" t="s">
        <v>5</v>
      </c>
      <c r="O63" s="22" t="s">
        <v>5</v>
      </c>
      <c r="P63" s="22" t="s">
        <v>5</v>
      </c>
      <c r="Q63" s="26" t="s">
        <v>3</v>
      </c>
      <c r="R63" s="27" t="s">
        <v>7</v>
      </c>
      <c r="S63" s="28" t="s">
        <v>11</v>
      </c>
      <c r="T63" s="26" t="s">
        <v>3</v>
      </c>
      <c r="U63" s="26" t="s">
        <v>3</v>
      </c>
      <c r="V63" s="26" t="s">
        <v>3</v>
      </c>
      <c r="W63" s="26" t="s">
        <v>3</v>
      </c>
      <c r="X63" s="26" t="s">
        <v>3</v>
      </c>
      <c r="Y63" s="27" t="s">
        <v>7</v>
      </c>
      <c r="Z63" s="28" t="s">
        <v>11</v>
      </c>
      <c r="AA63" s="26" t="s">
        <v>3</v>
      </c>
      <c r="AB63" s="26" t="s">
        <v>3</v>
      </c>
      <c r="AC63" s="26" t="s">
        <v>3</v>
      </c>
      <c r="AD63" s="26" t="s">
        <v>3</v>
      </c>
      <c r="AE63" s="26" t="s">
        <v>3</v>
      </c>
      <c r="AF63" s="27" t="s">
        <v>7</v>
      </c>
      <c r="AG63" s="28" t="s">
        <v>11</v>
      </c>
      <c r="AH63" s="8">
        <f t="shared" si="16"/>
        <v>11</v>
      </c>
      <c r="AI63" s="8">
        <f t="shared" si="17"/>
        <v>9</v>
      </c>
      <c r="AJ63" s="29">
        <f t="shared" si="18"/>
        <v>3</v>
      </c>
      <c r="AK63" s="62">
        <v>3</v>
      </c>
      <c r="AL63" s="33">
        <f t="shared" si="19"/>
        <v>15.5</v>
      </c>
      <c r="AM63" s="63">
        <f t="shared" si="20"/>
        <v>160</v>
      </c>
      <c r="AN63" s="63">
        <f t="shared" si="21"/>
        <v>0</v>
      </c>
      <c r="AO63" s="63">
        <f t="shared" si="22"/>
        <v>0</v>
      </c>
      <c r="AP63" s="53">
        <f t="shared" si="23"/>
        <v>15.5</v>
      </c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</row>
    <row r="64" spans="1:55" ht="22" customHeight="1" x14ac:dyDescent="0.35">
      <c r="A64" s="8" t="s">
        <v>155</v>
      </c>
      <c r="B64" s="8" t="s">
        <v>156</v>
      </c>
      <c r="C64" s="8" t="s">
        <v>104</v>
      </c>
      <c r="D64" s="23" t="s">
        <v>7</v>
      </c>
      <c r="E64" s="28" t="s">
        <v>11</v>
      </c>
      <c r="F64" s="26" t="s">
        <v>3</v>
      </c>
      <c r="G64" s="26" t="s">
        <v>3</v>
      </c>
      <c r="H64" s="26" t="s">
        <v>3</v>
      </c>
      <c r="I64" s="26" t="s">
        <v>3</v>
      </c>
      <c r="J64" s="26" t="s">
        <v>3</v>
      </c>
      <c r="K64" s="23" t="s">
        <v>7</v>
      </c>
      <c r="L64" s="24" t="s">
        <v>9</v>
      </c>
      <c r="M64" s="22" t="s">
        <v>5</v>
      </c>
      <c r="N64" s="22" t="s">
        <v>5</v>
      </c>
      <c r="O64" s="22" t="s">
        <v>5</v>
      </c>
      <c r="P64" s="26" t="s">
        <v>3</v>
      </c>
      <c r="Q64" s="22" t="s">
        <v>5</v>
      </c>
      <c r="R64" s="23" t="s">
        <v>7</v>
      </c>
      <c r="S64" s="24" t="s">
        <v>9</v>
      </c>
      <c r="T64" s="22" t="s">
        <v>5</v>
      </c>
      <c r="U64" s="22" t="s">
        <v>5</v>
      </c>
      <c r="V64" s="22" t="s">
        <v>5</v>
      </c>
      <c r="W64" s="22" t="s">
        <v>5</v>
      </c>
      <c r="X64" s="22" t="s">
        <v>5</v>
      </c>
      <c r="Y64" s="23" t="s">
        <v>7</v>
      </c>
      <c r="Z64" s="24" t="s">
        <v>9</v>
      </c>
      <c r="AA64" s="22" t="s">
        <v>5</v>
      </c>
      <c r="AB64" s="22" t="s">
        <v>5</v>
      </c>
      <c r="AC64" s="22" t="s">
        <v>5</v>
      </c>
      <c r="AD64" s="22" t="s">
        <v>5</v>
      </c>
      <c r="AE64" s="22" t="s">
        <v>5</v>
      </c>
      <c r="AF64" s="23" t="s">
        <v>7</v>
      </c>
      <c r="AG64" s="24" t="s">
        <v>9</v>
      </c>
      <c r="AH64" s="8">
        <f t="shared" si="16"/>
        <v>6</v>
      </c>
      <c r="AI64" s="25">
        <f t="shared" si="17"/>
        <v>14</v>
      </c>
      <c r="AJ64" s="29">
        <f t="shared" si="18"/>
        <v>1</v>
      </c>
      <c r="AK64" s="62">
        <v>0</v>
      </c>
      <c r="AL64" s="33">
        <f t="shared" si="19"/>
        <v>7</v>
      </c>
      <c r="AM64" s="63">
        <f t="shared" si="20"/>
        <v>160</v>
      </c>
      <c r="AN64" s="63">
        <f t="shared" si="21"/>
        <v>1</v>
      </c>
      <c r="AO64" s="63">
        <f t="shared" si="22"/>
        <v>4</v>
      </c>
      <c r="AP64" s="53">
        <f t="shared" si="23"/>
        <v>6.5</v>
      </c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</row>
    <row r="65" spans="1:55" ht="22" customHeight="1" x14ac:dyDescent="0.35">
      <c r="A65" s="8" t="s">
        <v>157</v>
      </c>
      <c r="B65" s="8" t="s">
        <v>158</v>
      </c>
      <c r="C65" s="8" t="s">
        <v>104</v>
      </c>
      <c r="D65" s="23" t="s">
        <v>7</v>
      </c>
      <c r="E65" s="28" t="s">
        <v>11</v>
      </c>
      <c r="F65" s="26" t="s">
        <v>3</v>
      </c>
      <c r="G65" s="26" t="s">
        <v>3</v>
      </c>
      <c r="H65" s="26" t="s">
        <v>3</v>
      </c>
      <c r="I65" s="26" t="s">
        <v>3</v>
      </c>
      <c r="J65" s="26" t="s">
        <v>3</v>
      </c>
      <c r="K65" s="23" t="s">
        <v>7</v>
      </c>
      <c r="L65" s="28" t="s">
        <v>11</v>
      </c>
      <c r="M65" s="26" t="s">
        <v>3</v>
      </c>
      <c r="N65" s="22" t="s">
        <v>5</v>
      </c>
      <c r="O65" s="26" t="s">
        <v>3</v>
      </c>
      <c r="P65" s="26" t="s">
        <v>3</v>
      </c>
      <c r="Q65" s="26" t="s">
        <v>3</v>
      </c>
      <c r="R65" s="23" t="s">
        <v>7</v>
      </c>
      <c r="S65" s="24" t="s">
        <v>9</v>
      </c>
      <c r="T65" s="22" t="s">
        <v>5</v>
      </c>
      <c r="U65" s="22" t="s">
        <v>5</v>
      </c>
      <c r="V65" s="22" t="s">
        <v>5</v>
      </c>
      <c r="W65" s="22" t="s">
        <v>5</v>
      </c>
      <c r="X65" s="22" t="s">
        <v>5</v>
      </c>
      <c r="Y65" s="23" t="s">
        <v>7</v>
      </c>
      <c r="Z65" s="24" t="s">
        <v>9</v>
      </c>
      <c r="AA65" s="22" t="s">
        <v>5</v>
      </c>
      <c r="AB65" s="22" t="s">
        <v>5</v>
      </c>
      <c r="AC65" s="22" t="s">
        <v>5</v>
      </c>
      <c r="AD65" s="22" t="s">
        <v>5</v>
      </c>
      <c r="AE65" s="22" t="s">
        <v>5</v>
      </c>
      <c r="AF65" s="23" t="s">
        <v>7</v>
      </c>
      <c r="AG65" s="24" t="s">
        <v>9</v>
      </c>
      <c r="AH65" s="8">
        <f t="shared" si="16"/>
        <v>9</v>
      </c>
      <c r="AI65" s="25">
        <f t="shared" si="17"/>
        <v>11</v>
      </c>
      <c r="AJ65" s="29">
        <f t="shared" si="18"/>
        <v>2</v>
      </c>
      <c r="AK65" s="62">
        <v>0</v>
      </c>
      <c r="AL65" s="33">
        <f t="shared" si="19"/>
        <v>11</v>
      </c>
      <c r="AM65" s="63">
        <f t="shared" si="20"/>
        <v>160</v>
      </c>
      <c r="AN65" s="63">
        <f t="shared" si="21"/>
        <v>2</v>
      </c>
      <c r="AO65" s="63">
        <f t="shared" si="22"/>
        <v>8</v>
      </c>
      <c r="AP65" s="53">
        <f t="shared" si="23"/>
        <v>10</v>
      </c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</row>
    <row r="66" spans="1:55" ht="22" customHeight="1" x14ac:dyDescent="0.35">
      <c r="A66" s="8" t="s">
        <v>159</v>
      </c>
      <c r="B66" s="8" t="s">
        <v>160</v>
      </c>
      <c r="C66" s="8" t="s">
        <v>104</v>
      </c>
      <c r="D66" s="23" t="s">
        <v>7</v>
      </c>
      <c r="E66" s="24" t="s">
        <v>9</v>
      </c>
      <c r="F66" s="22" t="s">
        <v>5</v>
      </c>
      <c r="G66" s="22" t="s">
        <v>5</v>
      </c>
      <c r="H66" s="26" t="s">
        <v>3</v>
      </c>
      <c r="I66" s="26" t="s">
        <v>3</v>
      </c>
      <c r="J66" s="26" t="s">
        <v>3</v>
      </c>
      <c r="K66" s="27" t="s">
        <v>7</v>
      </c>
      <c r="L66" s="28" t="s">
        <v>11</v>
      </c>
      <c r="M66" s="26" t="s">
        <v>3</v>
      </c>
      <c r="N66" s="26" t="s">
        <v>3</v>
      </c>
      <c r="O66" s="22" t="s">
        <v>5</v>
      </c>
      <c r="P66" s="26" t="s">
        <v>3</v>
      </c>
      <c r="Q66" s="26" t="s">
        <v>3</v>
      </c>
      <c r="R66" s="27" t="s">
        <v>7</v>
      </c>
      <c r="S66" s="28" t="s">
        <v>11</v>
      </c>
      <c r="T66" s="26" t="s">
        <v>3</v>
      </c>
      <c r="U66" s="26" t="s">
        <v>3</v>
      </c>
      <c r="V66" s="26" t="s">
        <v>3</v>
      </c>
      <c r="W66" s="26" t="s">
        <v>3</v>
      </c>
      <c r="X66" s="22" t="s">
        <v>5</v>
      </c>
      <c r="Y66" s="23" t="s">
        <v>7</v>
      </c>
      <c r="Z66" s="28" t="s">
        <v>11</v>
      </c>
      <c r="AA66" s="26" t="s">
        <v>3</v>
      </c>
      <c r="AB66" s="26" t="s">
        <v>3</v>
      </c>
      <c r="AC66" s="26" t="s">
        <v>3</v>
      </c>
      <c r="AD66" s="26" t="s">
        <v>3</v>
      </c>
      <c r="AE66" s="26" t="s">
        <v>3</v>
      </c>
      <c r="AF66" s="27" t="s">
        <v>7</v>
      </c>
      <c r="AG66" s="28" t="s">
        <v>11</v>
      </c>
      <c r="AH66" s="8">
        <f t="shared" si="16"/>
        <v>16</v>
      </c>
      <c r="AI66" s="8">
        <f t="shared" si="17"/>
        <v>4</v>
      </c>
      <c r="AJ66" s="29">
        <f t="shared" si="18"/>
        <v>4</v>
      </c>
      <c r="AK66" s="62">
        <v>3</v>
      </c>
      <c r="AL66" s="33">
        <f t="shared" si="19"/>
        <v>21.5</v>
      </c>
      <c r="AM66" s="63">
        <f t="shared" si="20"/>
        <v>160</v>
      </c>
      <c r="AN66" s="63">
        <f t="shared" si="21"/>
        <v>0</v>
      </c>
      <c r="AO66" s="63">
        <f t="shared" si="22"/>
        <v>0</v>
      </c>
      <c r="AP66" s="53">
        <f t="shared" si="23"/>
        <v>21.5</v>
      </c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</row>
    <row r="67" spans="1:55" ht="22" customHeight="1" x14ac:dyDescent="0.35">
      <c r="A67" s="8" t="s">
        <v>161</v>
      </c>
      <c r="B67" s="8" t="s">
        <v>162</v>
      </c>
      <c r="C67" s="8" t="s">
        <v>104</v>
      </c>
      <c r="D67" s="27" t="s">
        <v>7</v>
      </c>
      <c r="E67" s="28" t="s">
        <v>11</v>
      </c>
      <c r="F67" s="26" t="s">
        <v>3</v>
      </c>
      <c r="G67" s="26" t="s">
        <v>3</v>
      </c>
      <c r="H67" s="26" t="s">
        <v>3</v>
      </c>
      <c r="I67" s="26" t="s">
        <v>3</v>
      </c>
      <c r="J67" s="26" t="s">
        <v>3</v>
      </c>
      <c r="K67" s="23" t="s">
        <v>7</v>
      </c>
      <c r="L67" s="24" t="s">
        <v>9</v>
      </c>
      <c r="M67" s="22" t="s">
        <v>5</v>
      </c>
      <c r="N67" s="22" t="s">
        <v>5</v>
      </c>
      <c r="O67" s="22" t="s">
        <v>5</v>
      </c>
      <c r="P67" s="22" t="s">
        <v>5</v>
      </c>
      <c r="Q67" s="26" t="s">
        <v>3</v>
      </c>
      <c r="R67" s="27" t="s">
        <v>7</v>
      </c>
      <c r="S67" s="28" t="s">
        <v>11</v>
      </c>
      <c r="T67" s="26" t="s">
        <v>3</v>
      </c>
      <c r="U67" s="26" t="s">
        <v>3</v>
      </c>
      <c r="V67" s="26" t="s">
        <v>3</v>
      </c>
      <c r="W67" s="26" t="s">
        <v>3</v>
      </c>
      <c r="X67" s="22" t="s">
        <v>5</v>
      </c>
      <c r="Y67" s="23" t="s">
        <v>7</v>
      </c>
      <c r="Z67" s="28" t="s">
        <v>11</v>
      </c>
      <c r="AA67" s="26" t="s">
        <v>3</v>
      </c>
      <c r="AB67" s="26" t="s">
        <v>3</v>
      </c>
      <c r="AC67" s="26" t="s">
        <v>3</v>
      </c>
      <c r="AD67" s="26" t="s">
        <v>3</v>
      </c>
      <c r="AE67" s="26" t="s">
        <v>3</v>
      </c>
      <c r="AF67" s="27" t="s">
        <v>7</v>
      </c>
      <c r="AG67" s="28" t="s">
        <v>11</v>
      </c>
      <c r="AH67" s="8">
        <f t="shared" si="16"/>
        <v>15</v>
      </c>
      <c r="AI67" s="8">
        <f t="shared" si="17"/>
        <v>5</v>
      </c>
      <c r="AJ67" s="29">
        <f t="shared" si="18"/>
        <v>4</v>
      </c>
      <c r="AK67" s="62">
        <v>3</v>
      </c>
      <c r="AL67" s="33">
        <f t="shared" si="19"/>
        <v>20.5</v>
      </c>
      <c r="AM67" s="63">
        <f t="shared" si="20"/>
        <v>160</v>
      </c>
      <c r="AN67" s="63">
        <f t="shared" si="21"/>
        <v>0</v>
      </c>
      <c r="AO67" s="63">
        <f t="shared" si="22"/>
        <v>0</v>
      </c>
      <c r="AP67" s="53">
        <f t="shared" si="23"/>
        <v>20.5</v>
      </c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</row>
    <row r="68" spans="1:55" ht="22" customHeight="1" x14ac:dyDescent="0.35">
      <c r="A68" s="8" t="s">
        <v>163</v>
      </c>
      <c r="B68" s="8" t="s">
        <v>164</v>
      </c>
      <c r="C68" s="8" t="s">
        <v>104</v>
      </c>
      <c r="D68" s="23" t="s">
        <v>7</v>
      </c>
      <c r="E68" s="28" t="s">
        <v>11</v>
      </c>
      <c r="F68" s="26" t="s">
        <v>3</v>
      </c>
      <c r="G68" s="26" t="s">
        <v>3</v>
      </c>
      <c r="H68" s="26" t="s">
        <v>3</v>
      </c>
      <c r="I68" s="26" t="s">
        <v>3</v>
      </c>
      <c r="J68" s="26" t="s">
        <v>3</v>
      </c>
      <c r="K68" s="27" t="s">
        <v>7</v>
      </c>
      <c r="L68" s="24" t="s">
        <v>9</v>
      </c>
      <c r="M68" s="26" t="s">
        <v>3</v>
      </c>
      <c r="N68" s="22" t="s">
        <v>5</v>
      </c>
      <c r="O68" s="22" t="s">
        <v>5</v>
      </c>
      <c r="P68" s="26" t="s">
        <v>3</v>
      </c>
      <c r="Q68" s="26" t="s">
        <v>3</v>
      </c>
      <c r="R68" s="27" t="s">
        <v>7</v>
      </c>
      <c r="S68" s="28" t="s">
        <v>11</v>
      </c>
      <c r="T68" s="26" t="s">
        <v>3</v>
      </c>
      <c r="U68" s="26" t="s">
        <v>3</v>
      </c>
      <c r="V68" s="26" t="s">
        <v>3</v>
      </c>
      <c r="W68" s="26" t="s">
        <v>3</v>
      </c>
      <c r="X68" s="22" t="s">
        <v>5</v>
      </c>
      <c r="Y68" s="23" t="s">
        <v>7</v>
      </c>
      <c r="Z68" s="28" t="s">
        <v>11</v>
      </c>
      <c r="AA68" s="26" t="s">
        <v>3</v>
      </c>
      <c r="AB68" s="26" t="s">
        <v>3</v>
      </c>
      <c r="AC68" s="26" t="s">
        <v>3</v>
      </c>
      <c r="AD68" s="26" t="s">
        <v>3</v>
      </c>
      <c r="AE68" s="26" t="s">
        <v>3</v>
      </c>
      <c r="AF68" s="27" t="s">
        <v>7</v>
      </c>
      <c r="AG68" s="28" t="s">
        <v>11</v>
      </c>
      <c r="AH68" s="8">
        <f t="shared" si="16"/>
        <v>17</v>
      </c>
      <c r="AI68" s="8">
        <f t="shared" si="17"/>
        <v>3</v>
      </c>
      <c r="AJ68" s="29">
        <f t="shared" si="18"/>
        <v>4</v>
      </c>
      <c r="AK68" s="62">
        <v>3</v>
      </c>
      <c r="AL68" s="33">
        <f t="shared" si="19"/>
        <v>22.5</v>
      </c>
      <c r="AM68" s="63">
        <f t="shared" si="20"/>
        <v>160</v>
      </c>
      <c r="AN68" s="63">
        <f t="shared" si="21"/>
        <v>0</v>
      </c>
      <c r="AO68" s="63">
        <f t="shared" si="22"/>
        <v>0</v>
      </c>
      <c r="AP68" s="53">
        <f t="shared" si="23"/>
        <v>22.5</v>
      </c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</row>
    <row r="69" spans="1:55" ht="22" customHeight="1" x14ac:dyDescent="0.35">
      <c r="A69" s="8" t="s">
        <v>165</v>
      </c>
      <c r="B69" s="8" t="s">
        <v>166</v>
      </c>
      <c r="C69" s="8" t="s">
        <v>104</v>
      </c>
      <c r="D69" s="27" t="s">
        <v>7</v>
      </c>
      <c r="E69" s="28" t="s">
        <v>11</v>
      </c>
      <c r="F69" s="26" t="s">
        <v>3</v>
      </c>
      <c r="G69" s="26" t="s">
        <v>3</v>
      </c>
      <c r="H69" s="26" t="s">
        <v>3</v>
      </c>
      <c r="I69" s="26" t="s">
        <v>3</v>
      </c>
      <c r="J69" s="26" t="s">
        <v>3</v>
      </c>
      <c r="K69" s="27" t="s">
        <v>7</v>
      </c>
      <c r="L69" s="28" t="s">
        <v>11</v>
      </c>
      <c r="M69" s="26" t="s">
        <v>3</v>
      </c>
      <c r="N69" s="26" t="s">
        <v>3</v>
      </c>
      <c r="O69" s="26" t="s">
        <v>3</v>
      </c>
      <c r="P69" s="26" t="s">
        <v>3</v>
      </c>
      <c r="Q69" s="26" t="s">
        <v>3</v>
      </c>
      <c r="R69" s="27" t="s">
        <v>7</v>
      </c>
      <c r="S69" s="28" t="s">
        <v>11</v>
      </c>
      <c r="T69" s="26" t="s">
        <v>3</v>
      </c>
      <c r="U69" s="26" t="s">
        <v>3</v>
      </c>
      <c r="V69" s="26" t="s">
        <v>3</v>
      </c>
      <c r="W69" s="26" t="s">
        <v>3</v>
      </c>
      <c r="X69" s="26" t="s">
        <v>3</v>
      </c>
      <c r="Y69" s="27" t="s">
        <v>7</v>
      </c>
      <c r="Z69" s="28" t="s">
        <v>11</v>
      </c>
      <c r="AA69" s="26" t="s">
        <v>3</v>
      </c>
      <c r="AB69" s="26" t="s">
        <v>3</v>
      </c>
      <c r="AC69" s="26" t="s">
        <v>3</v>
      </c>
      <c r="AD69" s="26" t="s">
        <v>3</v>
      </c>
      <c r="AE69" s="26" t="s">
        <v>3</v>
      </c>
      <c r="AF69" s="27" t="s">
        <v>7</v>
      </c>
      <c r="AG69" s="28" t="s">
        <v>11</v>
      </c>
      <c r="AH69" s="8">
        <f t="shared" si="16"/>
        <v>20</v>
      </c>
      <c r="AI69" s="8">
        <f t="shared" si="17"/>
        <v>0</v>
      </c>
      <c r="AJ69" s="29">
        <f t="shared" si="18"/>
        <v>5</v>
      </c>
      <c r="AK69" s="62">
        <v>5</v>
      </c>
      <c r="AL69" s="33">
        <f t="shared" si="19"/>
        <v>27.5</v>
      </c>
      <c r="AM69" s="63">
        <f t="shared" si="20"/>
        <v>160</v>
      </c>
      <c r="AN69" s="63">
        <f t="shared" si="21"/>
        <v>0</v>
      </c>
      <c r="AO69" s="63">
        <f t="shared" si="22"/>
        <v>0</v>
      </c>
      <c r="AP69" s="53">
        <f t="shared" si="23"/>
        <v>27.5</v>
      </c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</row>
    <row r="70" spans="1:55" ht="22" customHeight="1" x14ac:dyDescent="0.35">
      <c r="A70" s="8" t="s">
        <v>167</v>
      </c>
      <c r="B70" s="8" t="s">
        <v>168</v>
      </c>
      <c r="C70" s="8" t="s">
        <v>104</v>
      </c>
      <c r="D70" s="23" t="s">
        <v>7</v>
      </c>
      <c r="E70" s="24" t="s">
        <v>9</v>
      </c>
      <c r="F70" s="22" t="s">
        <v>5</v>
      </c>
      <c r="G70" s="22" t="s">
        <v>5</v>
      </c>
      <c r="H70" s="22" t="s">
        <v>5</v>
      </c>
      <c r="I70" s="22" t="s">
        <v>5</v>
      </c>
      <c r="J70" s="26" t="s">
        <v>3</v>
      </c>
      <c r="K70" s="27" t="s">
        <v>7</v>
      </c>
      <c r="L70" s="28" t="s">
        <v>11</v>
      </c>
      <c r="M70" s="26" t="s">
        <v>3</v>
      </c>
      <c r="N70" s="26" t="s">
        <v>3</v>
      </c>
      <c r="O70" s="26" t="s">
        <v>3</v>
      </c>
      <c r="P70" s="26" t="s">
        <v>3</v>
      </c>
      <c r="Q70" s="26" t="s">
        <v>3</v>
      </c>
      <c r="R70" s="27" t="s">
        <v>7</v>
      </c>
      <c r="S70" s="28" t="s">
        <v>11</v>
      </c>
      <c r="T70" s="26" t="s">
        <v>3</v>
      </c>
      <c r="U70" s="26" t="s">
        <v>3</v>
      </c>
      <c r="V70" s="26" t="s">
        <v>3</v>
      </c>
      <c r="W70" s="26" t="s">
        <v>3</v>
      </c>
      <c r="X70" s="22" t="s">
        <v>5</v>
      </c>
      <c r="Y70" s="23" t="s">
        <v>7</v>
      </c>
      <c r="Z70" s="28" t="s">
        <v>11</v>
      </c>
      <c r="AA70" s="26" t="s">
        <v>3</v>
      </c>
      <c r="AB70" s="26" t="s">
        <v>3</v>
      </c>
      <c r="AC70" s="26" t="s">
        <v>3</v>
      </c>
      <c r="AD70" s="26" t="s">
        <v>3</v>
      </c>
      <c r="AE70" s="26" t="s">
        <v>3</v>
      </c>
      <c r="AF70" s="27" t="s">
        <v>7</v>
      </c>
      <c r="AG70" s="28" t="s">
        <v>11</v>
      </c>
      <c r="AH70" s="8">
        <f t="shared" si="16"/>
        <v>15</v>
      </c>
      <c r="AI70" s="8">
        <f t="shared" si="17"/>
        <v>5</v>
      </c>
      <c r="AJ70" s="29">
        <f t="shared" si="18"/>
        <v>4</v>
      </c>
      <c r="AK70" s="62">
        <v>3</v>
      </c>
      <c r="AL70" s="33">
        <f t="shared" si="19"/>
        <v>20.5</v>
      </c>
      <c r="AM70" s="63">
        <f t="shared" si="20"/>
        <v>160</v>
      </c>
      <c r="AN70" s="63">
        <f t="shared" si="21"/>
        <v>0</v>
      </c>
      <c r="AO70" s="63">
        <f t="shared" si="22"/>
        <v>0</v>
      </c>
      <c r="AP70" s="53">
        <f t="shared" si="23"/>
        <v>20.5</v>
      </c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</row>
    <row r="71" spans="1:55" ht="22" customHeight="1" x14ac:dyDescent="0.35">
      <c r="A71" s="8" t="s">
        <v>169</v>
      </c>
      <c r="B71" s="8" t="s">
        <v>170</v>
      </c>
      <c r="C71" s="8" t="s">
        <v>104</v>
      </c>
      <c r="D71" s="27" t="s">
        <v>7</v>
      </c>
      <c r="E71" s="28" t="s">
        <v>11</v>
      </c>
      <c r="F71" s="26" t="s">
        <v>3</v>
      </c>
      <c r="G71" s="26" t="s">
        <v>3</v>
      </c>
      <c r="H71" s="22" t="s">
        <v>5</v>
      </c>
      <c r="I71" s="22" t="s">
        <v>5</v>
      </c>
      <c r="J71" s="22" t="s">
        <v>5</v>
      </c>
      <c r="K71" s="23" t="s">
        <v>7</v>
      </c>
      <c r="L71" s="24" t="s">
        <v>9</v>
      </c>
      <c r="M71" s="26" t="s">
        <v>3</v>
      </c>
      <c r="N71" s="22" t="s">
        <v>5</v>
      </c>
      <c r="O71" s="26" t="s">
        <v>3</v>
      </c>
      <c r="P71" s="26" t="s">
        <v>3</v>
      </c>
      <c r="Q71" s="26" t="s">
        <v>3</v>
      </c>
      <c r="R71" s="27" t="s">
        <v>7</v>
      </c>
      <c r="S71" s="28" t="s">
        <v>11</v>
      </c>
      <c r="T71" s="22" t="s">
        <v>5</v>
      </c>
      <c r="U71" s="22" t="s">
        <v>5</v>
      </c>
      <c r="V71" s="22" t="s">
        <v>5</v>
      </c>
      <c r="W71" s="22" t="s">
        <v>5</v>
      </c>
      <c r="X71" s="22" t="s">
        <v>5</v>
      </c>
      <c r="Y71" s="23" t="s">
        <v>7</v>
      </c>
      <c r="Z71" s="24" t="s">
        <v>9</v>
      </c>
      <c r="AA71" s="22" t="s">
        <v>5</v>
      </c>
      <c r="AB71" s="22" t="s">
        <v>5</v>
      </c>
      <c r="AC71" s="22" t="s">
        <v>5</v>
      </c>
      <c r="AD71" s="22" t="s">
        <v>5</v>
      </c>
      <c r="AE71" s="22" t="s">
        <v>5</v>
      </c>
      <c r="AF71" s="23" t="s">
        <v>7</v>
      </c>
      <c r="AG71" s="24" t="s">
        <v>9</v>
      </c>
      <c r="AH71" s="8">
        <f t="shared" si="16"/>
        <v>6</v>
      </c>
      <c r="AI71" s="25">
        <f t="shared" si="17"/>
        <v>14</v>
      </c>
      <c r="AJ71" s="29">
        <f t="shared" si="18"/>
        <v>2</v>
      </c>
      <c r="AK71" s="62">
        <v>2</v>
      </c>
      <c r="AL71" s="33">
        <f t="shared" si="19"/>
        <v>9</v>
      </c>
      <c r="AM71" s="63">
        <f t="shared" si="20"/>
        <v>160</v>
      </c>
      <c r="AN71" s="63">
        <f t="shared" si="21"/>
        <v>0</v>
      </c>
      <c r="AO71" s="63">
        <f t="shared" si="22"/>
        <v>0</v>
      </c>
      <c r="AP71" s="53">
        <f t="shared" si="23"/>
        <v>9</v>
      </c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</row>
    <row r="72" spans="1:55" ht="22" customHeight="1" x14ac:dyDescent="0.35">
      <c r="A72" s="8" t="s">
        <v>171</v>
      </c>
      <c r="B72" s="8" t="s">
        <v>172</v>
      </c>
      <c r="C72" s="8" t="s">
        <v>104</v>
      </c>
      <c r="D72" s="27" t="s">
        <v>7</v>
      </c>
      <c r="E72" s="28" t="s">
        <v>11</v>
      </c>
      <c r="F72" s="26" t="s">
        <v>3</v>
      </c>
      <c r="G72" s="26" t="s">
        <v>3</v>
      </c>
      <c r="H72" s="26" t="s">
        <v>3</v>
      </c>
      <c r="I72" s="26" t="s">
        <v>3</v>
      </c>
      <c r="J72" s="26" t="s">
        <v>3</v>
      </c>
      <c r="K72" s="23" t="s">
        <v>7</v>
      </c>
      <c r="L72" s="24" t="s">
        <v>9</v>
      </c>
      <c r="M72" s="22" t="s">
        <v>5</v>
      </c>
      <c r="N72" s="22" t="s">
        <v>5</v>
      </c>
      <c r="O72" s="22" t="s">
        <v>5</v>
      </c>
      <c r="P72" s="22" t="s">
        <v>5</v>
      </c>
      <c r="Q72" s="26" t="s">
        <v>3</v>
      </c>
      <c r="R72" s="27" t="s">
        <v>7</v>
      </c>
      <c r="S72" s="28" t="s">
        <v>11</v>
      </c>
      <c r="T72" s="26" t="s">
        <v>3</v>
      </c>
      <c r="U72" s="26" t="s">
        <v>3</v>
      </c>
      <c r="V72" s="26" t="s">
        <v>3</v>
      </c>
      <c r="W72" s="26" t="s">
        <v>3</v>
      </c>
      <c r="X72" s="22" t="s">
        <v>5</v>
      </c>
      <c r="Y72" s="23" t="s">
        <v>7</v>
      </c>
      <c r="Z72" s="28" t="s">
        <v>11</v>
      </c>
      <c r="AA72" s="26" t="s">
        <v>3</v>
      </c>
      <c r="AB72" s="26" t="s">
        <v>3</v>
      </c>
      <c r="AC72" s="26" t="s">
        <v>3</v>
      </c>
      <c r="AD72" s="26" t="s">
        <v>3</v>
      </c>
      <c r="AE72" s="26" t="s">
        <v>3</v>
      </c>
      <c r="AF72" s="27" t="s">
        <v>7</v>
      </c>
      <c r="AG72" s="28" t="s">
        <v>11</v>
      </c>
      <c r="AH72" s="8">
        <f t="shared" si="16"/>
        <v>15</v>
      </c>
      <c r="AI72" s="8">
        <f t="shared" si="17"/>
        <v>5</v>
      </c>
      <c r="AJ72" s="29">
        <f t="shared" si="18"/>
        <v>4</v>
      </c>
      <c r="AK72" s="62">
        <v>3</v>
      </c>
      <c r="AL72" s="33">
        <f t="shared" si="19"/>
        <v>20.5</v>
      </c>
      <c r="AM72" s="63">
        <f t="shared" si="20"/>
        <v>160</v>
      </c>
      <c r="AN72" s="63">
        <f t="shared" si="21"/>
        <v>0</v>
      </c>
      <c r="AO72" s="63">
        <f t="shared" si="22"/>
        <v>0</v>
      </c>
      <c r="AP72" s="53">
        <f t="shared" si="23"/>
        <v>20.5</v>
      </c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</row>
    <row r="73" spans="1:55" ht="22" customHeight="1" x14ac:dyDescent="0.35">
      <c r="A73" s="8" t="s">
        <v>173</v>
      </c>
      <c r="B73" s="8" t="s">
        <v>174</v>
      </c>
      <c r="C73" s="8" t="s">
        <v>104</v>
      </c>
      <c r="D73" s="27" t="s">
        <v>7</v>
      </c>
      <c r="E73" s="28" t="s">
        <v>11</v>
      </c>
      <c r="F73" s="26" t="s">
        <v>3</v>
      </c>
      <c r="G73" s="26" t="s">
        <v>3</v>
      </c>
      <c r="H73" s="26" t="s">
        <v>3</v>
      </c>
      <c r="I73" s="26" t="s">
        <v>3</v>
      </c>
      <c r="J73" s="26" t="s">
        <v>3</v>
      </c>
      <c r="K73" s="27" t="s">
        <v>7</v>
      </c>
      <c r="L73" s="28" t="s">
        <v>11</v>
      </c>
      <c r="M73" s="26" t="s">
        <v>3</v>
      </c>
      <c r="N73" s="26" t="s">
        <v>3</v>
      </c>
      <c r="O73" s="26" t="s">
        <v>3</v>
      </c>
      <c r="P73" s="26" t="s">
        <v>3</v>
      </c>
      <c r="Q73" s="22" t="s">
        <v>5</v>
      </c>
      <c r="R73" s="23" t="s">
        <v>7</v>
      </c>
      <c r="S73" s="24" t="s">
        <v>9</v>
      </c>
      <c r="T73" s="26" t="s">
        <v>3</v>
      </c>
      <c r="U73" s="26" t="s">
        <v>3</v>
      </c>
      <c r="V73" s="26" t="s">
        <v>3</v>
      </c>
      <c r="W73" s="26" t="s">
        <v>3</v>
      </c>
      <c r="X73" s="26" t="s">
        <v>3</v>
      </c>
      <c r="Y73" s="27" t="s">
        <v>7</v>
      </c>
      <c r="Z73" s="28" t="s">
        <v>11</v>
      </c>
      <c r="AA73" s="26" t="s">
        <v>3</v>
      </c>
      <c r="AB73" s="26" t="s">
        <v>3</v>
      </c>
      <c r="AC73" s="26" t="s">
        <v>3</v>
      </c>
      <c r="AD73" s="26" t="s">
        <v>3</v>
      </c>
      <c r="AE73" s="26" t="s">
        <v>3</v>
      </c>
      <c r="AF73" s="27" t="s">
        <v>7</v>
      </c>
      <c r="AG73" s="28" t="s">
        <v>11</v>
      </c>
      <c r="AH73" s="8">
        <f t="shared" si="16"/>
        <v>19</v>
      </c>
      <c r="AI73" s="8">
        <f t="shared" si="17"/>
        <v>1</v>
      </c>
      <c r="AJ73" s="29">
        <f t="shared" si="18"/>
        <v>4</v>
      </c>
      <c r="AK73" s="62">
        <v>4</v>
      </c>
      <c r="AL73" s="33">
        <f t="shared" si="19"/>
        <v>25</v>
      </c>
      <c r="AM73" s="63">
        <f t="shared" si="20"/>
        <v>160</v>
      </c>
      <c r="AN73" s="63">
        <f t="shared" si="21"/>
        <v>0</v>
      </c>
      <c r="AO73" s="63">
        <f t="shared" si="22"/>
        <v>0</v>
      </c>
      <c r="AP73" s="53">
        <f t="shared" si="23"/>
        <v>25</v>
      </c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</row>
    <row r="74" spans="1:55" ht="22" customHeight="1" x14ac:dyDescent="0.35">
      <c r="A74" s="8" t="s">
        <v>175</v>
      </c>
      <c r="B74" s="8" t="s">
        <v>176</v>
      </c>
      <c r="C74" s="8" t="s">
        <v>104</v>
      </c>
      <c r="D74" s="23" t="s">
        <v>7</v>
      </c>
      <c r="E74" s="24" t="s">
        <v>9</v>
      </c>
      <c r="F74" s="22" t="s">
        <v>5</v>
      </c>
      <c r="G74" s="22" t="s">
        <v>5</v>
      </c>
      <c r="H74" s="22" t="s">
        <v>5</v>
      </c>
      <c r="I74" s="22" t="s">
        <v>5</v>
      </c>
      <c r="J74" s="22" t="s">
        <v>5</v>
      </c>
      <c r="K74" s="23" t="s">
        <v>7</v>
      </c>
      <c r="L74" s="24" t="s">
        <v>9</v>
      </c>
      <c r="M74" s="22" t="s">
        <v>5</v>
      </c>
      <c r="N74" s="22" t="s">
        <v>5</v>
      </c>
      <c r="O74" s="22" t="s">
        <v>5</v>
      </c>
      <c r="P74" s="22" t="s">
        <v>5</v>
      </c>
      <c r="Q74" s="26" t="s">
        <v>3</v>
      </c>
      <c r="R74" s="27" t="s">
        <v>7</v>
      </c>
      <c r="S74" s="28" t="s">
        <v>11</v>
      </c>
      <c r="T74" s="26" t="s">
        <v>3</v>
      </c>
      <c r="U74" s="26" t="s">
        <v>3</v>
      </c>
      <c r="V74" s="26" t="s">
        <v>3</v>
      </c>
      <c r="W74" s="26" t="s">
        <v>3</v>
      </c>
      <c r="X74" s="26" t="s">
        <v>3</v>
      </c>
      <c r="Y74" s="27" t="s">
        <v>7</v>
      </c>
      <c r="Z74" s="28" t="s">
        <v>11</v>
      </c>
      <c r="AA74" s="22" t="s">
        <v>5</v>
      </c>
      <c r="AB74" s="26" t="s">
        <v>3</v>
      </c>
      <c r="AC74" s="26" t="s">
        <v>3</v>
      </c>
      <c r="AD74" s="26" t="s">
        <v>3</v>
      </c>
      <c r="AE74" s="26" t="s">
        <v>3</v>
      </c>
      <c r="AF74" s="27" t="s">
        <v>7</v>
      </c>
      <c r="AG74" s="28" t="s">
        <v>11</v>
      </c>
      <c r="AH74" s="8">
        <f t="shared" si="16"/>
        <v>10</v>
      </c>
      <c r="AI74" s="8">
        <f t="shared" si="17"/>
        <v>10</v>
      </c>
      <c r="AJ74" s="29">
        <f t="shared" si="18"/>
        <v>3</v>
      </c>
      <c r="AK74" s="62">
        <v>3</v>
      </c>
      <c r="AL74" s="33">
        <f t="shared" si="19"/>
        <v>14.5</v>
      </c>
      <c r="AM74" s="63">
        <f t="shared" si="20"/>
        <v>160</v>
      </c>
      <c r="AN74" s="63">
        <f t="shared" si="21"/>
        <v>0</v>
      </c>
      <c r="AO74" s="63">
        <f t="shared" si="22"/>
        <v>0</v>
      </c>
      <c r="AP74" s="53">
        <f t="shared" si="23"/>
        <v>14.5</v>
      </c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</row>
    <row r="75" spans="1:55" x14ac:dyDescent="0.35"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</row>
    <row r="76" spans="1:55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</row>
    <row r="77" spans="1:55" ht="22" customHeight="1" x14ac:dyDescent="0.35">
      <c r="A77" s="8" t="s">
        <v>178</v>
      </c>
      <c r="B77" s="8" t="s">
        <v>179</v>
      </c>
      <c r="C77" s="8" t="s">
        <v>180</v>
      </c>
      <c r="D77" s="23" t="s">
        <v>7</v>
      </c>
      <c r="E77" s="24" t="s">
        <v>9</v>
      </c>
      <c r="F77" s="22" t="s">
        <v>5</v>
      </c>
      <c r="G77" s="22" t="s">
        <v>5</v>
      </c>
      <c r="H77" s="22" t="s">
        <v>5</v>
      </c>
      <c r="I77" s="22" t="s">
        <v>5</v>
      </c>
      <c r="J77" s="22" t="s">
        <v>5</v>
      </c>
      <c r="K77" s="23" t="s">
        <v>7</v>
      </c>
      <c r="L77" s="24" t="s">
        <v>9</v>
      </c>
      <c r="M77" s="22" t="s">
        <v>5</v>
      </c>
      <c r="N77" s="22" t="s">
        <v>5</v>
      </c>
      <c r="O77" s="22" t="s">
        <v>5</v>
      </c>
      <c r="P77" s="22" t="s">
        <v>5</v>
      </c>
      <c r="Q77" s="22" t="s">
        <v>5</v>
      </c>
      <c r="R77" s="23" t="s">
        <v>7</v>
      </c>
      <c r="S77" s="24" t="s">
        <v>9</v>
      </c>
      <c r="T77" s="26" t="s">
        <v>3</v>
      </c>
      <c r="U77" s="26" t="s">
        <v>3</v>
      </c>
      <c r="V77" s="26" t="s">
        <v>3</v>
      </c>
      <c r="W77" s="26" t="s">
        <v>3</v>
      </c>
      <c r="X77" s="26" t="s">
        <v>3</v>
      </c>
      <c r="Y77" s="27" t="s">
        <v>7</v>
      </c>
      <c r="Z77" s="28" t="s">
        <v>11</v>
      </c>
      <c r="AA77" s="26" t="s">
        <v>3</v>
      </c>
      <c r="AB77" s="26" t="s">
        <v>3</v>
      </c>
      <c r="AC77" s="26" t="s">
        <v>3</v>
      </c>
      <c r="AD77" s="26" t="s">
        <v>3</v>
      </c>
      <c r="AE77" s="26" t="s">
        <v>3</v>
      </c>
      <c r="AF77" s="27" t="s">
        <v>7</v>
      </c>
      <c r="AG77" s="28" t="s">
        <v>11</v>
      </c>
      <c r="AH77" s="8">
        <f t="shared" ref="AH77:AH82" si="24">COUNTIF(D77:AG77,"ON")</f>
        <v>10</v>
      </c>
      <c r="AI77" s="8">
        <f t="shared" ref="AI77:AI82" si="25">COUNTIF(D77:AG77,"OFF")</f>
        <v>10</v>
      </c>
      <c r="AJ77" s="29">
        <f t="shared" ref="AJ77:AJ82" si="26">COUNTIF(D77:AG77,"OT")</f>
        <v>2</v>
      </c>
      <c r="AK77" s="62">
        <v>2</v>
      </c>
      <c r="AL77" s="33">
        <f t="shared" ref="AL77:AL82" si="27">AH77+AJ77+AK77*0.5</f>
        <v>13</v>
      </c>
      <c r="AM77" s="63">
        <f t="shared" ref="AM77:AM82" si="28">NETWORKDAYS(DATE(2025,11,1),EOMONTH(DATE(2025,11,1),0))*8</f>
        <v>160</v>
      </c>
      <c r="AN77" s="63">
        <f t="shared" ref="AN77:AN82" si="29">MAX(0,COUNTIF(J77,"ON")+COUNTIF(Q77,"ON")+COUNTIF(X77,"ON")+COUNTIF(AE77,"ON")-AK77)</f>
        <v>0</v>
      </c>
      <c r="AO77" s="63">
        <f t="shared" ref="AO77:AO82" si="30">AN77*$AO$2</f>
        <v>0</v>
      </c>
      <c r="AP77" s="53">
        <f t="shared" ref="AP77:AP82" si="31">AL77-AO77/8</f>
        <v>13</v>
      </c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</row>
    <row r="78" spans="1:55" ht="22" customHeight="1" x14ac:dyDescent="0.35">
      <c r="A78" s="8" t="s">
        <v>181</v>
      </c>
      <c r="B78" s="8" t="s">
        <v>182</v>
      </c>
      <c r="C78" s="8" t="s">
        <v>180</v>
      </c>
      <c r="D78" s="27" t="s">
        <v>7</v>
      </c>
      <c r="E78" s="28" t="s">
        <v>11</v>
      </c>
      <c r="F78" s="26" t="s">
        <v>3</v>
      </c>
      <c r="G78" s="26" t="s">
        <v>3</v>
      </c>
      <c r="H78" s="26" t="s">
        <v>3</v>
      </c>
      <c r="I78" s="26" t="s">
        <v>3</v>
      </c>
      <c r="J78" s="26" t="s">
        <v>3</v>
      </c>
      <c r="K78" s="27" t="s">
        <v>7</v>
      </c>
      <c r="L78" s="28" t="s">
        <v>11</v>
      </c>
      <c r="M78" s="26" t="s">
        <v>3</v>
      </c>
      <c r="N78" s="26" t="s">
        <v>3</v>
      </c>
      <c r="O78" s="26" t="s">
        <v>3</v>
      </c>
      <c r="P78" s="26" t="s">
        <v>3</v>
      </c>
      <c r="Q78" s="26" t="s">
        <v>3</v>
      </c>
      <c r="R78" s="27" t="s">
        <v>7</v>
      </c>
      <c r="S78" s="28" t="s">
        <v>11</v>
      </c>
      <c r="T78" s="26" t="s">
        <v>3</v>
      </c>
      <c r="U78" s="26" t="s">
        <v>3</v>
      </c>
      <c r="V78" s="22" t="s">
        <v>5</v>
      </c>
      <c r="W78" s="22" t="s">
        <v>5</v>
      </c>
      <c r="X78" s="22" t="s">
        <v>5</v>
      </c>
      <c r="Y78" s="23" t="s">
        <v>7</v>
      </c>
      <c r="Z78" s="24" t="s">
        <v>9</v>
      </c>
      <c r="AA78" s="22" t="s">
        <v>5</v>
      </c>
      <c r="AB78" s="22" t="s">
        <v>5</v>
      </c>
      <c r="AC78" s="22" t="s">
        <v>5</v>
      </c>
      <c r="AD78" s="22" t="s">
        <v>5</v>
      </c>
      <c r="AE78" s="22" t="s">
        <v>5</v>
      </c>
      <c r="AF78" s="23" t="s">
        <v>7</v>
      </c>
      <c r="AG78" s="24" t="s">
        <v>9</v>
      </c>
      <c r="AH78" s="8">
        <f t="shared" si="24"/>
        <v>12</v>
      </c>
      <c r="AI78" s="8">
        <f t="shared" si="25"/>
        <v>8</v>
      </c>
      <c r="AJ78" s="29">
        <f t="shared" si="26"/>
        <v>3</v>
      </c>
      <c r="AK78" s="62">
        <v>3</v>
      </c>
      <c r="AL78" s="33">
        <f t="shared" si="27"/>
        <v>16.5</v>
      </c>
      <c r="AM78" s="63">
        <f t="shared" si="28"/>
        <v>160</v>
      </c>
      <c r="AN78" s="63">
        <f t="shared" si="29"/>
        <v>0</v>
      </c>
      <c r="AO78" s="63">
        <f t="shared" si="30"/>
        <v>0</v>
      </c>
      <c r="AP78" s="53">
        <f t="shared" si="31"/>
        <v>16.5</v>
      </c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</row>
    <row r="79" spans="1:55" ht="22" customHeight="1" x14ac:dyDescent="0.35">
      <c r="A79" s="8" t="s">
        <v>183</v>
      </c>
      <c r="B79" s="8" t="s">
        <v>184</v>
      </c>
      <c r="C79" s="8" t="s">
        <v>180</v>
      </c>
      <c r="D79" s="23" t="s">
        <v>7</v>
      </c>
      <c r="E79" s="24" t="s">
        <v>9</v>
      </c>
      <c r="F79" s="26" t="s">
        <v>3</v>
      </c>
      <c r="G79" s="26" t="s">
        <v>3</v>
      </c>
      <c r="H79" s="26" t="s">
        <v>3</v>
      </c>
      <c r="I79" s="26" t="s">
        <v>3</v>
      </c>
      <c r="J79" s="26" t="s">
        <v>3</v>
      </c>
      <c r="K79" s="27" t="s">
        <v>7</v>
      </c>
      <c r="L79" s="28" t="s">
        <v>11</v>
      </c>
      <c r="M79" s="26" t="s">
        <v>3</v>
      </c>
      <c r="N79" s="26" t="s">
        <v>3</v>
      </c>
      <c r="O79" s="26" t="s">
        <v>3</v>
      </c>
      <c r="P79" s="26" t="s">
        <v>3</v>
      </c>
      <c r="Q79" s="26" t="s">
        <v>3</v>
      </c>
      <c r="R79" s="27" t="s">
        <v>7</v>
      </c>
      <c r="S79" s="24" t="s">
        <v>9</v>
      </c>
      <c r="T79" s="26" t="s">
        <v>3</v>
      </c>
      <c r="U79" s="26" t="s">
        <v>3</v>
      </c>
      <c r="V79" s="26" t="s">
        <v>3</v>
      </c>
      <c r="W79" s="26" t="s">
        <v>3</v>
      </c>
      <c r="X79" s="26" t="s">
        <v>3</v>
      </c>
      <c r="Y79" s="27" t="s">
        <v>7</v>
      </c>
      <c r="Z79" s="28" t="s">
        <v>11</v>
      </c>
      <c r="AA79" s="26" t="s">
        <v>3</v>
      </c>
      <c r="AB79" s="26" t="s">
        <v>3</v>
      </c>
      <c r="AC79" s="26" t="s">
        <v>3</v>
      </c>
      <c r="AD79" s="26" t="s">
        <v>3</v>
      </c>
      <c r="AE79" s="26" t="s">
        <v>3</v>
      </c>
      <c r="AF79" s="23" t="s">
        <v>7</v>
      </c>
      <c r="AG79" s="24" t="s">
        <v>9</v>
      </c>
      <c r="AH79" s="8">
        <f t="shared" si="24"/>
        <v>20</v>
      </c>
      <c r="AI79" s="8">
        <f t="shared" si="25"/>
        <v>0</v>
      </c>
      <c r="AJ79" s="29">
        <f t="shared" si="26"/>
        <v>2</v>
      </c>
      <c r="AK79" s="62">
        <v>3</v>
      </c>
      <c r="AL79" s="33">
        <f t="shared" si="27"/>
        <v>23.5</v>
      </c>
      <c r="AM79" s="63">
        <f t="shared" si="28"/>
        <v>160</v>
      </c>
      <c r="AN79" s="63">
        <f t="shared" si="29"/>
        <v>1</v>
      </c>
      <c r="AO79" s="63">
        <f t="shared" si="30"/>
        <v>4</v>
      </c>
      <c r="AP79" s="53">
        <f t="shared" si="31"/>
        <v>23</v>
      </c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</row>
    <row r="80" spans="1:55" ht="22" customHeight="1" x14ac:dyDescent="0.35">
      <c r="A80" s="8" t="s">
        <v>185</v>
      </c>
      <c r="B80" s="8" t="s">
        <v>186</v>
      </c>
      <c r="C80" s="8" t="s">
        <v>180</v>
      </c>
      <c r="D80" s="27" t="s">
        <v>7</v>
      </c>
      <c r="E80" s="28" t="s">
        <v>11</v>
      </c>
      <c r="F80" s="26" t="s">
        <v>3</v>
      </c>
      <c r="G80" s="26" t="s">
        <v>3</v>
      </c>
      <c r="H80" s="26" t="s">
        <v>3</v>
      </c>
      <c r="I80" s="26" t="s">
        <v>3</v>
      </c>
      <c r="J80" s="26" t="s">
        <v>3</v>
      </c>
      <c r="K80" s="23" t="s">
        <v>7</v>
      </c>
      <c r="L80" s="24" t="s">
        <v>9</v>
      </c>
      <c r="M80" s="26" t="s">
        <v>3</v>
      </c>
      <c r="N80" s="26" t="s">
        <v>3</v>
      </c>
      <c r="O80" s="26" t="s">
        <v>3</v>
      </c>
      <c r="P80" s="22" t="s">
        <v>5</v>
      </c>
      <c r="Q80" s="22" t="s">
        <v>5</v>
      </c>
      <c r="R80" s="27" t="s">
        <v>7</v>
      </c>
      <c r="S80" s="28" t="s">
        <v>11</v>
      </c>
      <c r="T80" s="26" t="s">
        <v>3</v>
      </c>
      <c r="U80" s="26" t="s">
        <v>3</v>
      </c>
      <c r="V80" s="26" t="s">
        <v>3</v>
      </c>
      <c r="W80" s="26" t="s">
        <v>3</v>
      </c>
      <c r="X80" s="26" t="s">
        <v>3</v>
      </c>
      <c r="Y80" s="23" t="s">
        <v>7</v>
      </c>
      <c r="Z80" s="24" t="s">
        <v>9</v>
      </c>
      <c r="AA80" s="26" t="s">
        <v>3</v>
      </c>
      <c r="AB80" s="26" t="s">
        <v>3</v>
      </c>
      <c r="AC80" s="26" t="s">
        <v>3</v>
      </c>
      <c r="AD80" s="26" t="s">
        <v>3</v>
      </c>
      <c r="AE80" s="26" t="s">
        <v>3</v>
      </c>
      <c r="AF80" s="27" t="s">
        <v>7</v>
      </c>
      <c r="AG80" s="28" t="s">
        <v>11</v>
      </c>
      <c r="AH80" s="8">
        <f t="shared" si="24"/>
        <v>18</v>
      </c>
      <c r="AI80" s="8">
        <f t="shared" si="25"/>
        <v>2</v>
      </c>
      <c r="AJ80" s="29">
        <f t="shared" si="26"/>
        <v>3</v>
      </c>
      <c r="AK80" s="62">
        <v>3</v>
      </c>
      <c r="AL80" s="33">
        <f t="shared" si="27"/>
        <v>22.5</v>
      </c>
      <c r="AM80" s="63">
        <f t="shared" si="28"/>
        <v>160</v>
      </c>
      <c r="AN80" s="63">
        <f t="shared" si="29"/>
        <v>0</v>
      </c>
      <c r="AO80" s="63">
        <f t="shared" si="30"/>
        <v>0</v>
      </c>
      <c r="AP80" s="53">
        <f t="shared" si="31"/>
        <v>22.5</v>
      </c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</row>
    <row r="81" spans="1:55" ht="22" customHeight="1" x14ac:dyDescent="0.35">
      <c r="A81" s="8" t="s">
        <v>187</v>
      </c>
      <c r="B81" s="8" t="s">
        <v>188</v>
      </c>
      <c r="C81" s="8" t="s">
        <v>180</v>
      </c>
      <c r="D81" s="27" t="s">
        <v>7</v>
      </c>
      <c r="E81" s="28" t="s">
        <v>11</v>
      </c>
      <c r="F81" s="22" t="s">
        <v>5</v>
      </c>
      <c r="G81" s="22" t="s">
        <v>5</v>
      </c>
      <c r="H81" s="26" t="s">
        <v>3</v>
      </c>
      <c r="I81" s="26" t="s">
        <v>3</v>
      </c>
      <c r="J81" s="26" t="s">
        <v>3</v>
      </c>
      <c r="K81" s="27" t="s">
        <v>7</v>
      </c>
      <c r="L81" s="28" t="s">
        <v>11</v>
      </c>
      <c r="M81" s="26" t="s">
        <v>3</v>
      </c>
      <c r="N81" s="26" t="s">
        <v>3</v>
      </c>
      <c r="O81" s="26" t="s">
        <v>3</v>
      </c>
      <c r="P81" s="26" t="s">
        <v>3</v>
      </c>
      <c r="Q81" s="26" t="s">
        <v>3</v>
      </c>
      <c r="R81" s="27" t="s">
        <v>7</v>
      </c>
      <c r="S81" s="28" t="s">
        <v>11</v>
      </c>
      <c r="T81" s="26" t="s">
        <v>3</v>
      </c>
      <c r="U81" s="22" t="s">
        <v>5</v>
      </c>
      <c r="V81" s="22" t="s">
        <v>5</v>
      </c>
      <c r="W81" s="26" t="s">
        <v>3</v>
      </c>
      <c r="X81" s="26" t="s">
        <v>3</v>
      </c>
      <c r="Y81" s="27" t="s">
        <v>7</v>
      </c>
      <c r="Z81" s="28" t="s">
        <v>11</v>
      </c>
      <c r="AA81" s="26" t="s">
        <v>3</v>
      </c>
      <c r="AB81" s="26" t="s">
        <v>3</v>
      </c>
      <c r="AC81" s="26" t="s">
        <v>3</v>
      </c>
      <c r="AD81" s="26" t="s">
        <v>3</v>
      </c>
      <c r="AE81" s="26" t="s">
        <v>3</v>
      </c>
      <c r="AF81" s="27" t="s">
        <v>7</v>
      </c>
      <c r="AG81" s="28" t="s">
        <v>11</v>
      </c>
      <c r="AH81" s="8">
        <f t="shared" si="24"/>
        <v>16</v>
      </c>
      <c r="AI81" s="8">
        <f t="shared" si="25"/>
        <v>4</v>
      </c>
      <c r="AJ81" s="29">
        <f t="shared" si="26"/>
        <v>5</v>
      </c>
      <c r="AK81" s="62">
        <v>5</v>
      </c>
      <c r="AL81" s="33">
        <f t="shared" si="27"/>
        <v>23.5</v>
      </c>
      <c r="AM81" s="63">
        <f t="shared" si="28"/>
        <v>160</v>
      </c>
      <c r="AN81" s="63">
        <f t="shared" si="29"/>
        <v>0</v>
      </c>
      <c r="AO81" s="63">
        <f t="shared" si="30"/>
        <v>0</v>
      </c>
      <c r="AP81" s="53">
        <f t="shared" si="31"/>
        <v>23.5</v>
      </c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</row>
    <row r="82" spans="1:55" ht="22" customHeight="1" x14ac:dyDescent="0.35">
      <c r="A82" s="8" t="s">
        <v>189</v>
      </c>
      <c r="B82" s="8" t="s">
        <v>190</v>
      </c>
      <c r="C82" s="8" t="s">
        <v>180</v>
      </c>
      <c r="D82" s="27" t="s">
        <v>7</v>
      </c>
      <c r="E82" s="28" t="s">
        <v>11</v>
      </c>
      <c r="F82" s="26" t="s">
        <v>3</v>
      </c>
      <c r="G82" s="26" t="s">
        <v>3</v>
      </c>
      <c r="H82" s="26" t="s">
        <v>3</v>
      </c>
      <c r="I82" s="26" t="s">
        <v>3</v>
      </c>
      <c r="J82" s="26" t="s">
        <v>3</v>
      </c>
      <c r="K82" s="27" t="s">
        <v>7</v>
      </c>
      <c r="L82" s="28" t="s">
        <v>11</v>
      </c>
      <c r="M82" s="26" t="s">
        <v>3</v>
      </c>
      <c r="N82" s="22" t="s">
        <v>5</v>
      </c>
      <c r="O82" s="22" t="s">
        <v>5</v>
      </c>
      <c r="P82" s="26" t="s">
        <v>3</v>
      </c>
      <c r="Q82" s="26" t="s">
        <v>3</v>
      </c>
      <c r="R82" s="27" t="s">
        <v>7</v>
      </c>
      <c r="S82" s="28" t="s">
        <v>11</v>
      </c>
      <c r="T82" s="26" t="s">
        <v>3</v>
      </c>
      <c r="U82" s="26" t="s">
        <v>3</v>
      </c>
      <c r="V82" s="26" t="s">
        <v>3</v>
      </c>
      <c r="W82" s="26" t="s">
        <v>3</v>
      </c>
      <c r="X82" s="26" t="s">
        <v>3</v>
      </c>
      <c r="Y82" s="27" t="s">
        <v>7</v>
      </c>
      <c r="Z82" s="28" t="s">
        <v>11</v>
      </c>
      <c r="AA82" s="26" t="s">
        <v>3</v>
      </c>
      <c r="AB82" s="22" t="s">
        <v>5</v>
      </c>
      <c r="AC82" s="22" t="s">
        <v>5</v>
      </c>
      <c r="AD82" s="26" t="s">
        <v>3</v>
      </c>
      <c r="AE82" s="26" t="s">
        <v>3</v>
      </c>
      <c r="AF82" s="27" t="s">
        <v>7</v>
      </c>
      <c r="AG82" s="28" t="s">
        <v>11</v>
      </c>
      <c r="AH82" s="8">
        <f t="shared" si="24"/>
        <v>16</v>
      </c>
      <c r="AI82" s="8">
        <f t="shared" si="25"/>
        <v>4</v>
      </c>
      <c r="AJ82" s="29">
        <f t="shared" si="26"/>
        <v>5</v>
      </c>
      <c r="AK82" s="62">
        <v>5</v>
      </c>
      <c r="AL82" s="33">
        <f t="shared" si="27"/>
        <v>23.5</v>
      </c>
      <c r="AM82" s="63">
        <f t="shared" si="28"/>
        <v>160</v>
      </c>
      <c r="AN82" s="63">
        <f t="shared" si="29"/>
        <v>0</v>
      </c>
      <c r="AO82" s="63">
        <f t="shared" si="30"/>
        <v>0</v>
      </c>
      <c r="AP82" s="53">
        <f t="shared" si="31"/>
        <v>23.5</v>
      </c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</row>
    <row r="83" spans="1:55" x14ac:dyDescent="0.35"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</row>
    <row r="84" spans="1:55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</row>
    <row r="85" spans="1:55" ht="22" customHeight="1" x14ac:dyDescent="0.35">
      <c r="A85" s="8" t="s">
        <v>192</v>
      </c>
      <c r="B85" s="8" t="s">
        <v>193</v>
      </c>
      <c r="C85" s="8" t="s">
        <v>194</v>
      </c>
      <c r="D85" s="27" t="s">
        <v>7</v>
      </c>
      <c r="E85" s="24" t="s">
        <v>9</v>
      </c>
      <c r="F85" s="26" t="s">
        <v>3</v>
      </c>
      <c r="G85" s="26" t="s">
        <v>3</v>
      </c>
      <c r="H85" s="26" t="s">
        <v>3</v>
      </c>
      <c r="I85" s="26" t="s">
        <v>3</v>
      </c>
      <c r="J85" s="26" t="s">
        <v>3</v>
      </c>
      <c r="K85" s="23" t="s">
        <v>7</v>
      </c>
      <c r="L85" s="24" t="s">
        <v>9</v>
      </c>
      <c r="M85" s="26" t="s">
        <v>3</v>
      </c>
      <c r="N85" s="26" t="s">
        <v>3</v>
      </c>
      <c r="O85" s="22" t="s">
        <v>5</v>
      </c>
      <c r="P85" s="22" t="s">
        <v>5</v>
      </c>
      <c r="Q85" s="26" t="s">
        <v>3</v>
      </c>
      <c r="R85" s="27" t="s">
        <v>7</v>
      </c>
      <c r="S85" s="24" t="s">
        <v>9</v>
      </c>
      <c r="T85" s="26" t="s">
        <v>3</v>
      </c>
      <c r="U85" s="26" t="s">
        <v>3</v>
      </c>
      <c r="V85" s="26" t="s">
        <v>3</v>
      </c>
      <c r="W85" s="26" t="s">
        <v>3</v>
      </c>
      <c r="X85" s="26" t="s">
        <v>3</v>
      </c>
      <c r="Y85" s="23" t="s">
        <v>7</v>
      </c>
      <c r="Z85" s="24" t="s">
        <v>9</v>
      </c>
      <c r="AA85" s="26" t="s">
        <v>3</v>
      </c>
      <c r="AB85" s="26" t="s">
        <v>3</v>
      </c>
      <c r="AC85" s="26" t="s">
        <v>3</v>
      </c>
      <c r="AD85" s="26" t="s">
        <v>3</v>
      </c>
      <c r="AE85" s="26" t="s">
        <v>3</v>
      </c>
      <c r="AF85" s="27" t="s">
        <v>7</v>
      </c>
      <c r="AG85" s="28" t="s">
        <v>11</v>
      </c>
      <c r="AH85" s="8">
        <f>COUNTIF(D85:AG85,"ON")</f>
        <v>18</v>
      </c>
      <c r="AI85" s="8">
        <f>COUNTIF(D85:AG85,"OFF")</f>
        <v>2</v>
      </c>
      <c r="AJ85" s="29">
        <f>COUNTIF(D85:AG85,"OT")</f>
        <v>1</v>
      </c>
      <c r="AK85" s="62">
        <v>3</v>
      </c>
      <c r="AL85" s="33">
        <f>AH85+AJ85+AK85*0.5</f>
        <v>20.5</v>
      </c>
      <c r="AM85" s="63">
        <f>NETWORKDAYS(DATE(2025,11,1),EOMONTH(DATE(2025,11,1),0))*8</f>
        <v>160</v>
      </c>
      <c r="AN85" s="63">
        <f>MAX(0,COUNTIF(J85,"ON")+COUNTIF(Q85,"ON")+COUNTIF(X85,"ON")+COUNTIF(AE85,"ON")-AK85)</f>
        <v>1</v>
      </c>
      <c r="AO85" s="63">
        <f>AN85*$AO$2</f>
        <v>4</v>
      </c>
      <c r="AP85" s="53">
        <f>AL85-AO85/8</f>
        <v>20</v>
      </c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</row>
    <row r="86" spans="1:55" ht="22" customHeight="1" x14ac:dyDescent="0.35">
      <c r="A86" s="8" t="s">
        <v>195</v>
      </c>
      <c r="B86" s="8" t="s">
        <v>196</v>
      </c>
      <c r="C86" s="8" t="s">
        <v>194</v>
      </c>
      <c r="D86" s="23" t="s">
        <v>7</v>
      </c>
      <c r="E86" s="28" t="s">
        <v>11</v>
      </c>
      <c r="F86" s="26" t="s">
        <v>3</v>
      </c>
      <c r="G86" s="26" t="s">
        <v>3</v>
      </c>
      <c r="H86" s="26" t="s">
        <v>3</v>
      </c>
      <c r="I86" s="26" t="s">
        <v>3</v>
      </c>
      <c r="J86" s="26" t="s">
        <v>3</v>
      </c>
      <c r="K86" s="23" t="s">
        <v>7</v>
      </c>
      <c r="L86" s="24" t="s">
        <v>9</v>
      </c>
      <c r="M86" s="26" t="s">
        <v>3</v>
      </c>
      <c r="N86" s="26" t="s">
        <v>3</v>
      </c>
      <c r="O86" s="26" t="s">
        <v>3</v>
      </c>
      <c r="P86" s="26" t="s">
        <v>3</v>
      </c>
      <c r="Q86" s="26" t="s">
        <v>3</v>
      </c>
      <c r="R86" s="23" t="s">
        <v>7</v>
      </c>
      <c r="S86" s="28" t="s">
        <v>11</v>
      </c>
      <c r="T86" s="26" t="s">
        <v>3</v>
      </c>
      <c r="U86" s="26" t="s">
        <v>3</v>
      </c>
      <c r="V86" s="26" t="s">
        <v>3</v>
      </c>
      <c r="W86" s="26" t="s">
        <v>3</v>
      </c>
      <c r="X86" s="26" t="s">
        <v>3</v>
      </c>
      <c r="Y86" s="23" t="s">
        <v>7</v>
      </c>
      <c r="Z86" s="28" t="s">
        <v>11</v>
      </c>
      <c r="AA86" s="26" t="s">
        <v>3</v>
      </c>
      <c r="AB86" s="22" t="s">
        <v>5</v>
      </c>
      <c r="AC86" s="22" t="s">
        <v>5</v>
      </c>
      <c r="AD86" s="22" t="s">
        <v>5</v>
      </c>
      <c r="AE86" s="22" t="s">
        <v>5</v>
      </c>
      <c r="AF86" s="23" t="s">
        <v>7</v>
      </c>
      <c r="AG86" s="24" t="s">
        <v>9</v>
      </c>
      <c r="AH86" s="8">
        <f>COUNTIF(D86:AG86,"ON")</f>
        <v>16</v>
      </c>
      <c r="AI86" s="8">
        <f>COUNTIF(D86:AG86,"OFF")</f>
        <v>4</v>
      </c>
      <c r="AJ86" s="29">
        <f>COUNTIF(D86:AG86,"OT")</f>
        <v>3</v>
      </c>
      <c r="AK86" s="62">
        <v>0</v>
      </c>
      <c r="AL86" s="33">
        <f>AH86+AJ86+AK86*0.5</f>
        <v>19</v>
      </c>
      <c r="AM86" s="63">
        <f>NETWORKDAYS(DATE(2025,11,1),EOMONTH(DATE(2025,11,1),0))*8</f>
        <v>160</v>
      </c>
      <c r="AN86" s="63">
        <f>MAX(0,COUNTIF(J86,"ON")+COUNTIF(Q86,"ON")+COUNTIF(X86,"ON")+COUNTIF(AE86,"ON")-AK86)</f>
        <v>3</v>
      </c>
      <c r="AO86" s="63">
        <f>AN86*$AO$2</f>
        <v>12</v>
      </c>
      <c r="AP86" s="53">
        <f>AL86-AO86/8</f>
        <v>17.5</v>
      </c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</row>
    <row r="87" spans="1:55" ht="22" customHeight="1" x14ac:dyDescent="0.35">
      <c r="A87" s="8" t="s">
        <v>197</v>
      </c>
      <c r="B87" s="8" t="s">
        <v>198</v>
      </c>
      <c r="C87" s="8" t="s">
        <v>194</v>
      </c>
      <c r="D87" s="23" t="s">
        <v>7</v>
      </c>
      <c r="E87" s="24" t="s">
        <v>9</v>
      </c>
      <c r="F87" s="26" t="s">
        <v>3</v>
      </c>
      <c r="G87" s="26" t="s">
        <v>3</v>
      </c>
      <c r="H87" s="26" t="s">
        <v>3</v>
      </c>
      <c r="I87" s="26" t="s">
        <v>3</v>
      </c>
      <c r="J87" s="26" t="s">
        <v>3</v>
      </c>
      <c r="K87" s="27" t="s">
        <v>7</v>
      </c>
      <c r="L87" s="24" t="s">
        <v>9</v>
      </c>
      <c r="M87" s="26" t="s">
        <v>3</v>
      </c>
      <c r="N87" s="26" t="s">
        <v>3</v>
      </c>
      <c r="O87" s="26" t="s">
        <v>3</v>
      </c>
      <c r="P87" s="26" t="s">
        <v>3</v>
      </c>
      <c r="Q87" s="26" t="s">
        <v>3</v>
      </c>
      <c r="R87" s="23" t="s">
        <v>7</v>
      </c>
      <c r="S87" s="24" t="s">
        <v>9</v>
      </c>
      <c r="T87" s="26" t="s">
        <v>3</v>
      </c>
      <c r="U87" s="26" t="s">
        <v>3</v>
      </c>
      <c r="V87" s="26" t="s">
        <v>3</v>
      </c>
      <c r="W87" s="26" t="s">
        <v>3</v>
      </c>
      <c r="X87" s="26" t="s">
        <v>3</v>
      </c>
      <c r="Y87" s="27" t="s">
        <v>7</v>
      </c>
      <c r="Z87" s="24" t="s">
        <v>9</v>
      </c>
      <c r="AA87" s="26" t="s">
        <v>3</v>
      </c>
      <c r="AB87" s="26" t="s">
        <v>3</v>
      </c>
      <c r="AC87" s="26" t="s">
        <v>3</v>
      </c>
      <c r="AD87" s="26" t="s">
        <v>3</v>
      </c>
      <c r="AE87" s="26" t="s">
        <v>3</v>
      </c>
      <c r="AF87" s="23" t="s">
        <v>7</v>
      </c>
      <c r="AG87" s="24" t="s">
        <v>9</v>
      </c>
      <c r="AH87" s="8">
        <f>COUNTIF(D87:AG87,"ON")</f>
        <v>20</v>
      </c>
      <c r="AI87" s="8">
        <f>COUNTIF(D87:AG87,"OFF")</f>
        <v>0</v>
      </c>
      <c r="AJ87" s="8">
        <f>COUNTIF(D87:AG87,"OT")</f>
        <v>0</v>
      </c>
      <c r="AK87" s="62">
        <v>2</v>
      </c>
      <c r="AL87" s="33">
        <f>AH87+AJ87+AK87*0.5</f>
        <v>21</v>
      </c>
      <c r="AM87" s="63">
        <f>NETWORKDAYS(DATE(2025,11,1),EOMONTH(DATE(2025,11,1),0))*8</f>
        <v>160</v>
      </c>
      <c r="AN87" s="63">
        <f>MAX(0,COUNTIF(J87,"ON")+COUNTIF(Q87,"ON")+COUNTIF(X87,"ON")+COUNTIF(AE87,"ON")-AK87)</f>
        <v>2</v>
      </c>
      <c r="AO87" s="63">
        <f>AN87*$AO$2</f>
        <v>8</v>
      </c>
      <c r="AP87" s="53">
        <f>AL87-AO87/8</f>
        <v>20</v>
      </c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</row>
    <row r="88" spans="1:55" ht="22" customHeight="1" x14ac:dyDescent="0.35">
      <c r="A88" s="8" t="s">
        <v>199</v>
      </c>
      <c r="B88" s="8" t="s">
        <v>200</v>
      </c>
      <c r="C88" s="8" t="s">
        <v>194</v>
      </c>
      <c r="D88" s="23" t="s">
        <v>7</v>
      </c>
      <c r="E88" s="24" t="s">
        <v>9</v>
      </c>
      <c r="F88" s="26" t="s">
        <v>3</v>
      </c>
      <c r="G88" s="26" t="s">
        <v>3</v>
      </c>
      <c r="H88" s="26" t="s">
        <v>3</v>
      </c>
      <c r="I88" s="26" t="s">
        <v>3</v>
      </c>
      <c r="J88" s="26" t="s">
        <v>3</v>
      </c>
      <c r="K88" s="23" t="s">
        <v>7</v>
      </c>
      <c r="L88" s="28" t="s">
        <v>11</v>
      </c>
      <c r="M88" s="26" t="s">
        <v>3</v>
      </c>
      <c r="N88" s="26" t="s">
        <v>3</v>
      </c>
      <c r="O88" s="26" t="s">
        <v>3</v>
      </c>
      <c r="P88" s="26" t="s">
        <v>3</v>
      </c>
      <c r="Q88" s="26" t="s">
        <v>3</v>
      </c>
      <c r="R88" s="23" t="s">
        <v>7</v>
      </c>
      <c r="S88" s="24" t="s">
        <v>9</v>
      </c>
      <c r="T88" s="26" t="s">
        <v>3</v>
      </c>
      <c r="U88" s="26" t="s">
        <v>3</v>
      </c>
      <c r="V88" s="26" t="s">
        <v>3</v>
      </c>
      <c r="W88" s="26" t="s">
        <v>3</v>
      </c>
      <c r="X88" s="26" t="s">
        <v>3</v>
      </c>
      <c r="Y88" s="23" t="s">
        <v>7</v>
      </c>
      <c r="Z88" s="24" t="s">
        <v>9</v>
      </c>
      <c r="AA88" s="22" t="s">
        <v>5</v>
      </c>
      <c r="AB88" s="22" t="s">
        <v>5</v>
      </c>
      <c r="AC88" s="22" t="s">
        <v>5</v>
      </c>
      <c r="AD88" s="22" t="s">
        <v>5</v>
      </c>
      <c r="AE88" s="22" t="s">
        <v>5</v>
      </c>
      <c r="AF88" s="23" t="s">
        <v>7</v>
      </c>
      <c r="AG88" s="24" t="s">
        <v>9</v>
      </c>
      <c r="AH88" s="8">
        <f>COUNTIF(D88:AG88,"ON")</f>
        <v>15</v>
      </c>
      <c r="AI88" s="8">
        <f>COUNTIF(D88:AG88,"OFF")</f>
        <v>5</v>
      </c>
      <c r="AJ88" s="29">
        <f>COUNTIF(D88:AG88,"OT")</f>
        <v>1</v>
      </c>
      <c r="AK88" s="62">
        <v>0</v>
      </c>
      <c r="AL88" s="33">
        <f>AH88+AJ88+AK88*0.5</f>
        <v>16</v>
      </c>
      <c r="AM88" s="63">
        <f>NETWORKDAYS(DATE(2025,11,1),EOMONTH(DATE(2025,11,1),0))*8</f>
        <v>160</v>
      </c>
      <c r="AN88" s="63">
        <f>MAX(0,COUNTIF(J88,"ON")+COUNTIF(Q88,"ON")+COUNTIF(X88,"ON")+COUNTIF(AE88,"ON")-AK88)</f>
        <v>3</v>
      </c>
      <c r="AO88" s="63">
        <f>AN88*$AO$2</f>
        <v>12</v>
      </c>
      <c r="AP88" s="53">
        <f>AL88-AO88/8</f>
        <v>14.5</v>
      </c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</row>
    <row r="89" spans="1:55" ht="22" customHeight="1" x14ac:dyDescent="0.35">
      <c r="A89" s="8" t="s">
        <v>201</v>
      </c>
      <c r="B89" s="8" t="s">
        <v>202</v>
      </c>
      <c r="C89" s="8" t="s">
        <v>194</v>
      </c>
      <c r="D89" s="23" t="s">
        <v>7</v>
      </c>
      <c r="E89" s="24" t="s">
        <v>9</v>
      </c>
      <c r="F89" s="22" t="s">
        <v>5</v>
      </c>
      <c r="G89" s="22" t="s">
        <v>5</v>
      </c>
      <c r="H89" s="26" t="s">
        <v>3</v>
      </c>
      <c r="I89" s="26" t="s">
        <v>3</v>
      </c>
      <c r="J89" s="26" t="s">
        <v>3</v>
      </c>
      <c r="K89" s="23" t="s">
        <v>7</v>
      </c>
      <c r="L89" s="24" t="s">
        <v>9</v>
      </c>
      <c r="M89" s="26" t="s">
        <v>3</v>
      </c>
      <c r="N89" s="26" t="s">
        <v>3</v>
      </c>
      <c r="O89" s="26" t="s">
        <v>3</v>
      </c>
      <c r="P89" s="22" t="s">
        <v>5</v>
      </c>
      <c r="Q89" s="22" t="s">
        <v>5</v>
      </c>
      <c r="R89" s="23" t="s">
        <v>7</v>
      </c>
      <c r="S89" s="24" t="s">
        <v>9</v>
      </c>
      <c r="T89" s="26" t="s">
        <v>3</v>
      </c>
      <c r="U89" s="26" t="s">
        <v>3</v>
      </c>
      <c r="V89" s="26" t="s">
        <v>3</v>
      </c>
      <c r="W89" s="26" t="s">
        <v>3</v>
      </c>
      <c r="X89" s="22" t="s">
        <v>5</v>
      </c>
      <c r="Y89" s="23" t="s">
        <v>7</v>
      </c>
      <c r="Z89" s="24" t="s">
        <v>9</v>
      </c>
      <c r="AA89" s="26" t="s">
        <v>3</v>
      </c>
      <c r="AB89" s="26" t="s">
        <v>3</v>
      </c>
      <c r="AC89" s="26" t="s">
        <v>3</v>
      </c>
      <c r="AD89" s="26" t="s">
        <v>3</v>
      </c>
      <c r="AE89" s="26" t="s">
        <v>3</v>
      </c>
      <c r="AF89" s="23" t="s">
        <v>7</v>
      </c>
      <c r="AG89" s="24" t="s">
        <v>9</v>
      </c>
      <c r="AH89" s="8">
        <f>COUNTIF(D89:AG89,"ON")</f>
        <v>15</v>
      </c>
      <c r="AI89" s="8">
        <f>COUNTIF(D89:AG89,"OFF")</f>
        <v>5</v>
      </c>
      <c r="AJ89" s="8">
        <f>COUNTIF(D89:AG89,"OT")</f>
        <v>0</v>
      </c>
      <c r="AK89" s="62">
        <v>0</v>
      </c>
      <c r="AL89" s="33">
        <f>AH89+AJ89+AK89*0.5</f>
        <v>15</v>
      </c>
      <c r="AM89" s="63">
        <f>NETWORKDAYS(DATE(2025,11,1),EOMONTH(DATE(2025,11,1),0))*8</f>
        <v>160</v>
      </c>
      <c r="AN89" s="63">
        <f>MAX(0,COUNTIF(J89,"ON")+COUNTIF(Q89,"ON")+COUNTIF(X89,"ON")+COUNTIF(AE89,"ON")-AK89)</f>
        <v>2</v>
      </c>
      <c r="AO89" s="63">
        <f>AN89*$AO$2</f>
        <v>8</v>
      </c>
      <c r="AP89" s="53">
        <f>AL89-AO89/8</f>
        <v>14</v>
      </c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</row>
    <row r="90" spans="1:55" x14ac:dyDescent="0.35"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</row>
    <row r="91" spans="1:55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</row>
    <row r="92" spans="1:55" ht="22" customHeight="1" x14ac:dyDescent="0.35">
      <c r="A92" s="8" t="s">
        <v>204</v>
      </c>
      <c r="B92" s="8" t="s">
        <v>205</v>
      </c>
      <c r="C92" s="8" t="s">
        <v>206</v>
      </c>
      <c r="D92" s="27" t="s">
        <v>7</v>
      </c>
      <c r="E92" s="24" t="s">
        <v>9</v>
      </c>
      <c r="F92" s="26" t="s">
        <v>3</v>
      </c>
      <c r="G92" s="26" t="s">
        <v>3</v>
      </c>
      <c r="H92" s="26" t="s">
        <v>3</v>
      </c>
      <c r="I92" s="26" t="s">
        <v>3</v>
      </c>
      <c r="J92" s="26" t="s">
        <v>3</v>
      </c>
      <c r="K92" s="23" t="s">
        <v>7</v>
      </c>
      <c r="L92" s="24" t="s">
        <v>9</v>
      </c>
      <c r="M92" s="26" t="s">
        <v>3</v>
      </c>
      <c r="N92" s="26" t="s">
        <v>3</v>
      </c>
      <c r="O92" s="26" t="s">
        <v>3</v>
      </c>
      <c r="P92" s="26" t="s">
        <v>3</v>
      </c>
      <c r="Q92" s="26" t="s">
        <v>3</v>
      </c>
      <c r="R92" s="23" t="s">
        <v>7</v>
      </c>
      <c r="S92" s="24" t="s">
        <v>9</v>
      </c>
      <c r="T92" s="26" t="s">
        <v>3</v>
      </c>
      <c r="U92" s="26" t="s">
        <v>3</v>
      </c>
      <c r="V92" s="26" t="s">
        <v>3</v>
      </c>
      <c r="W92" s="26" t="s">
        <v>3</v>
      </c>
      <c r="X92" s="26" t="s">
        <v>3</v>
      </c>
      <c r="Y92" s="23" t="s">
        <v>7</v>
      </c>
      <c r="Z92" s="24" t="s">
        <v>9</v>
      </c>
      <c r="AA92" s="26" t="s">
        <v>3</v>
      </c>
      <c r="AB92" s="26" t="s">
        <v>3</v>
      </c>
      <c r="AC92" s="26" t="s">
        <v>3</v>
      </c>
      <c r="AD92" s="26" t="s">
        <v>3</v>
      </c>
      <c r="AE92" s="26" t="s">
        <v>3</v>
      </c>
      <c r="AF92" s="23" t="s">
        <v>7</v>
      </c>
      <c r="AG92" s="24" t="s">
        <v>9</v>
      </c>
      <c r="AH92" s="8">
        <f>COUNTIF(D92:AG92,"ON")</f>
        <v>20</v>
      </c>
      <c r="AI92" s="8">
        <f>COUNTIF(D92:AG92,"OFF")</f>
        <v>0</v>
      </c>
      <c r="AJ92" s="8">
        <f>COUNTIF(D92:AG92,"OT")</f>
        <v>0</v>
      </c>
      <c r="AK92" s="62">
        <v>1</v>
      </c>
      <c r="AL92" s="33">
        <f>AH92+AJ92+AK92*0.5</f>
        <v>20.5</v>
      </c>
      <c r="AM92" s="63">
        <f>NETWORKDAYS(DATE(2025,11,1),EOMONTH(DATE(2025,11,1),0))*8</f>
        <v>160</v>
      </c>
      <c r="AN92" s="63">
        <f>MAX(0,COUNTIF(J92,"ON")+COUNTIF(Q92,"ON")+COUNTIF(X92,"ON")+COUNTIF(AE92,"ON")-AK92)</f>
        <v>3</v>
      </c>
      <c r="AO92" s="63">
        <f>AN92*$AO$2</f>
        <v>12</v>
      </c>
      <c r="AP92" s="53">
        <f>AL92-AO92/8</f>
        <v>19</v>
      </c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</row>
    <row r="93" spans="1:55" ht="22" customHeight="1" x14ac:dyDescent="0.35">
      <c r="A93" s="8" t="s">
        <v>207</v>
      </c>
      <c r="B93" s="8" t="s">
        <v>208</v>
      </c>
      <c r="C93" s="8" t="s">
        <v>206</v>
      </c>
      <c r="D93" s="27" t="s">
        <v>7</v>
      </c>
      <c r="E93" s="24" t="s">
        <v>9</v>
      </c>
      <c r="F93" s="26" t="s">
        <v>3</v>
      </c>
      <c r="G93" s="26" t="s">
        <v>3</v>
      </c>
      <c r="H93" s="22" t="s">
        <v>5</v>
      </c>
      <c r="I93" s="26" t="s">
        <v>3</v>
      </c>
      <c r="J93" s="26" t="s">
        <v>3</v>
      </c>
      <c r="K93" s="23" t="s">
        <v>7</v>
      </c>
      <c r="L93" s="24" t="s">
        <v>9</v>
      </c>
      <c r="M93" s="26" t="s">
        <v>3</v>
      </c>
      <c r="N93" s="26" t="s">
        <v>3</v>
      </c>
      <c r="O93" s="26" t="s">
        <v>3</v>
      </c>
      <c r="P93" s="26" t="s">
        <v>3</v>
      </c>
      <c r="Q93" s="26" t="s">
        <v>3</v>
      </c>
      <c r="R93" s="23" t="s">
        <v>7</v>
      </c>
      <c r="S93" s="24" t="s">
        <v>9</v>
      </c>
      <c r="T93" s="26" t="s">
        <v>3</v>
      </c>
      <c r="U93" s="26" t="s">
        <v>3</v>
      </c>
      <c r="V93" s="26" t="s">
        <v>3</v>
      </c>
      <c r="W93" s="26" t="s">
        <v>3</v>
      </c>
      <c r="X93" s="26" t="s">
        <v>3</v>
      </c>
      <c r="Y93" s="23" t="s">
        <v>7</v>
      </c>
      <c r="Z93" s="24" t="s">
        <v>9</v>
      </c>
      <c r="AA93" s="26" t="s">
        <v>3</v>
      </c>
      <c r="AB93" s="26" t="s">
        <v>3</v>
      </c>
      <c r="AC93" s="26" t="s">
        <v>3</v>
      </c>
      <c r="AD93" s="26" t="s">
        <v>3</v>
      </c>
      <c r="AE93" s="26" t="s">
        <v>3</v>
      </c>
      <c r="AF93" s="23" t="s">
        <v>7</v>
      </c>
      <c r="AG93" s="24" t="s">
        <v>9</v>
      </c>
      <c r="AH93" s="8">
        <f>COUNTIF(D93:AG93,"ON")</f>
        <v>19</v>
      </c>
      <c r="AI93" s="8">
        <f>COUNTIF(D93:AG93,"OFF")</f>
        <v>1</v>
      </c>
      <c r="AJ93" s="8">
        <f>COUNTIF(D93:AG93,"OT")</f>
        <v>0</v>
      </c>
      <c r="AK93" s="62">
        <v>1</v>
      </c>
      <c r="AL93" s="33">
        <f>AH93+AJ93+AK93*0.5</f>
        <v>19.5</v>
      </c>
      <c r="AM93" s="63">
        <f>NETWORKDAYS(DATE(2025,11,1),EOMONTH(DATE(2025,11,1),0))*8</f>
        <v>160</v>
      </c>
      <c r="AN93" s="63">
        <f>MAX(0,COUNTIF(J93,"ON")+COUNTIF(Q93,"ON")+COUNTIF(X93,"ON")+COUNTIF(AE93,"ON")-AK93)</f>
        <v>3</v>
      </c>
      <c r="AO93" s="63">
        <f>AN93*$AO$2</f>
        <v>12</v>
      </c>
      <c r="AP93" s="53">
        <f>AL93-AO93/8</f>
        <v>18</v>
      </c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</row>
    <row r="94" spans="1:55" ht="22" customHeight="1" x14ac:dyDescent="0.35">
      <c r="A94" s="8" t="s">
        <v>209</v>
      </c>
      <c r="B94" s="8" t="s">
        <v>210</v>
      </c>
      <c r="C94" s="8" t="s">
        <v>206</v>
      </c>
      <c r="D94" s="23" t="s">
        <v>7</v>
      </c>
      <c r="E94" s="24" t="s">
        <v>9</v>
      </c>
      <c r="F94" s="22" t="s">
        <v>5</v>
      </c>
      <c r="G94" s="26" t="s">
        <v>3</v>
      </c>
      <c r="H94" s="22" t="s">
        <v>5</v>
      </c>
      <c r="I94" s="26" t="s">
        <v>3</v>
      </c>
      <c r="J94" s="26" t="s">
        <v>3</v>
      </c>
      <c r="K94" s="27" t="s">
        <v>7</v>
      </c>
      <c r="L94" s="24" t="s">
        <v>9</v>
      </c>
      <c r="M94" s="22" t="s">
        <v>5</v>
      </c>
      <c r="N94" s="26" t="s">
        <v>3</v>
      </c>
      <c r="O94" s="26" t="s">
        <v>3</v>
      </c>
      <c r="P94" s="26" t="s">
        <v>3</v>
      </c>
      <c r="Q94" s="26" t="s">
        <v>3</v>
      </c>
      <c r="R94" s="23" t="s">
        <v>7</v>
      </c>
      <c r="S94" s="24" t="s">
        <v>9</v>
      </c>
      <c r="T94" s="26" t="s">
        <v>3</v>
      </c>
      <c r="U94" s="26" t="s">
        <v>3</v>
      </c>
      <c r="V94" s="26" t="s">
        <v>3</v>
      </c>
      <c r="W94" s="26" t="s">
        <v>3</v>
      </c>
      <c r="X94" s="26" t="s">
        <v>3</v>
      </c>
      <c r="Y94" s="23" t="s">
        <v>7</v>
      </c>
      <c r="Z94" s="24" t="s">
        <v>9</v>
      </c>
      <c r="AA94" s="26" t="s">
        <v>3</v>
      </c>
      <c r="AB94" s="26" t="s">
        <v>3</v>
      </c>
      <c r="AC94" s="26" t="s">
        <v>3</v>
      </c>
      <c r="AD94" s="26" t="s">
        <v>3</v>
      </c>
      <c r="AE94" s="26" t="s">
        <v>3</v>
      </c>
      <c r="AF94" s="23" t="s">
        <v>7</v>
      </c>
      <c r="AG94" s="24" t="s">
        <v>9</v>
      </c>
      <c r="AH94" s="8">
        <f>COUNTIF(D94:AG94,"ON")</f>
        <v>17</v>
      </c>
      <c r="AI94" s="8">
        <f>COUNTIF(D94:AG94,"OFF")</f>
        <v>3</v>
      </c>
      <c r="AJ94" s="8">
        <f>COUNTIF(D94:AG94,"OT")</f>
        <v>0</v>
      </c>
      <c r="AK94" s="62">
        <v>1</v>
      </c>
      <c r="AL94" s="33">
        <f>AH94+AJ94+AK94*0.5</f>
        <v>17.5</v>
      </c>
      <c r="AM94" s="63">
        <f>NETWORKDAYS(DATE(2025,11,1),EOMONTH(DATE(2025,11,1),0))*8</f>
        <v>160</v>
      </c>
      <c r="AN94" s="63">
        <f>MAX(0,COUNTIF(J94,"ON")+COUNTIF(Q94,"ON")+COUNTIF(X94,"ON")+COUNTIF(AE94,"ON")-AK94)</f>
        <v>3</v>
      </c>
      <c r="AO94" s="63">
        <f>AN94*$AO$2</f>
        <v>12</v>
      </c>
      <c r="AP94" s="53">
        <f>AL94-AO94/8</f>
        <v>16</v>
      </c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</row>
    <row r="95" spans="1:55" ht="22" customHeight="1" x14ac:dyDescent="0.35">
      <c r="A95" s="8" t="s">
        <v>211</v>
      </c>
      <c r="B95" s="8" t="s">
        <v>212</v>
      </c>
      <c r="C95" s="8" t="s">
        <v>206</v>
      </c>
      <c r="D95" s="23" t="s">
        <v>7</v>
      </c>
      <c r="E95" s="24" t="s">
        <v>9</v>
      </c>
      <c r="F95" s="22" t="s">
        <v>5</v>
      </c>
      <c r="G95" s="22" t="s">
        <v>5</v>
      </c>
      <c r="H95" s="22" t="s">
        <v>5</v>
      </c>
      <c r="I95" s="26" t="s">
        <v>3</v>
      </c>
      <c r="J95" s="26" t="s">
        <v>3</v>
      </c>
      <c r="K95" s="23" t="s">
        <v>7</v>
      </c>
      <c r="L95" s="24" t="s">
        <v>9</v>
      </c>
      <c r="M95" s="26" t="s">
        <v>3</v>
      </c>
      <c r="N95" s="26" t="s">
        <v>3</v>
      </c>
      <c r="O95" s="26" t="s">
        <v>3</v>
      </c>
      <c r="P95" s="26" t="s">
        <v>3</v>
      </c>
      <c r="Q95" s="26" t="s">
        <v>3</v>
      </c>
      <c r="R95" s="27" t="s">
        <v>7</v>
      </c>
      <c r="S95" s="24" t="s">
        <v>9</v>
      </c>
      <c r="T95" s="26" t="s">
        <v>3</v>
      </c>
      <c r="U95" s="26" t="s">
        <v>3</v>
      </c>
      <c r="V95" s="26" t="s">
        <v>3</v>
      </c>
      <c r="W95" s="26" t="s">
        <v>3</v>
      </c>
      <c r="X95" s="26" t="s">
        <v>3</v>
      </c>
      <c r="Y95" s="23" t="s">
        <v>7</v>
      </c>
      <c r="Z95" s="24" t="s">
        <v>9</v>
      </c>
      <c r="AA95" s="26" t="s">
        <v>3</v>
      </c>
      <c r="AB95" s="26" t="s">
        <v>3</v>
      </c>
      <c r="AC95" s="26" t="s">
        <v>3</v>
      </c>
      <c r="AD95" s="26" t="s">
        <v>3</v>
      </c>
      <c r="AE95" s="26" t="s">
        <v>3</v>
      </c>
      <c r="AF95" s="23" t="s">
        <v>7</v>
      </c>
      <c r="AG95" s="24" t="s">
        <v>9</v>
      </c>
      <c r="AH95" s="8">
        <f>COUNTIF(D95:AG95,"ON")</f>
        <v>17</v>
      </c>
      <c r="AI95" s="8">
        <f>COUNTIF(D95:AG95,"OFF")</f>
        <v>3</v>
      </c>
      <c r="AJ95" s="8">
        <f>COUNTIF(D95:AG95,"OT")</f>
        <v>0</v>
      </c>
      <c r="AK95" s="62">
        <v>1</v>
      </c>
      <c r="AL95" s="33">
        <f>AH95+AJ95+AK95*0.5</f>
        <v>17.5</v>
      </c>
      <c r="AM95" s="63">
        <f>NETWORKDAYS(DATE(2025,11,1),EOMONTH(DATE(2025,11,1),0))*8</f>
        <v>160</v>
      </c>
      <c r="AN95" s="63">
        <f>MAX(0,COUNTIF(J95,"ON")+COUNTIF(Q95,"ON")+COUNTIF(X95,"ON")+COUNTIF(AE95,"ON")-AK95)</f>
        <v>3</v>
      </c>
      <c r="AO95" s="63">
        <f>AN95*$AO$2</f>
        <v>12</v>
      </c>
      <c r="AP95" s="53">
        <f>AL95-AO95/8</f>
        <v>16</v>
      </c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</row>
    <row r="96" spans="1:55" x14ac:dyDescent="0.35"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</row>
    <row r="97" spans="1:55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</row>
    <row r="98" spans="1:55" ht="22" customHeight="1" x14ac:dyDescent="0.35">
      <c r="A98" s="8" t="s">
        <v>214</v>
      </c>
      <c r="B98" s="8" t="s">
        <v>215</v>
      </c>
      <c r="C98" s="8" t="s">
        <v>216</v>
      </c>
      <c r="D98" s="23" t="s">
        <v>7</v>
      </c>
      <c r="E98" s="24" t="s">
        <v>9</v>
      </c>
      <c r="F98" s="26" t="s">
        <v>3</v>
      </c>
      <c r="G98" s="26" t="s">
        <v>3</v>
      </c>
      <c r="H98" s="26" t="s">
        <v>3</v>
      </c>
      <c r="I98" s="26" t="s">
        <v>3</v>
      </c>
      <c r="J98" s="26" t="s">
        <v>3</v>
      </c>
      <c r="K98" s="23" t="s">
        <v>7</v>
      </c>
      <c r="L98" s="24" t="s">
        <v>9</v>
      </c>
      <c r="M98" s="26" t="s">
        <v>3</v>
      </c>
      <c r="N98" s="26" t="s">
        <v>3</v>
      </c>
      <c r="O98" s="26" t="s">
        <v>3</v>
      </c>
      <c r="P98" s="26" t="s">
        <v>3</v>
      </c>
      <c r="Q98" s="26" t="s">
        <v>3</v>
      </c>
      <c r="R98" s="27" t="s">
        <v>7</v>
      </c>
      <c r="S98" s="24" t="s">
        <v>9</v>
      </c>
      <c r="T98" s="26" t="s">
        <v>3</v>
      </c>
      <c r="U98" s="26" t="s">
        <v>3</v>
      </c>
      <c r="V98" s="26" t="s">
        <v>3</v>
      </c>
      <c r="W98" s="26" t="s">
        <v>3</v>
      </c>
      <c r="X98" s="26" t="s">
        <v>3</v>
      </c>
      <c r="Y98" s="23" t="s">
        <v>7</v>
      </c>
      <c r="Z98" s="24" t="s">
        <v>9</v>
      </c>
      <c r="AA98" s="26" t="s">
        <v>3</v>
      </c>
      <c r="AB98" s="26" t="s">
        <v>3</v>
      </c>
      <c r="AC98" s="26" t="s">
        <v>3</v>
      </c>
      <c r="AD98" s="26" t="s">
        <v>3</v>
      </c>
      <c r="AE98" s="26" t="s">
        <v>3</v>
      </c>
      <c r="AF98" s="23" t="s">
        <v>7</v>
      </c>
      <c r="AG98" s="24" t="s">
        <v>9</v>
      </c>
      <c r="AH98" s="8">
        <f t="shared" ref="AH98:AH111" si="32">COUNTIF(D98:AG98,"ON")</f>
        <v>20</v>
      </c>
      <c r="AI98" s="8">
        <f t="shared" ref="AI98:AI111" si="33">COUNTIF(D98:AG98,"OFF")</f>
        <v>0</v>
      </c>
      <c r="AJ98" s="8">
        <f t="shared" ref="AJ98:AJ111" si="34">COUNTIF(D98:AG98,"OT")</f>
        <v>0</v>
      </c>
      <c r="AK98" s="62">
        <v>1</v>
      </c>
      <c r="AL98" s="33">
        <f t="shared" ref="AL98:AL111" si="35">AH98+AJ98+AK98*0.5</f>
        <v>20.5</v>
      </c>
      <c r="AM98" s="63">
        <f t="shared" ref="AM98:AM111" si="36">NETWORKDAYS(DATE(2025,11,1),EOMONTH(DATE(2025,11,1),0))*8</f>
        <v>160</v>
      </c>
      <c r="AN98" s="63">
        <f t="shared" ref="AN98:AN111" si="37">MAX(0,COUNTIF(J98,"ON")+COUNTIF(Q98,"ON")+COUNTIF(X98,"ON")+COUNTIF(AE98,"ON")-AK98)</f>
        <v>3</v>
      </c>
      <c r="AO98" s="63">
        <f t="shared" ref="AO98:AO111" si="38">AN98*$AO$2</f>
        <v>12</v>
      </c>
      <c r="AP98" s="53">
        <f t="shared" ref="AP98:AP111" si="39">AL98-AO98/8</f>
        <v>19</v>
      </c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</row>
    <row r="99" spans="1:55" ht="22" customHeight="1" x14ac:dyDescent="0.35">
      <c r="A99" s="8" t="s">
        <v>217</v>
      </c>
      <c r="B99" s="8" t="s">
        <v>218</v>
      </c>
      <c r="C99" s="8" t="s">
        <v>216</v>
      </c>
      <c r="D99" s="23" t="s">
        <v>7</v>
      </c>
      <c r="E99" s="28" t="s">
        <v>11</v>
      </c>
      <c r="F99" s="22" t="s">
        <v>5</v>
      </c>
      <c r="G99" s="22" t="s">
        <v>5</v>
      </c>
      <c r="H99" s="22" t="s">
        <v>5</v>
      </c>
      <c r="I99" s="26" t="s">
        <v>3</v>
      </c>
      <c r="J99" s="26" t="s">
        <v>3</v>
      </c>
      <c r="K99" s="23" t="s">
        <v>7</v>
      </c>
      <c r="L99" s="24" t="s">
        <v>9</v>
      </c>
      <c r="M99" s="26" t="s">
        <v>3</v>
      </c>
      <c r="N99" s="26" t="s">
        <v>3</v>
      </c>
      <c r="O99" s="26" t="s">
        <v>3</v>
      </c>
      <c r="P99" s="26" t="s">
        <v>3</v>
      </c>
      <c r="Q99" s="26" t="s">
        <v>3</v>
      </c>
      <c r="R99" s="23" t="s">
        <v>7</v>
      </c>
      <c r="S99" s="24" t="s">
        <v>9</v>
      </c>
      <c r="T99" s="26" t="s">
        <v>3</v>
      </c>
      <c r="U99" s="26" t="s">
        <v>3</v>
      </c>
      <c r="V99" s="22" t="s">
        <v>5</v>
      </c>
      <c r="W99" s="22" t="s">
        <v>5</v>
      </c>
      <c r="X99" s="22" t="s">
        <v>5</v>
      </c>
      <c r="Y99" s="23" t="s">
        <v>7</v>
      </c>
      <c r="Z99" s="24" t="s">
        <v>9</v>
      </c>
      <c r="AA99" s="26" t="s">
        <v>3</v>
      </c>
      <c r="AB99" s="26" t="s">
        <v>3</v>
      </c>
      <c r="AC99" s="26" t="s">
        <v>3</v>
      </c>
      <c r="AD99" s="26" t="s">
        <v>3</v>
      </c>
      <c r="AE99" s="26" t="s">
        <v>3</v>
      </c>
      <c r="AF99" s="23" t="s">
        <v>7</v>
      </c>
      <c r="AG99" s="24" t="s">
        <v>9</v>
      </c>
      <c r="AH99" s="8">
        <f t="shared" si="32"/>
        <v>14</v>
      </c>
      <c r="AI99" s="8">
        <f t="shared" si="33"/>
        <v>6</v>
      </c>
      <c r="AJ99" s="29">
        <f t="shared" si="34"/>
        <v>1</v>
      </c>
      <c r="AK99" s="62">
        <v>0</v>
      </c>
      <c r="AL99" s="33">
        <f t="shared" si="35"/>
        <v>15</v>
      </c>
      <c r="AM99" s="63">
        <f t="shared" si="36"/>
        <v>160</v>
      </c>
      <c r="AN99" s="63">
        <f t="shared" si="37"/>
        <v>3</v>
      </c>
      <c r="AO99" s="63">
        <f t="shared" si="38"/>
        <v>12</v>
      </c>
      <c r="AP99" s="53">
        <f t="shared" si="39"/>
        <v>13.5</v>
      </c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</row>
    <row r="100" spans="1:55" ht="22" customHeight="1" x14ac:dyDescent="0.35">
      <c r="A100" s="8" t="s">
        <v>219</v>
      </c>
      <c r="B100" s="8" t="s">
        <v>220</v>
      </c>
      <c r="C100" s="8" t="s">
        <v>216</v>
      </c>
      <c r="D100" s="27" t="s">
        <v>7</v>
      </c>
      <c r="E100" s="24" t="s">
        <v>9</v>
      </c>
      <c r="F100" s="26" t="s">
        <v>3</v>
      </c>
      <c r="G100" s="26" t="s">
        <v>3</v>
      </c>
      <c r="H100" s="26" t="s">
        <v>3</v>
      </c>
      <c r="I100" s="26" t="s">
        <v>3</v>
      </c>
      <c r="J100" s="26" t="s">
        <v>3</v>
      </c>
      <c r="K100" s="23" t="s">
        <v>7</v>
      </c>
      <c r="L100" s="24" t="s">
        <v>9</v>
      </c>
      <c r="M100" s="22" t="s">
        <v>5</v>
      </c>
      <c r="N100" s="26" t="s">
        <v>3</v>
      </c>
      <c r="O100" s="26" t="s">
        <v>3</v>
      </c>
      <c r="P100" s="26" t="s">
        <v>3</v>
      </c>
      <c r="Q100" s="26" t="s">
        <v>3</v>
      </c>
      <c r="R100" s="23" t="s">
        <v>7</v>
      </c>
      <c r="S100" s="24" t="s">
        <v>9</v>
      </c>
      <c r="T100" s="26" t="s">
        <v>3</v>
      </c>
      <c r="U100" s="26" t="s">
        <v>3</v>
      </c>
      <c r="V100" s="26" t="s">
        <v>3</v>
      </c>
      <c r="W100" s="26" t="s">
        <v>3</v>
      </c>
      <c r="X100" s="26" t="s">
        <v>3</v>
      </c>
      <c r="Y100" s="23" t="s">
        <v>7</v>
      </c>
      <c r="Z100" s="24" t="s">
        <v>9</v>
      </c>
      <c r="AA100" s="22" t="s">
        <v>5</v>
      </c>
      <c r="AB100" s="26" t="s">
        <v>3</v>
      </c>
      <c r="AC100" s="26" t="s">
        <v>3</v>
      </c>
      <c r="AD100" s="26" t="s">
        <v>3</v>
      </c>
      <c r="AE100" s="26" t="s">
        <v>3</v>
      </c>
      <c r="AF100" s="23" t="s">
        <v>7</v>
      </c>
      <c r="AG100" s="24" t="s">
        <v>9</v>
      </c>
      <c r="AH100" s="8">
        <f t="shared" si="32"/>
        <v>18</v>
      </c>
      <c r="AI100" s="8">
        <f t="shared" si="33"/>
        <v>2</v>
      </c>
      <c r="AJ100" s="8">
        <f t="shared" si="34"/>
        <v>0</v>
      </c>
      <c r="AK100" s="62">
        <v>1</v>
      </c>
      <c r="AL100" s="33">
        <f t="shared" si="35"/>
        <v>18.5</v>
      </c>
      <c r="AM100" s="63">
        <f t="shared" si="36"/>
        <v>160</v>
      </c>
      <c r="AN100" s="63">
        <f t="shared" si="37"/>
        <v>3</v>
      </c>
      <c r="AO100" s="63">
        <f t="shared" si="38"/>
        <v>12</v>
      </c>
      <c r="AP100" s="53">
        <f t="shared" si="39"/>
        <v>17</v>
      </c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</row>
    <row r="101" spans="1:55" ht="22" customHeight="1" x14ac:dyDescent="0.35">
      <c r="A101" s="8" t="s">
        <v>221</v>
      </c>
      <c r="B101" s="8" t="s">
        <v>222</v>
      </c>
      <c r="C101" s="8" t="s">
        <v>216</v>
      </c>
      <c r="D101" s="23" t="s">
        <v>7</v>
      </c>
      <c r="E101" s="24" t="s">
        <v>9</v>
      </c>
      <c r="F101" s="26" t="s">
        <v>3</v>
      </c>
      <c r="G101" s="26" t="s">
        <v>3</v>
      </c>
      <c r="H101" s="26" t="s">
        <v>3</v>
      </c>
      <c r="I101" s="26" t="s">
        <v>3</v>
      </c>
      <c r="J101" s="26" t="s">
        <v>3</v>
      </c>
      <c r="K101" s="23" t="s">
        <v>7</v>
      </c>
      <c r="L101" s="24" t="s">
        <v>9</v>
      </c>
      <c r="M101" s="26" t="s">
        <v>3</v>
      </c>
      <c r="N101" s="26" t="s">
        <v>3</v>
      </c>
      <c r="O101" s="26" t="s">
        <v>3</v>
      </c>
      <c r="P101" s="26" t="s">
        <v>3</v>
      </c>
      <c r="Q101" s="22" t="s">
        <v>5</v>
      </c>
      <c r="R101" s="23" t="s">
        <v>7</v>
      </c>
      <c r="S101" s="24" t="s">
        <v>9</v>
      </c>
      <c r="T101" s="26" t="s">
        <v>3</v>
      </c>
      <c r="U101" s="26" t="s">
        <v>3</v>
      </c>
      <c r="V101" s="26" t="s">
        <v>3</v>
      </c>
      <c r="W101" s="26" t="s">
        <v>3</v>
      </c>
      <c r="X101" s="26" t="s">
        <v>3</v>
      </c>
      <c r="Y101" s="23" t="s">
        <v>7</v>
      </c>
      <c r="Z101" s="24" t="s">
        <v>9</v>
      </c>
      <c r="AA101" s="26" t="s">
        <v>3</v>
      </c>
      <c r="AB101" s="26" t="s">
        <v>3</v>
      </c>
      <c r="AC101" s="26" t="s">
        <v>3</v>
      </c>
      <c r="AD101" s="26" t="s">
        <v>3</v>
      </c>
      <c r="AE101" s="26" t="s">
        <v>3</v>
      </c>
      <c r="AF101" s="23" t="s">
        <v>7</v>
      </c>
      <c r="AG101" s="24" t="s">
        <v>9</v>
      </c>
      <c r="AH101" s="8">
        <f t="shared" si="32"/>
        <v>19</v>
      </c>
      <c r="AI101" s="8">
        <f t="shared" si="33"/>
        <v>1</v>
      </c>
      <c r="AJ101" s="8">
        <f t="shared" si="34"/>
        <v>0</v>
      </c>
      <c r="AK101" s="62">
        <v>0</v>
      </c>
      <c r="AL101" s="33">
        <f t="shared" si="35"/>
        <v>19</v>
      </c>
      <c r="AM101" s="63">
        <f t="shared" si="36"/>
        <v>160</v>
      </c>
      <c r="AN101" s="63">
        <f t="shared" si="37"/>
        <v>3</v>
      </c>
      <c r="AO101" s="63">
        <f t="shared" si="38"/>
        <v>12</v>
      </c>
      <c r="AP101" s="53">
        <f t="shared" si="39"/>
        <v>17.5</v>
      </c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</row>
    <row r="102" spans="1:55" ht="22" customHeight="1" x14ac:dyDescent="0.35">
      <c r="A102" s="8" t="s">
        <v>223</v>
      </c>
      <c r="B102" s="8" t="s">
        <v>224</v>
      </c>
      <c r="C102" s="8" t="s">
        <v>216</v>
      </c>
      <c r="D102" s="23" t="s">
        <v>7</v>
      </c>
      <c r="E102" s="24" t="s">
        <v>9</v>
      </c>
      <c r="F102" s="26" t="s">
        <v>3</v>
      </c>
      <c r="G102" s="26" t="s">
        <v>3</v>
      </c>
      <c r="H102" s="26" t="s">
        <v>3</v>
      </c>
      <c r="I102" s="26" t="s">
        <v>3</v>
      </c>
      <c r="J102" s="26" t="s">
        <v>3</v>
      </c>
      <c r="K102" s="23" t="s">
        <v>7</v>
      </c>
      <c r="L102" s="24" t="s">
        <v>9</v>
      </c>
      <c r="M102" s="22" t="s">
        <v>5</v>
      </c>
      <c r="N102" s="26" t="s">
        <v>3</v>
      </c>
      <c r="O102" s="26" t="s">
        <v>3</v>
      </c>
      <c r="P102" s="26" t="s">
        <v>3</v>
      </c>
      <c r="Q102" s="22" t="s">
        <v>5</v>
      </c>
      <c r="R102" s="23" t="s">
        <v>7</v>
      </c>
      <c r="S102" s="24" t="s">
        <v>9</v>
      </c>
      <c r="T102" s="26" t="s">
        <v>3</v>
      </c>
      <c r="U102" s="26" t="s">
        <v>3</v>
      </c>
      <c r="V102" s="26" t="s">
        <v>3</v>
      </c>
      <c r="W102" s="26" t="s">
        <v>3</v>
      </c>
      <c r="X102" s="22" t="s">
        <v>5</v>
      </c>
      <c r="Y102" s="23" t="s">
        <v>7</v>
      </c>
      <c r="Z102" s="24" t="s">
        <v>9</v>
      </c>
      <c r="AA102" s="26" t="s">
        <v>3</v>
      </c>
      <c r="AB102" s="26" t="s">
        <v>3</v>
      </c>
      <c r="AC102" s="26" t="s">
        <v>3</v>
      </c>
      <c r="AD102" s="26" t="s">
        <v>3</v>
      </c>
      <c r="AE102" s="26" t="s">
        <v>3</v>
      </c>
      <c r="AF102" s="23" t="s">
        <v>7</v>
      </c>
      <c r="AG102" s="24" t="s">
        <v>9</v>
      </c>
      <c r="AH102" s="8">
        <f t="shared" si="32"/>
        <v>17</v>
      </c>
      <c r="AI102" s="8">
        <f t="shared" si="33"/>
        <v>3</v>
      </c>
      <c r="AJ102" s="8">
        <f t="shared" si="34"/>
        <v>0</v>
      </c>
      <c r="AK102" s="62">
        <v>0</v>
      </c>
      <c r="AL102" s="33">
        <f t="shared" si="35"/>
        <v>17</v>
      </c>
      <c r="AM102" s="63">
        <f t="shared" si="36"/>
        <v>160</v>
      </c>
      <c r="AN102" s="63">
        <f t="shared" si="37"/>
        <v>2</v>
      </c>
      <c r="AO102" s="63">
        <f t="shared" si="38"/>
        <v>8</v>
      </c>
      <c r="AP102" s="53">
        <f t="shared" si="39"/>
        <v>16</v>
      </c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</row>
    <row r="103" spans="1:55" ht="22" customHeight="1" x14ac:dyDescent="0.35">
      <c r="A103" s="8" t="s">
        <v>225</v>
      </c>
      <c r="B103" s="8" t="s">
        <v>226</v>
      </c>
      <c r="C103" s="8" t="s">
        <v>216</v>
      </c>
      <c r="D103" s="23" t="s">
        <v>7</v>
      </c>
      <c r="E103" s="24" t="s">
        <v>9</v>
      </c>
      <c r="F103" s="26" t="s">
        <v>3</v>
      </c>
      <c r="G103" s="26" t="s">
        <v>3</v>
      </c>
      <c r="H103" s="26" t="s">
        <v>3</v>
      </c>
      <c r="I103" s="26" t="s">
        <v>3</v>
      </c>
      <c r="J103" s="22" t="s">
        <v>5</v>
      </c>
      <c r="K103" s="23" t="s">
        <v>7</v>
      </c>
      <c r="L103" s="24" t="s">
        <v>9</v>
      </c>
      <c r="M103" s="26" t="s">
        <v>3</v>
      </c>
      <c r="N103" s="26" t="s">
        <v>3</v>
      </c>
      <c r="O103" s="26" t="s">
        <v>3</v>
      </c>
      <c r="P103" s="26" t="s">
        <v>3</v>
      </c>
      <c r="Q103" s="26" t="s">
        <v>3</v>
      </c>
      <c r="R103" s="23" t="s">
        <v>7</v>
      </c>
      <c r="S103" s="24" t="s">
        <v>9</v>
      </c>
      <c r="T103" s="22" t="s">
        <v>5</v>
      </c>
      <c r="U103" s="22" t="s">
        <v>5</v>
      </c>
      <c r="V103" s="26" t="s">
        <v>3</v>
      </c>
      <c r="W103" s="26" t="s">
        <v>3</v>
      </c>
      <c r="X103" s="22" t="s">
        <v>5</v>
      </c>
      <c r="Y103" s="23" t="s">
        <v>7</v>
      </c>
      <c r="Z103" s="24" t="s">
        <v>9</v>
      </c>
      <c r="AA103" s="26" t="s">
        <v>3</v>
      </c>
      <c r="AB103" s="26" t="s">
        <v>3</v>
      </c>
      <c r="AC103" s="26" t="s">
        <v>3</v>
      </c>
      <c r="AD103" s="26" t="s">
        <v>3</v>
      </c>
      <c r="AE103" s="26" t="s">
        <v>3</v>
      </c>
      <c r="AF103" s="23" t="s">
        <v>7</v>
      </c>
      <c r="AG103" s="24" t="s">
        <v>9</v>
      </c>
      <c r="AH103" s="8">
        <f t="shared" si="32"/>
        <v>16</v>
      </c>
      <c r="AI103" s="8">
        <f t="shared" si="33"/>
        <v>4</v>
      </c>
      <c r="AJ103" s="8">
        <f t="shared" si="34"/>
        <v>0</v>
      </c>
      <c r="AK103" s="62">
        <v>0</v>
      </c>
      <c r="AL103" s="33">
        <f t="shared" si="35"/>
        <v>16</v>
      </c>
      <c r="AM103" s="63">
        <f t="shared" si="36"/>
        <v>160</v>
      </c>
      <c r="AN103" s="63">
        <f t="shared" si="37"/>
        <v>2</v>
      </c>
      <c r="AO103" s="63">
        <f t="shared" si="38"/>
        <v>8</v>
      </c>
      <c r="AP103" s="53">
        <f t="shared" si="39"/>
        <v>15</v>
      </c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</row>
    <row r="104" spans="1:55" ht="22" customHeight="1" x14ac:dyDescent="0.35">
      <c r="A104" s="8" t="s">
        <v>227</v>
      </c>
      <c r="B104" s="8" t="s">
        <v>228</v>
      </c>
      <c r="C104" s="8" t="s">
        <v>216</v>
      </c>
      <c r="D104" s="23" t="s">
        <v>7</v>
      </c>
      <c r="E104" s="24" t="s">
        <v>9</v>
      </c>
      <c r="F104" s="26" t="s">
        <v>3</v>
      </c>
      <c r="G104" s="26" t="s">
        <v>3</v>
      </c>
      <c r="H104" s="26" t="s">
        <v>3</v>
      </c>
      <c r="I104" s="26" t="s">
        <v>3</v>
      </c>
      <c r="J104" s="26" t="s">
        <v>3</v>
      </c>
      <c r="K104" s="23" t="s">
        <v>7</v>
      </c>
      <c r="L104" s="24" t="s">
        <v>9</v>
      </c>
      <c r="M104" s="26" t="s">
        <v>3</v>
      </c>
      <c r="N104" s="26" t="s">
        <v>3</v>
      </c>
      <c r="O104" s="26" t="s">
        <v>3</v>
      </c>
      <c r="P104" s="26" t="s">
        <v>3</v>
      </c>
      <c r="Q104" s="26" t="s">
        <v>3</v>
      </c>
      <c r="R104" s="23" t="s">
        <v>7</v>
      </c>
      <c r="S104" s="24" t="s">
        <v>9</v>
      </c>
      <c r="T104" s="26" t="s">
        <v>3</v>
      </c>
      <c r="U104" s="26" t="s">
        <v>3</v>
      </c>
      <c r="V104" s="26" t="s">
        <v>3</v>
      </c>
      <c r="W104" s="26" t="s">
        <v>3</v>
      </c>
      <c r="X104" s="26" t="s">
        <v>3</v>
      </c>
      <c r="Y104" s="23" t="s">
        <v>7</v>
      </c>
      <c r="Z104" s="24" t="s">
        <v>9</v>
      </c>
      <c r="AA104" s="26" t="s">
        <v>3</v>
      </c>
      <c r="AB104" s="26" t="s">
        <v>3</v>
      </c>
      <c r="AC104" s="26" t="s">
        <v>3</v>
      </c>
      <c r="AD104" s="26" t="s">
        <v>3</v>
      </c>
      <c r="AE104" s="26" t="s">
        <v>3</v>
      </c>
      <c r="AF104" s="23" t="s">
        <v>7</v>
      </c>
      <c r="AG104" s="24" t="s">
        <v>9</v>
      </c>
      <c r="AH104" s="8">
        <f t="shared" si="32"/>
        <v>20</v>
      </c>
      <c r="AI104" s="8">
        <f t="shared" si="33"/>
        <v>0</v>
      </c>
      <c r="AJ104" s="8">
        <f t="shared" si="34"/>
        <v>0</v>
      </c>
      <c r="AK104" s="62">
        <v>0</v>
      </c>
      <c r="AL104" s="33">
        <f t="shared" si="35"/>
        <v>20</v>
      </c>
      <c r="AM104" s="63">
        <f t="shared" si="36"/>
        <v>160</v>
      </c>
      <c r="AN104" s="63">
        <f t="shared" si="37"/>
        <v>4</v>
      </c>
      <c r="AO104" s="63">
        <f t="shared" si="38"/>
        <v>16</v>
      </c>
      <c r="AP104" s="53">
        <f t="shared" si="39"/>
        <v>18</v>
      </c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</row>
    <row r="105" spans="1:55" ht="22" customHeight="1" x14ac:dyDescent="0.35">
      <c r="A105" s="8" t="s">
        <v>229</v>
      </c>
      <c r="B105" s="8" t="s">
        <v>230</v>
      </c>
      <c r="C105" s="8" t="s">
        <v>216</v>
      </c>
      <c r="D105" s="23" t="s">
        <v>7</v>
      </c>
      <c r="E105" s="24" t="s">
        <v>9</v>
      </c>
      <c r="F105" s="22" t="s">
        <v>5</v>
      </c>
      <c r="G105" s="22" t="s">
        <v>5</v>
      </c>
      <c r="H105" s="22" t="s">
        <v>5</v>
      </c>
      <c r="I105" s="22" t="s">
        <v>5</v>
      </c>
      <c r="J105" s="22" t="s">
        <v>5</v>
      </c>
      <c r="K105" s="23" t="s">
        <v>7</v>
      </c>
      <c r="L105" s="24" t="s">
        <v>9</v>
      </c>
      <c r="M105" s="22" t="s">
        <v>5</v>
      </c>
      <c r="N105" s="22" t="s">
        <v>5</v>
      </c>
      <c r="O105" s="22" t="s">
        <v>5</v>
      </c>
      <c r="P105" s="22" t="s">
        <v>5</v>
      </c>
      <c r="Q105" s="22" t="s">
        <v>5</v>
      </c>
      <c r="R105" s="23" t="s">
        <v>7</v>
      </c>
      <c r="S105" s="24" t="s">
        <v>9</v>
      </c>
      <c r="T105" s="22" t="s">
        <v>5</v>
      </c>
      <c r="U105" s="22" t="s">
        <v>5</v>
      </c>
      <c r="V105" s="22" t="s">
        <v>5</v>
      </c>
      <c r="W105" s="22" t="s">
        <v>5</v>
      </c>
      <c r="X105" s="22" t="s">
        <v>5</v>
      </c>
      <c r="Y105" s="23" t="s">
        <v>7</v>
      </c>
      <c r="Z105" s="24" t="s">
        <v>9</v>
      </c>
      <c r="AA105" s="22" t="s">
        <v>5</v>
      </c>
      <c r="AB105" s="22" t="s">
        <v>5</v>
      </c>
      <c r="AC105" s="22" t="s">
        <v>5</v>
      </c>
      <c r="AD105" s="22" t="s">
        <v>5</v>
      </c>
      <c r="AE105" s="22" t="s">
        <v>5</v>
      </c>
      <c r="AF105" s="23" t="s">
        <v>7</v>
      </c>
      <c r="AG105" s="24" t="s">
        <v>9</v>
      </c>
      <c r="AH105" s="8">
        <f t="shared" si="32"/>
        <v>0</v>
      </c>
      <c r="AI105" s="25">
        <f t="shared" si="33"/>
        <v>20</v>
      </c>
      <c r="AJ105" s="8">
        <f t="shared" si="34"/>
        <v>0</v>
      </c>
      <c r="AK105" s="62">
        <v>0</v>
      </c>
      <c r="AL105" s="33">
        <f t="shared" si="35"/>
        <v>0</v>
      </c>
      <c r="AM105" s="63">
        <f t="shared" si="36"/>
        <v>160</v>
      </c>
      <c r="AN105" s="63">
        <f t="shared" si="37"/>
        <v>0</v>
      </c>
      <c r="AO105" s="63">
        <f t="shared" si="38"/>
        <v>0</v>
      </c>
      <c r="AP105" s="53">
        <f t="shared" si="39"/>
        <v>0</v>
      </c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</row>
    <row r="106" spans="1:55" ht="22" customHeight="1" x14ac:dyDescent="0.35">
      <c r="A106" s="8" t="s">
        <v>231</v>
      </c>
      <c r="B106" s="8" t="s">
        <v>232</v>
      </c>
      <c r="C106" s="8" t="s">
        <v>216</v>
      </c>
      <c r="D106" s="27" t="s">
        <v>7</v>
      </c>
      <c r="E106" s="24" t="s">
        <v>9</v>
      </c>
      <c r="F106" s="26" t="s">
        <v>3</v>
      </c>
      <c r="G106" s="26" t="s">
        <v>3</v>
      </c>
      <c r="H106" s="26" t="s">
        <v>3</v>
      </c>
      <c r="I106" s="26" t="s">
        <v>3</v>
      </c>
      <c r="J106" s="26" t="s">
        <v>3</v>
      </c>
      <c r="K106" s="23" t="s">
        <v>7</v>
      </c>
      <c r="L106" s="28" t="s">
        <v>11</v>
      </c>
      <c r="M106" s="26" t="s">
        <v>3</v>
      </c>
      <c r="N106" s="26" t="s">
        <v>3</v>
      </c>
      <c r="O106" s="26" t="s">
        <v>3</v>
      </c>
      <c r="P106" s="26" t="s">
        <v>3</v>
      </c>
      <c r="Q106" s="26" t="s">
        <v>3</v>
      </c>
      <c r="R106" s="23" t="s">
        <v>7</v>
      </c>
      <c r="S106" s="28" t="s">
        <v>11</v>
      </c>
      <c r="T106" s="26" t="s">
        <v>3</v>
      </c>
      <c r="U106" s="26" t="s">
        <v>3</v>
      </c>
      <c r="V106" s="26" t="s">
        <v>3</v>
      </c>
      <c r="W106" s="22" t="s">
        <v>5</v>
      </c>
      <c r="X106" s="26" t="s">
        <v>3</v>
      </c>
      <c r="Y106" s="23" t="s">
        <v>7</v>
      </c>
      <c r="Z106" s="28" t="s">
        <v>11</v>
      </c>
      <c r="AA106" s="26" t="s">
        <v>3</v>
      </c>
      <c r="AB106" s="26" t="s">
        <v>3</v>
      </c>
      <c r="AC106" s="26" t="s">
        <v>3</v>
      </c>
      <c r="AD106" s="22" t="s">
        <v>5</v>
      </c>
      <c r="AE106" s="26" t="s">
        <v>3</v>
      </c>
      <c r="AF106" s="23" t="s">
        <v>7</v>
      </c>
      <c r="AG106" s="24" t="s">
        <v>9</v>
      </c>
      <c r="AH106" s="8">
        <f t="shared" si="32"/>
        <v>18</v>
      </c>
      <c r="AI106" s="8">
        <f t="shared" si="33"/>
        <v>2</v>
      </c>
      <c r="AJ106" s="29">
        <f t="shared" si="34"/>
        <v>3</v>
      </c>
      <c r="AK106" s="62">
        <v>1</v>
      </c>
      <c r="AL106" s="33">
        <f t="shared" si="35"/>
        <v>21.5</v>
      </c>
      <c r="AM106" s="63">
        <f t="shared" si="36"/>
        <v>160</v>
      </c>
      <c r="AN106" s="63">
        <f t="shared" si="37"/>
        <v>3</v>
      </c>
      <c r="AO106" s="63">
        <f t="shared" si="38"/>
        <v>12</v>
      </c>
      <c r="AP106" s="53">
        <f t="shared" si="39"/>
        <v>20</v>
      </c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</row>
    <row r="107" spans="1:55" ht="22" customHeight="1" x14ac:dyDescent="0.35">
      <c r="A107" s="8" t="s">
        <v>233</v>
      </c>
      <c r="B107" s="8" t="s">
        <v>234</v>
      </c>
      <c r="C107" s="8" t="s">
        <v>216</v>
      </c>
      <c r="D107" s="23" t="s">
        <v>7</v>
      </c>
      <c r="E107" s="24" t="s">
        <v>9</v>
      </c>
      <c r="F107" s="26" t="s">
        <v>3</v>
      </c>
      <c r="G107" s="26" t="s">
        <v>3</v>
      </c>
      <c r="H107" s="26" t="s">
        <v>3</v>
      </c>
      <c r="I107" s="26" t="s">
        <v>3</v>
      </c>
      <c r="J107" s="26" t="s">
        <v>3</v>
      </c>
      <c r="K107" s="23" t="s">
        <v>7</v>
      </c>
      <c r="L107" s="24" t="s">
        <v>9</v>
      </c>
      <c r="M107" s="26" t="s">
        <v>3</v>
      </c>
      <c r="N107" s="26" t="s">
        <v>3</v>
      </c>
      <c r="O107" s="26" t="s">
        <v>3</v>
      </c>
      <c r="P107" s="26" t="s">
        <v>3</v>
      </c>
      <c r="Q107" s="26" t="s">
        <v>3</v>
      </c>
      <c r="R107" s="27" t="s">
        <v>7</v>
      </c>
      <c r="S107" s="24" t="s">
        <v>9</v>
      </c>
      <c r="T107" s="26" t="s">
        <v>3</v>
      </c>
      <c r="U107" s="26" t="s">
        <v>3</v>
      </c>
      <c r="V107" s="26" t="s">
        <v>3</v>
      </c>
      <c r="W107" s="26" t="s">
        <v>3</v>
      </c>
      <c r="X107" s="26" t="s">
        <v>3</v>
      </c>
      <c r="Y107" s="23" t="s">
        <v>7</v>
      </c>
      <c r="Z107" s="24" t="s">
        <v>9</v>
      </c>
      <c r="AA107" s="26" t="s">
        <v>3</v>
      </c>
      <c r="AB107" s="26" t="s">
        <v>3</v>
      </c>
      <c r="AC107" s="26" t="s">
        <v>3</v>
      </c>
      <c r="AD107" s="26" t="s">
        <v>3</v>
      </c>
      <c r="AE107" s="26" t="s">
        <v>3</v>
      </c>
      <c r="AF107" s="23" t="s">
        <v>7</v>
      </c>
      <c r="AG107" s="24" t="s">
        <v>9</v>
      </c>
      <c r="AH107" s="8">
        <f t="shared" si="32"/>
        <v>20</v>
      </c>
      <c r="AI107" s="8">
        <f t="shared" si="33"/>
        <v>0</v>
      </c>
      <c r="AJ107" s="8">
        <f t="shared" si="34"/>
        <v>0</v>
      </c>
      <c r="AK107" s="62">
        <v>1</v>
      </c>
      <c r="AL107" s="33">
        <f t="shared" si="35"/>
        <v>20.5</v>
      </c>
      <c r="AM107" s="63">
        <f t="shared" si="36"/>
        <v>160</v>
      </c>
      <c r="AN107" s="63">
        <f t="shared" si="37"/>
        <v>3</v>
      </c>
      <c r="AO107" s="63">
        <f t="shared" si="38"/>
        <v>12</v>
      </c>
      <c r="AP107" s="53">
        <f t="shared" si="39"/>
        <v>19</v>
      </c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</row>
    <row r="108" spans="1:55" ht="22" customHeight="1" x14ac:dyDescent="0.35">
      <c r="A108" s="8" t="s">
        <v>235</v>
      </c>
      <c r="B108" s="8" t="s">
        <v>236</v>
      </c>
      <c r="C108" s="8" t="s">
        <v>216</v>
      </c>
      <c r="D108" s="27" t="s">
        <v>7</v>
      </c>
      <c r="E108" s="24" t="s">
        <v>9</v>
      </c>
      <c r="F108" s="26" t="s">
        <v>3</v>
      </c>
      <c r="G108" s="26" t="s">
        <v>3</v>
      </c>
      <c r="H108" s="26" t="s">
        <v>3</v>
      </c>
      <c r="I108" s="26" t="s">
        <v>3</v>
      </c>
      <c r="J108" s="26" t="s">
        <v>3</v>
      </c>
      <c r="K108" s="23" t="s">
        <v>7</v>
      </c>
      <c r="L108" s="24" t="s">
        <v>9</v>
      </c>
      <c r="M108" s="26" t="s">
        <v>3</v>
      </c>
      <c r="N108" s="26" t="s">
        <v>3</v>
      </c>
      <c r="O108" s="26" t="s">
        <v>3</v>
      </c>
      <c r="P108" s="26" t="s">
        <v>3</v>
      </c>
      <c r="Q108" s="26" t="s">
        <v>3</v>
      </c>
      <c r="R108" s="23" t="s">
        <v>7</v>
      </c>
      <c r="S108" s="24" t="s">
        <v>9</v>
      </c>
      <c r="T108" s="22" t="s">
        <v>5</v>
      </c>
      <c r="U108" s="22" t="s">
        <v>5</v>
      </c>
      <c r="V108" s="22" t="s">
        <v>5</v>
      </c>
      <c r="W108" s="26" t="s">
        <v>3</v>
      </c>
      <c r="X108" s="26" t="s">
        <v>3</v>
      </c>
      <c r="Y108" s="23" t="s">
        <v>7</v>
      </c>
      <c r="Z108" s="24" t="s">
        <v>9</v>
      </c>
      <c r="AA108" s="26" t="s">
        <v>3</v>
      </c>
      <c r="AB108" s="26" t="s">
        <v>3</v>
      </c>
      <c r="AC108" s="26" t="s">
        <v>3</v>
      </c>
      <c r="AD108" s="22" t="s">
        <v>5</v>
      </c>
      <c r="AE108" s="26" t="s">
        <v>3</v>
      </c>
      <c r="AF108" s="23" t="s">
        <v>7</v>
      </c>
      <c r="AG108" s="24" t="s">
        <v>9</v>
      </c>
      <c r="AH108" s="8">
        <f t="shared" si="32"/>
        <v>16</v>
      </c>
      <c r="AI108" s="8">
        <f t="shared" si="33"/>
        <v>4</v>
      </c>
      <c r="AJ108" s="8">
        <f t="shared" si="34"/>
        <v>0</v>
      </c>
      <c r="AK108" s="62">
        <v>1</v>
      </c>
      <c r="AL108" s="33">
        <f t="shared" si="35"/>
        <v>16.5</v>
      </c>
      <c r="AM108" s="63">
        <f t="shared" si="36"/>
        <v>160</v>
      </c>
      <c r="AN108" s="63">
        <f t="shared" si="37"/>
        <v>3</v>
      </c>
      <c r="AO108" s="63">
        <f t="shared" si="38"/>
        <v>12</v>
      </c>
      <c r="AP108" s="53">
        <f t="shared" si="39"/>
        <v>15</v>
      </c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</row>
    <row r="109" spans="1:55" ht="22" customHeight="1" x14ac:dyDescent="0.35">
      <c r="A109" s="8" t="s">
        <v>237</v>
      </c>
      <c r="B109" s="8" t="s">
        <v>238</v>
      </c>
      <c r="C109" s="8" t="s">
        <v>216</v>
      </c>
      <c r="D109" s="27" t="s">
        <v>7</v>
      </c>
      <c r="E109" s="24" t="s">
        <v>9</v>
      </c>
      <c r="F109" s="26" t="s">
        <v>3</v>
      </c>
      <c r="G109" s="22" t="s">
        <v>5</v>
      </c>
      <c r="H109" s="26" t="s">
        <v>3</v>
      </c>
      <c r="I109" s="26" t="s">
        <v>3</v>
      </c>
      <c r="J109" s="26" t="s">
        <v>3</v>
      </c>
      <c r="K109" s="23" t="s">
        <v>7</v>
      </c>
      <c r="L109" s="24" t="s">
        <v>9</v>
      </c>
      <c r="M109" s="22" t="s">
        <v>5</v>
      </c>
      <c r="N109" s="22" t="s">
        <v>5</v>
      </c>
      <c r="O109" s="26" t="s">
        <v>3</v>
      </c>
      <c r="P109" s="26" t="s">
        <v>3</v>
      </c>
      <c r="Q109" s="26" t="s">
        <v>3</v>
      </c>
      <c r="R109" s="23" t="s">
        <v>7</v>
      </c>
      <c r="S109" s="24" t="s">
        <v>9</v>
      </c>
      <c r="T109" s="26" t="s">
        <v>3</v>
      </c>
      <c r="U109" s="26" t="s">
        <v>3</v>
      </c>
      <c r="V109" s="26" t="s">
        <v>3</v>
      </c>
      <c r="W109" s="26" t="s">
        <v>3</v>
      </c>
      <c r="X109" s="26" t="s">
        <v>3</v>
      </c>
      <c r="Y109" s="23" t="s">
        <v>7</v>
      </c>
      <c r="Z109" s="24" t="s">
        <v>9</v>
      </c>
      <c r="AA109" s="22" t="s">
        <v>5</v>
      </c>
      <c r="AB109" s="26" t="s">
        <v>3</v>
      </c>
      <c r="AC109" s="26" t="s">
        <v>3</v>
      </c>
      <c r="AD109" s="26" t="s">
        <v>3</v>
      </c>
      <c r="AE109" s="26" t="s">
        <v>3</v>
      </c>
      <c r="AF109" s="23" t="s">
        <v>7</v>
      </c>
      <c r="AG109" s="24" t="s">
        <v>9</v>
      </c>
      <c r="AH109" s="8">
        <f t="shared" si="32"/>
        <v>16</v>
      </c>
      <c r="AI109" s="8">
        <f t="shared" si="33"/>
        <v>4</v>
      </c>
      <c r="AJ109" s="8">
        <f t="shared" si="34"/>
        <v>0</v>
      </c>
      <c r="AK109" s="62">
        <v>1</v>
      </c>
      <c r="AL109" s="33">
        <f t="shared" si="35"/>
        <v>16.5</v>
      </c>
      <c r="AM109" s="63">
        <f t="shared" si="36"/>
        <v>160</v>
      </c>
      <c r="AN109" s="63">
        <f t="shared" si="37"/>
        <v>3</v>
      </c>
      <c r="AO109" s="63">
        <f t="shared" si="38"/>
        <v>12</v>
      </c>
      <c r="AP109" s="53">
        <f t="shared" si="39"/>
        <v>15</v>
      </c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</row>
    <row r="110" spans="1:55" ht="22" customHeight="1" x14ac:dyDescent="0.35">
      <c r="A110" s="8" t="s">
        <v>239</v>
      </c>
      <c r="B110" s="8" t="s">
        <v>240</v>
      </c>
      <c r="C110" s="8" t="s">
        <v>216</v>
      </c>
      <c r="D110" s="23" t="s">
        <v>7</v>
      </c>
      <c r="E110" s="24" t="s">
        <v>9</v>
      </c>
      <c r="F110" s="26" t="s">
        <v>3</v>
      </c>
      <c r="G110" s="26" t="s">
        <v>3</v>
      </c>
      <c r="H110" s="26" t="s">
        <v>3</v>
      </c>
      <c r="I110" s="26" t="s">
        <v>3</v>
      </c>
      <c r="J110" s="26" t="s">
        <v>3</v>
      </c>
      <c r="K110" s="23" t="s">
        <v>7</v>
      </c>
      <c r="L110" s="24" t="s">
        <v>9</v>
      </c>
      <c r="M110" s="26" t="s">
        <v>3</v>
      </c>
      <c r="N110" s="26" t="s">
        <v>3</v>
      </c>
      <c r="O110" s="26" t="s">
        <v>3</v>
      </c>
      <c r="P110" s="26" t="s">
        <v>3</v>
      </c>
      <c r="Q110" s="26" t="s">
        <v>3</v>
      </c>
      <c r="R110" s="23" t="s">
        <v>7</v>
      </c>
      <c r="S110" s="24" t="s">
        <v>9</v>
      </c>
      <c r="T110" s="26" t="s">
        <v>3</v>
      </c>
      <c r="U110" s="26" t="s">
        <v>3</v>
      </c>
      <c r="V110" s="26" t="s">
        <v>3</v>
      </c>
      <c r="W110" s="22" t="s">
        <v>5</v>
      </c>
      <c r="X110" s="22" t="s">
        <v>5</v>
      </c>
      <c r="Y110" s="23" t="s">
        <v>7</v>
      </c>
      <c r="Z110" s="24" t="s">
        <v>9</v>
      </c>
      <c r="AA110" s="22" t="s">
        <v>5</v>
      </c>
      <c r="AB110" s="26" t="s">
        <v>3</v>
      </c>
      <c r="AC110" s="26" t="s">
        <v>3</v>
      </c>
      <c r="AD110" s="26" t="s">
        <v>3</v>
      </c>
      <c r="AE110" s="26" t="s">
        <v>3</v>
      </c>
      <c r="AF110" s="23" t="s">
        <v>7</v>
      </c>
      <c r="AG110" s="24" t="s">
        <v>9</v>
      </c>
      <c r="AH110" s="8">
        <f t="shared" si="32"/>
        <v>17</v>
      </c>
      <c r="AI110" s="8">
        <f t="shared" si="33"/>
        <v>3</v>
      </c>
      <c r="AJ110" s="8">
        <f t="shared" si="34"/>
        <v>0</v>
      </c>
      <c r="AK110" s="62">
        <v>0</v>
      </c>
      <c r="AL110" s="33">
        <f t="shared" si="35"/>
        <v>17</v>
      </c>
      <c r="AM110" s="63">
        <f t="shared" si="36"/>
        <v>160</v>
      </c>
      <c r="AN110" s="63">
        <f t="shared" si="37"/>
        <v>3</v>
      </c>
      <c r="AO110" s="63">
        <f t="shared" si="38"/>
        <v>12</v>
      </c>
      <c r="AP110" s="53">
        <f t="shared" si="39"/>
        <v>15.5</v>
      </c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</row>
    <row r="111" spans="1:55" ht="22" customHeight="1" x14ac:dyDescent="0.35">
      <c r="A111" s="8" t="s">
        <v>241</v>
      </c>
      <c r="B111" s="8" t="s">
        <v>242</v>
      </c>
      <c r="C111" s="8" t="s">
        <v>216</v>
      </c>
      <c r="D111" s="23" t="s">
        <v>7</v>
      </c>
      <c r="E111" s="24" t="s">
        <v>9</v>
      </c>
      <c r="F111" s="22" t="s">
        <v>5</v>
      </c>
      <c r="G111" s="22" t="s">
        <v>5</v>
      </c>
      <c r="H111" s="26" t="s">
        <v>3</v>
      </c>
      <c r="I111" s="26" t="s">
        <v>3</v>
      </c>
      <c r="J111" s="26" t="s">
        <v>3</v>
      </c>
      <c r="K111" s="23" t="s">
        <v>7</v>
      </c>
      <c r="L111" s="24" t="s">
        <v>9</v>
      </c>
      <c r="M111" s="26" t="s">
        <v>3</v>
      </c>
      <c r="N111" s="26" t="s">
        <v>3</v>
      </c>
      <c r="O111" s="26" t="s">
        <v>3</v>
      </c>
      <c r="P111" s="26" t="s">
        <v>3</v>
      </c>
      <c r="Q111" s="26" t="s">
        <v>3</v>
      </c>
      <c r="R111" s="23" t="s">
        <v>7</v>
      </c>
      <c r="S111" s="24" t="s">
        <v>9</v>
      </c>
      <c r="T111" s="26" t="s">
        <v>3</v>
      </c>
      <c r="U111" s="26" t="s">
        <v>3</v>
      </c>
      <c r="V111" s="26" t="s">
        <v>3</v>
      </c>
      <c r="W111" s="26" t="s">
        <v>3</v>
      </c>
      <c r="X111" s="26" t="s">
        <v>3</v>
      </c>
      <c r="Y111" s="23" t="s">
        <v>7</v>
      </c>
      <c r="Z111" s="24" t="s">
        <v>9</v>
      </c>
      <c r="AA111" s="26" t="s">
        <v>3</v>
      </c>
      <c r="AB111" s="26" t="s">
        <v>3</v>
      </c>
      <c r="AC111" s="26" t="s">
        <v>3</v>
      </c>
      <c r="AD111" s="26" t="s">
        <v>3</v>
      </c>
      <c r="AE111" s="26" t="s">
        <v>3</v>
      </c>
      <c r="AF111" s="23" t="s">
        <v>7</v>
      </c>
      <c r="AG111" s="24" t="s">
        <v>9</v>
      </c>
      <c r="AH111" s="8">
        <f t="shared" si="32"/>
        <v>18</v>
      </c>
      <c r="AI111" s="8">
        <f t="shared" si="33"/>
        <v>2</v>
      </c>
      <c r="AJ111" s="8">
        <f t="shared" si="34"/>
        <v>0</v>
      </c>
      <c r="AK111" s="62">
        <v>0</v>
      </c>
      <c r="AL111" s="33">
        <f t="shared" si="35"/>
        <v>18</v>
      </c>
      <c r="AM111" s="63">
        <f t="shared" si="36"/>
        <v>160</v>
      </c>
      <c r="AN111" s="63">
        <f t="shared" si="37"/>
        <v>4</v>
      </c>
      <c r="AO111" s="63">
        <f t="shared" si="38"/>
        <v>16</v>
      </c>
      <c r="AP111" s="53">
        <f t="shared" si="39"/>
        <v>16</v>
      </c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</row>
    <row r="112" spans="1:55" x14ac:dyDescent="0.35"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</row>
    <row r="113" spans="1:55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</row>
    <row r="114" spans="1:55" ht="22" customHeight="1" x14ac:dyDescent="0.35">
      <c r="A114" s="8" t="s">
        <v>244</v>
      </c>
      <c r="B114" s="8" t="s">
        <v>245</v>
      </c>
      <c r="C114" s="8" t="s">
        <v>354</v>
      </c>
      <c r="D114" s="23" t="s">
        <v>7</v>
      </c>
      <c r="E114" s="24" t="s">
        <v>9</v>
      </c>
      <c r="F114" s="22" t="s">
        <v>5</v>
      </c>
      <c r="G114" s="22" t="s">
        <v>5</v>
      </c>
      <c r="H114" s="22" t="s">
        <v>5</v>
      </c>
      <c r="I114" s="22" t="s">
        <v>5</v>
      </c>
      <c r="J114" s="22" t="s">
        <v>5</v>
      </c>
      <c r="K114" s="23" t="s">
        <v>7</v>
      </c>
      <c r="L114" s="24" t="s">
        <v>9</v>
      </c>
      <c r="M114" s="22" t="s">
        <v>5</v>
      </c>
      <c r="N114" s="22" t="s">
        <v>5</v>
      </c>
      <c r="O114" s="22" t="s">
        <v>5</v>
      </c>
      <c r="P114" s="22" t="s">
        <v>5</v>
      </c>
      <c r="Q114" s="22" t="s">
        <v>5</v>
      </c>
      <c r="R114" s="23" t="s">
        <v>7</v>
      </c>
      <c r="S114" s="24" t="s">
        <v>9</v>
      </c>
      <c r="T114" s="22" t="s">
        <v>5</v>
      </c>
      <c r="U114" s="22" t="s">
        <v>5</v>
      </c>
      <c r="V114" s="22" t="s">
        <v>5</v>
      </c>
      <c r="W114" s="22" t="s">
        <v>5</v>
      </c>
      <c r="X114" s="22" t="s">
        <v>5</v>
      </c>
      <c r="Y114" s="23" t="s">
        <v>7</v>
      </c>
      <c r="Z114" s="24" t="s">
        <v>9</v>
      </c>
      <c r="AA114" s="22" t="s">
        <v>5</v>
      </c>
      <c r="AB114" s="22" t="s">
        <v>5</v>
      </c>
      <c r="AC114" s="22" t="s">
        <v>5</v>
      </c>
      <c r="AD114" s="22" t="s">
        <v>5</v>
      </c>
      <c r="AE114" s="22" t="s">
        <v>5</v>
      </c>
      <c r="AF114" s="23" t="s">
        <v>7</v>
      </c>
      <c r="AG114" s="24" t="s">
        <v>9</v>
      </c>
      <c r="AH114" s="8">
        <f>COUNTIF(D114:AG114,"ON")</f>
        <v>0</v>
      </c>
      <c r="AI114" s="25">
        <f>COUNTIF(D114:AG114,"OFF")</f>
        <v>20</v>
      </c>
      <c r="AJ114" s="8">
        <f>COUNTIF(D114:AG114,"OT")</f>
        <v>0</v>
      </c>
      <c r="AK114" s="62">
        <v>0</v>
      </c>
      <c r="AL114" s="33">
        <f>AH114+AJ114+AK114*0.5</f>
        <v>0</v>
      </c>
      <c r="AM114" s="63">
        <f>NETWORKDAYS(DATE(2025,11,1),EOMONTH(DATE(2025,11,1),0))*8</f>
        <v>160</v>
      </c>
      <c r="AN114" s="63">
        <f>MAX(0,COUNTIF(J114,"ON")+COUNTIF(Q114,"ON")+COUNTIF(X114,"ON")+COUNTIF(AE114,"ON")-AK114)</f>
        <v>0</v>
      </c>
      <c r="AO114" s="63">
        <f>AN114*$AO$2</f>
        <v>0</v>
      </c>
      <c r="AP114" s="53">
        <f>AL114-AO114/8</f>
        <v>0</v>
      </c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</row>
    <row r="115" spans="1:55" ht="22" customHeight="1" x14ac:dyDescent="0.35">
      <c r="A115" s="8" t="s">
        <v>247</v>
      </c>
      <c r="B115" s="8" t="s">
        <v>248</v>
      </c>
      <c r="C115" s="8" t="s">
        <v>354</v>
      </c>
      <c r="D115" s="23" t="s">
        <v>7</v>
      </c>
      <c r="E115" s="24" t="s">
        <v>9</v>
      </c>
      <c r="F115" s="22" t="s">
        <v>5</v>
      </c>
      <c r="G115" s="22" t="s">
        <v>5</v>
      </c>
      <c r="H115" s="22" t="s">
        <v>5</v>
      </c>
      <c r="I115" s="22" t="s">
        <v>5</v>
      </c>
      <c r="J115" s="22" t="s">
        <v>5</v>
      </c>
      <c r="K115" s="23" t="s">
        <v>7</v>
      </c>
      <c r="L115" s="24" t="s">
        <v>9</v>
      </c>
      <c r="M115" s="22" t="s">
        <v>5</v>
      </c>
      <c r="N115" s="22" t="s">
        <v>5</v>
      </c>
      <c r="O115" s="22" t="s">
        <v>5</v>
      </c>
      <c r="P115" s="22" t="s">
        <v>5</v>
      </c>
      <c r="Q115" s="22" t="s">
        <v>5</v>
      </c>
      <c r="R115" s="23" t="s">
        <v>7</v>
      </c>
      <c r="S115" s="24" t="s">
        <v>9</v>
      </c>
      <c r="T115" s="22" t="s">
        <v>5</v>
      </c>
      <c r="U115" s="22" t="s">
        <v>5</v>
      </c>
      <c r="V115" s="22" t="s">
        <v>5</v>
      </c>
      <c r="W115" s="22" t="s">
        <v>5</v>
      </c>
      <c r="X115" s="22" t="s">
        <v>5</v>
      </c>
      <c r="Y115" s="23" t="s">
        <v>7</v>
      </c>
      <c r="Z115" s="24" t="s">
        <v>9</v>
      </c>
      <c r="AA115" s="22" t="s">
        <v>5</v>
      </c>
      <c r="AB115" s="22" t="s">
        <v>5</v>
      </c>
      <c r="AC115" s="22" t="s">
        <v>5</v>
      </c>
      <c r="AD115" s="22" t="s">
        <v>5</v>
      </c>
      <c r="AE115" s="22" t="s">
        <v>5</v>
      </c>
      <c r="AF115" s="23" t="s">
        <v>7</v>
      </c>
      <c r="AG115" s="24" t="s">
        <v>9</v>
      </c>
      <c r="AH115" s="8">
        <f>COUNTIF(D115:AG115,"ON")</f>
        <v>0</v>
      </c>
      <c r="AI115" s="25">
        <f>COUNTIF(D115:AG115,"OFF")</f>
        <v>20</v>
      </c>
      <c r="AJ115" s="8">
        <f>COUNTIF(D115:AG115,"OT")</f>
        <v>0</v>
      </c>
      <c r="AK115" s="62">
        <v>0</v>
      </c>
      <c r="AL115" s="33">
        <f>AH115+AJ115+AK115*0.5</f>
        <v>0</v>
      </c>
      <c r="AM115" s="63">
        <f>NETWORKDAYS(DATE(2025,11,1),EOMONTH(DATE(2025,11,1),0))*8</f>
        <v>160</v>
      </c>
      <c r="AN115" s="63">
        <f>MAX(0,COUNTIF(J115,"ON")+COUNTIF(Q115,"ON")+COUNTIF(X115,"ON")+COUNTIF(AE115,"ON")-AK115)</f>
        <v>0</v>
      </c>
      <c r="AO115" s="63">
        <f>AN115*$AO$2</f>
        <v>0</v>
      </c>
      <c r="AP115" s="53">
        <f>AL115-AO115/8</f>
        <v>0</v>
      </c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</row>
    <row r="116" spans="1:55" ht="22" customHeight="1" x14ac:dyDescent="0.35">
      <c r="A116" s="8" t="s">
        <v>249</v>
      </c>
      <c r="B116" s="8" t="s">
        <v>250</v>
      </c>
      <c r="C116" s="8" t="s">
        <v>354</v>
      </c>
      <c r="D116" s="27" t="s">
        <v>7</v>
      </c>
      <c r="E116" s="28" t="s">
        <v>11</v>
      </c>
      <c r="F116" s="26" t="s">
        <v>3</v>
      </c>
      <c r="G116" s="26" t="s">
        <v>3</v>
      </c>
      <c r="H116" s="26" t="s">
        <v>3</v>
      </c>
      <c r="I116" s="26" t="s">
        <v>3</v>
      </c>
      <c r="J116" s="26" t="s">
        <v>3</v>
      </c>
      <c r="K116" s="27" t="s">
        <v>7</v>
      </c>
      <c r="L116" s="28" t="s">
        <v>11</v>
      </c>
      <c r="M116" s="26" t="s">
        <v>3</v>
      </c>
      <c r="N116" s="26" t="s">
        <v>3</v>
      </c>
      <c r="O116" s="26" t="s">
        <v>3</v>
      </c>
      <c r="P116" s="26" t="s">
        <v>3</v>
      </c>
      <c r="Q116" s="26" t="s">
        <v>3</v>
      </c>
      <c r="R116" s="27" t="s">
        <v>7</v>
      </c>
      <c r="S116" s="28" t="s">
        <v>11</v>
      </c>
      <c r="T116" s="26" t="s">
        <v>3</v>
      </c>
      <c r="U116" s="26" t="s">
        <v>3</v>
      </c>
      <c r="V116" s="26" t="s">
        <v>3</v>
      </c>
      <c r="W116" s="26" t="s">
        <v>3</v>
      </c>
      <c r="X116" s="26" t="s">
        <v>3</v>
      </c>
      <c r="Y116" s="27" t="s">
        <v>7</v>
      </c>
      <c r="Z116" s="28" t="s">
        <v>11</v>
      </c>
      <c r="AA116" s="26" t="s">
        <v>3</v>
      </c>
      <c r="AB116" s="26" t="s">
        <v>3</v>
      </c>
      <c r="AC116" s="26" t="s">
        <v>3</v>
      </c>
      <c r="AD116" s="22" t="s">
        <v>5</v>
      </c>
      <c r="AE116" s="26" t="s">
        <v>3</v>
      </c>
      <c r="AF116" s="27" t="s">
        <v>7</v>
      </c>
      <c r="AG116" s="28" t="s">
        <v>11</v>
      </c>
      <c r="AH116" s="8">
        <f>COUNTIF(D116:AG116,"ON")</f>
        <v>19</v>
      </c>
      <c r="AI116" s="8">
        <f>COUNTIF(D116:AG116,"OFF")</f>
        <v>1</v>
      </c>
      <c r="AJ116" s="29">
        <f>COUNTIF(D116:AG116,"OT")</f>
        <v>5</v>
      </c>
      <c r="AK116" s="62">
        <v>5</v>
      </c>
      <c r="AL116" s="33">
        <f>AH116+AJ116+AK116*0.5</f>
        <v>26.5</v>
      </c>
      <c r="AM116" s="63">
        <f>NETWORKDAYS(DATE(2025,11,1),EOMONTH(DATE(2025,11,1),0))*8</f>
        <v>160</v>
      </c>
      <c r="AN116" s="63">
        <f>MAX(0,COUNTIF(J116,"ON")+COUNTIF(Q116,"ON")+COUNTIF(X116,"ON")+COUNTIF(AE116,"ON")-AK116)</f>
        <v>0</v>
      </c>
      <c r="AO116" s="63">
        <f>AN116*$AO$2</f>
        <v>0</v>
      </c>
      <c r="AP116" s="53">
        <f>AL116-AO116/8</f>
        <v>26.5</v>
      </c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</row>
    <row r="117" spans="1:55" x14ac:dyDescent="0.35"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</row>
    <row r="118" spans="1:55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</row>
    <row r="119" spans="1:55" ht="22" customHeight="1" x14ac:dyDescent="0.35">
      <c r="A119" s="8" t="s">
        <v>252</v>
      </c>
      <c r="B119" s="8" t="s">
        <v>253</v>
      </c>
      <c r="C119" s="8" t="s">
        <v>254</v>
      </c>
      <c r="D119" s="27" t="s">
        <v>7</v>
      </c>
      <c r="E119" s="28" t="s">
        <v>11</v>
      </c>
      <c r="F119" s="26" t="s">
        <v>3</v>
      </c>
      <c r="G119" s="26" t="s">
        <v>3</v>
      </c>
      <c r="H119" s="26" t="s">
        <v>3</v>
      </c>
      <c r="I119" s="26" t="s">
        <v>3</v>
      </c>
      <c r="J119" s="26" t="s">
        <v>3</v>
      </c>
      <c r="K119" s="27" t="s">
        <v>7</v>
      </c>
      <c r="L119" s="24" t="s">
        <v>9</v>
      </c>
      <c r="M119" s="26" t="s">
        <v>3</v>
      </c>
      <c r="N119" s="26" t="s">
        <v>3</v>
      </c>
      <c r="O119" s="26" t="s">
        <v>3</v>
      </c>
      <c r="P119" s="26" t="s">
        <v>3</v>
      </c>
      <c r="Q119" s="26" t="s">
        <v>3</v>
      </c>
      <c r="R119" s="27" t="s">
        <v>7</v>
      </c>
      <c r="S119" s="28" t="s">
        <v>11</v>
      </c>
      <c r="T119" s="26" t="s">
        <v>3</v>
      </c>
      <c r="U119" s="26" t="s">
        <v>3</v>
      </c>
      <c r="V119" s="26" t="s">
        <v>3</v>
      </c>
      <c r="W119" s="26" t="s">
        <v>3</v>
      </c>
      <c r="X119" s="26" t="s">
        <v>3</v>
      </c>
      <c r="Y119" s="27" t="s">
        <v>7</v>
      </c>
      <c r="Z119" s="28" t="s">
        <v>11</v>
      </c>
      <c r="AA119" s="26" t="s">
        <v>3</v>
      </c>
      <c r="AB119" s="26" t="s">
        <v>3</v>
      </c>
      <c r="AC119" s="26" t="s">
        <v>3</v>
      </c>
      <c r="AD119" s="26" t="s">
        <v>3</v>
      </c>
      <c r="AE119" s="26" t="s">
        <v>3</v>
      </c>
      <c r="AF119" s="27" t="s">
        <v>7</v>
      </c>
      <c r="AG119" s="28" t="s">
        <v>11</v>
      </c>
      <c r="AH119" s="8">
        <f t="shared" ref="AH119:AH129" si="40">COUNTIF(D119:AG119,"ON")</f>
        <v>20</v>
      </c>
      <c r="AI119" s="8">
        <f t="shared" ref="AI119:AI129" si="41">COUNTIF(D119:AG119,"OFF")</f>
        <v>0</v>
      </c>
      <c r="AJ119" s="29">
        <f t="shared" ref="AJ119:AJ129" si="42">COUNTIF(D119:AG119,"OT")</f>
        <v>4</v>
      </c>
      <c r="AK119" s="62">
        <v>5</v>
      </c>
      <c r="AL119" s="33">
        <f t="shared" ref="AL119:AL129" si="43">AH119+AJ119+AK119*0.5</f>
        <v>26.5</v>
      </c>
      <c r="AM119" s="63">
        <f t="shared" ref="AM119:AM129" si="44">NETWORKDAYS(DATE(2025,11,1),EOMONTH(DATE(2025,11,1),0))*8</f>
        <v>160</v>
      </c>
      <c r="AN119" s="63">
        <f t="shared" ref="AN119:AN129" si="45">MAX(0,COUNTIF(J119,"ON")+COUNTIF(Q119,"ON")+COUNTIF(X119,"ON")+COUNTIF(AE119,"ON")-AK119)</f>
        <v>0</v>
      </c>
      <c r="AO119" s="63">
        <f t="shared" ref="AO119:AO129" si="46">AN119*$AO$2</f>
        <v>0</v>
      </c>
      <c r="AP119" s="53">
        <f t="shared" ref="AP119:AP129" si="47">AL119-AO119/8</f>
        <v>26.5</v>
      </c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</row>
    <row r="120" spans="1:55" ht="22" customHeight="1" x14ac:dyDescent="0.35">
      <c r="A120" s="8" t="s">
        <v>255</v>
      </c>
      <c r="B120" s="8" t="s">
        <v>256</v>
      </c>
      <c r="C120" s="8" t="s">
        <v>254</v>
      </c>
      <c r="D120" s="23" t="s">
        <v>7</v>
      </c>
      <c r="E120" s="24" t="s">
        <v>9</v>
      </c>
      <c r="F120" s="22" t="s">
        <v>5</v>
      </c>
      <c r="G120" s="22" t="s">
        <v>5</v>
      </c>
      <c r="H120" s="22" t="s">
        <v>5</v>
      </c>
      <c r="I120" s="22" t="s">
        <v>5</v>
      </c>
      <c r="J120" s="22" t="s">
        <v>5</v>
      </c>
      <c r="K120" s="23" t="s">
        <v>7</v>
      </c>
      <c r="L120" s="24" t="s">
        <v>9</v>
      </c>
      <c r="M120" s="22" t="s">
        <v>5</v>
      </c>
      <c r="N120" s="22" t="s">
        <v>5</v>
      </c>
      <c r="O120" s="22" t="s">
        <v>5</v>
      </c>
      <c r="P120" s="22" t="s">
        <v>5</v>
      </c>
      <c r="Q120" s="22" t="s">
        <v>5</v>
      </c>
      <c r="R120" s="23" t="s">
        <v>7</v>
      </c>
      <c r="S120" s="24" t="s">
        <v>9</v>
      </c>
      <c r="T120" s="22" t="s">
        <v>5</v>
      </c>
      <c r="U120" s="22" t="s">
        <v>5</v>
      </c>
      <c r="V120" s="22" t="s">
        <v>5</v>
      </c>
      <c r="W120" s="26" t="s">
        <v>3</v>
      </c>
      <c r="X120" s="26" t="s">
        <v>3</v>
      </c>
      <c r="Y120" s="27" t="s">
        <v>7</v>
      </c>
      <c r="Z120" s="28" t="s">
        <v>11</v>
      </c>
      <c r="AA120" s="26" t="s">
        <v>3</v>
      </c>
      <c r="AB120" s="26" t="s">
        <v>3</v>
      </c>
      <c r="AC120" s="26" t="s">
        <v>3</v>
      </c>
      <c r="AD120" s="26" t="s">
        <v>3</v>
      </c>
      <c r="AE120" s="26" t="s">
        <v>3</v>
      </c>
      <c r="AF120" s="27" t="s">
        <v>7</v>
      </c>
      <c r="AG120" s="28" t="s">
        <v>11</v>
      </c>
      <c r="AH120" s="8">
        <f t="shared" si="40"/>
        <v>7</v>
      </c>
      <c r="AI120" s="25">
        <f t="shared" si="41"/>
        <v>13</v>
      </c>
      <c r="AJ120" s="29">
        <f t="shared" si="42"/>
        <v>2</v>
      </c>
      <c r="AK120" s="62">
        <v>2</v>
      </c>
      <c r="AL120" s="33">
        <f t="shared" si="43"/>
        <v>10</v>
      </c>
      <c r="AM120" s="63">
        <f t="shared" si="44"/>
        <v>160</v>
      </c>
      <c r="AN120" s="63">
        <f t="shared" si="45"/>
        <v>0</v>
      </c>
      <c r="AO120" s="63">
        <f t="shared" si="46"/>
        <v>0</v>
      </c>
      <c r="AP120" s="53">
        <f t="shared" si="47"/>
        <v>10</v>
      </c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</row>
    <row r="121" spans="1:55" ht="22" customHeight="1" x14ac:dyDescent="0.35">
      <c r="A121" s="8" t="s">
        <v>257</v>
      </c>
      <c r="B121" s="8" t="s">
        <v>258</v>
      </c>
      <c r="C121" s="8" t="s">
        <v>254</v>
      </c>
      <c r="D121" s="27" t="s">
        <v>7</v>
      </c>
      <c r="E121" s="28" t="s">
        <v>11</v>
      </c>
      <c r="F121" s="26" t="s">
        <v>3</v>
      </c>
      <c r="G121" s="26" t="s">
        <v>3</v>
      </c>
      <c r="H121" s="26" t="s">
        <v>3</v>
      </c>
      <c r="I121" s="26" t="s">
        <v>3</v>
      </c>
      <c r="J121" s="26" t="s">
        <v>3</v>
      </c>
      <c r="K121" s="27" t="s">
        <v>7</v>
      </c>
      <c r="L121" s="28" t="s">
        <v>11</v>
      </c>
      <c r="M121" s="26" t="s">
        <v>3</v>
      </c>
      <c r="N121" s="26" t="s">
        <v>3</v>
      </c>
      <c r="O121" s="26" t="s">
        <v>3</v>
      </c>
      <c r="P121" s="26" t="s">
        <v>3</v>
      </c>
      <c r="Q121" s="26" t="s">
        <v>3</v>
      </c>
      <c r="R121" s="27" t="s">
        <v>7</v>
      </c>
      <c r="S121" s="28" t="s">
        <v>11</v>
      </c>
      <c r="T121" s="26" t="s">
        <v>3</v>
      </c>
      <c r="U121" s="26" t="s">
        <v>3</v>
      </c>
      <c r="V121" s="26" t="s">
        <v>3</v>
      </c>
      <c r="W121" s="26" t="s">
        <v>3</v>
      </c>
      <c r="X121" s="26" t="s">
        <v>3</v>
      </c>
      <c r="Y121" s="27" t="s">
        <v>7</v>
      </c>
      <c r="Z121" s="28" t="s">
        <v>11</v>
      </c>
      <c r="AA121" s="26" t="s">
        <v>3</v>
      </c>
      <c r="AB121" s="26" t="s">
        <v>3</v>
      </c>
      <c r="AC121" s="26" t="s">
        <v>3</v>
      </c>
      <c r="AD121" s="26" t="s">
        <v>3</v>
      </c>
      <c r="AE121" s="26" t="s">
        <v>3</v>
      </c>
      <c r="AF121" s="27" t="s">
        <v>7</v>
      </c>
      <c r="AG121" s="28" t="s">
        <v>11</v>
      </c>
      <c r="AH121" s="8">
        <f t="shared" si="40"/>
        <v>20</v>
      </c>
      <c r="AI121" s="8">
        <f t="shared" si="41"/>
        <v>0</v>
      </c>
      <c r="AJ121" s="29">
        <f t="shared" si="42"/>
        <v>5</v>
      </c>
      <c r="AK121" s="62">
        <v>5</v>
      </c>
      <c r="AL121" s="33">
        <f t="shared" si="43"/>
        <v>27.5</v>
      </c>
      <c r="AM121" s="63">
        <f t="shared" si="44"/>
        <v>160</v>
      </c>
      <c r="AN121" s="63">
        <f t="shared" si="45"/>
        <v>0</v>
      </c>
      <c r="AO121" s="63">
        <f t="shared" si="46"/>
        <v>0</v>
      </c>
      <c r="AP121" s="53">
        <f t="shared" si="47"/>
        <v>27.5</v>
      </c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</row>
    <row r="122" spans="1:55" ht="22" customHeight="1" x14ac:dyDescent="0.35">
      <c r="A122" s="8" t="s">
        <v>259</v>
      </c>
      <c r="B122" s="8" t="s">
        <v>260</v>
      </c>
      <c r="C122" s="8" t="s">
        <v>254</v>
      </c>
      <c r="D122" s="27" t="s">
        <v>7</v>
      </c>
      <c r="E122" s="28" t="s">
        <v>11</v>
      </c>
      <c r="F122" s="26" t="s">
        <v>3</v>
      </c>
      <c r="G122" s="26" t="s">
        <v>3</v>
      </c>
      <c r="H122" s="26" t="s">
        <v>3</v>
      </c>
      <c r="I122" s="26" t="s">
        <v>3</v>
      </c>
      <c r="J122" s="26" t="s">
        <v>3</v>
      </c>
      <c r="K122" s="27" t="s">
        <v>7</v>
      </c>
      <c r="L122" s="24" t="s">
        <v>9</v>
      </c>
      <c r="M122" s="26" t="s">
        <v>3</v>
      </c>
      <c r="N122" s="26" t="s">
        <v>3</v>
      </c>
      <c r="O122" s="26" t="s">
        <v>3</v>
      </c>
      <c r="P122" s="26" t="s">
        <v>3</v>
      </c>
      <c r="Q122" s="26" t="s">
        <v>3</v>
      </c>
      <c r="R122" s="27" t="s">
        <v>7</v>
      </c>
      <c r="S122" s="28" t="s">
        <v>11</v>
      </c>
      <c r="T122" s="26" t="s">
        <v>3</v>
      </c>
      <c r="U122" s="26" t="s">
        <v>3</v>
      </c>
      <c r="V122" s="26" t="s">
        <v>3</v>
      </c>
      <c r="W122" s="26" t="s">
        <v>3</v>
      </c>
      <c r="X122" s="26" t="s">
        <v>3</v>
      </c>
      <c r="Y122" s="27" t="s">
        <v>7</v>
      </c>
      <c r="Z122" s="28" t="s">
        <v>11</v>
      </c>
      <c r="AA122" s="26" t="s">
        <v>3</v>
      </c>
      <c r="AB122" s="26" t="s">
        <v>3</v>
      </c>
      <c r="AC122" s="26" t="s">
        <v>3</v>
      </c>
      <c r="AD122" s="26" t="s">
        <v>3</v>
      </c>
      <c r="AE122" s="26" t="s">
        <v>3</v>
      </c>
      <c r="AF122" s="27" t="s">
        <v>7</v>
      </c>
      <c r="AG122" s="28" t="s">
        <v>11</v>
      </c>
      <c r="AH122" s="8">
        <f t="shared" si="40"/>
        <v>20</v>
      </c>
      <c r="AI122" s="8">
        <f t="shared" si="41"/>
        <v>0</v>
      </c>
      <c r="AJ122" s="29">
        <f t="shared" si="42"/>
        <v>4</v>
      </c>
      <c r="AK122" s="62">
        <v>5</v>
      </c>
      <c r="AL122" s="33">
        <f t="shared" si="43"/>
        <v>26.5</v>
      </c>
      <c r="AM122" s="63">
        <f t="shared" si="44"/>
        <v>160</v>
      </c>
      <c r="AN122" s="63">
        <f t="shared" si="45"/>
        <v>0</v>
      </c>
      <c r="AO122" s="63">
        <f t="shared" si="46"/>
        <v>0</v>
      </c>
      <c r="AP122" s="53">
        <f t="shared" si="47"/>
        <v>26.5</v>
      </c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</row>
    <row r="123" spans="1:55" ht="22" customHeight="1" x14ac:dyDescent="0.35">
      <c r="A123" s="8" t="s">
        <v>261</v>
      </c>
      <c r="B123" s="8" t="s">
        <v>262</v>
      </c>
      <c r="C123" s="8" t="s">
        <v>254</v>
      </c>
      <c r="D123" s="27" t="s">
        <v>7</v>
      </c>
      <c r="E123" s="28" t="s">
        <v>11</v>
      </c>
      <c r="F123" s="26" t="s">
        <v>3</v>
      </c>
      <c r="G123" s="26" t="s">
        <v>3</v>
      </c>
      <c r="H123" s="26" t="s">
        <v>3</v>
      </c>
      <c r="I123" s="26" t="s">
        <v>3</v>
      </c>
      <c r="J123" s="26" t="s">
        <v>3</v>
      </c>
      <c r="K123" s="27" t="s">
        <v>7</v>
      </c>
      <c r="L123" s="28" t="s">
        <v>11</v>
      </c>
      <c r="M123" s="26" t="s">
        <v>3</v>
      </c>
      <c r="N123" s="26" t="s">
        <v>3</v>
      </c>
      <c r="O123" s="26" t="s">
        <v>3</v>
      </c>
      <c r="P123" s="26" t="s">
        <v>3</v>
      </c>
      <c r="Q123" s="26" t="s">
        <v>3</v>
      </c>
      <c r="R123" s="27" t="s">
        <v>7</v>
      </c>
      <c r="S123" s="28" t="s">
        <v>11</v>
      </c>
      <c r="T123" s="26" t="s">
        <v>3</v>
      </c>
      <c r="U123" s="26" t="s">
        <v>3</v>
      </c>
      <c r="V123" s="26" t="s">
        <v>3</v>
      </c>
      <c r="W123" s="26" t="s">
        <v>3</v>
      </c>
      <c r="X123" s="26" t="s">
        <v>3</v>
      </c>
      <c r="Y123" s="27" t="s">
        <v>7</v>
      </c>
      <c r="Z123" s="28" t="s">
        <v>11</v>
      </c>
      <c r="AA123" s="26" t="s">
        <v>3</v>
      </c>
      <c r="AB123" s="26" t="s">
        <v>3</v>
      </c>
      <c r="AC123" s="26" t="s">
        <v>3</v>
      </c>
      <c r="AD123" s="26" t="s">
        <v>3</v>
      </c>
      <c r="AE123" s="26" t="s">
        <v>3</v>
      </c>
      <c r="AF123" s="27" t="s">
        <v>7</v>
      </c>
      <c r="AG123" s="28" t="s">
        <v>11</v>
      </c>
      <c r="AH123" s="8">
        <f t="shared" si="40"/>
        <v>20</v>
      </c>
      <c r="AI123" s="8">
        <f t="shared" si="41"/>
        <v>0</v>
      </c>
      <c r="AJ123" s="29">
        <f t="shared" si="42"/>
        <v>5</v>
      </c>
      <c r="AK123" s="62">
        <v>5</v>
      </c>
      <c r="AL123" s="33">
        <f t="shared" si="43"/>
        <v>27.5</v>
      </c>
      <c r="AM123" s="63">
        <f t="shared" si="44"/>
        <v>160</v>
      </c>
      <c r="AN123" s="63">
        <f t="shared" si="45"/>
        <v>0</v>
      </c>
      <c r="AO123" s="63">
        <f t="shared" si="46"/>
        <v>0</v>
      </c>
      <c r="AP123" s="53">
        <f t="shared" si="47"/>
        <v>27.5</v>
      </c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</row>
    <row r="124" spans="1:55" ht="22" customHeight="1" x14ac:dyDescent="0.35">
      <c r="A124" s="8" t="s">
        <v>263</v>
      </c>
      <c r="B124" s="8" t="s">
        <v>264</v>
      </c>
      <c r="C124" s="8" t="s">
        <v>254</v>
      </c>
      <c r="D124" s="27" t="s">
        <v>7</v>
      </c>
      <c r="E124" s="28" t="s">
        <v>11</v>
      </c>
      <c r="F124" s="26" t="s">
        <v>3</v>
      </c>
      <c r="G124" s="26" t="s">
        <v>3</v>
      </c>
      <c r="H124" s="26" t="s">
        <v>3</v>
      </c>
      <c r="I124" s="26" t="s">
        <v>3</v>
      </c>
      <c r="J124" s="26" t="s">
        <v>3</v>
      </c>
      <c r="K124" s="27" t="s">
        <v>7</v>
      </c>
      <c r="L124" s="28" t="s">
        <v>11</v>
      </c>
      <c r="M124" s="26" t="s">
        <v>3</v>
      </c>
      <c r="N124" s="26" t="s">
        <v>3</v>
      </c>
      <c r="O124" s="26" t="s">
        <v>3</v>
      </c>
      <c r="P124" s="26" t="s">
        <v>3</v>
      </c>
      <c r="Q124" s="26" t="s">
        <v>3</v>
      </c>
      <c r="R124" s="27" t="s">
        <v>7</v>
      </c>
      <c r="S124" s="28" t="s">
        <v>11</v>
      </c>
      <c r="T124" s="26" t="s">
        <v>3</v>
      </c>
      <c r="U124" s="26" t="s">
        <v>3</v>
      </c>
      <c r="V124" s="26" t="s">
        <v>3</v>
      </c>
      <c r="W124" s="26" t="s">
        <v>3</v>
      </c>
      <c r="X124" s="26" t="s">
        <v>3</v>
      </c>
      <c r="Y124" s="27" t="s">
        <v>7</v>
      </c>
      <c r="Z124" s="28" t="s">
        <v>11</v>
      </c>
      <c r="AA124" s="26" t="s">
        <v>3</v>
      </c>
      <c r="AB124" s="26" t="s">
        <v>3</v>
      </c>
      <c r="AC124" s="26" t="s">
        <v>3</v>
      </c>
      <c r="AD124" s="26" t="s">
        <v>3</v>
      </c>
      <c r="AE124" s="26" t="s">
        <v>3</v>
      </c>
      <c r="AF124" s="27" t="s">
        <v>7</v>
      </c>
      <c r="AG124" s="28" t="s">
        <v>11</v>
      </c>
      <c r="AH124" s="8">
        <f t="shared" si="40"/>
        <v>20</v>
      </c>
      <c r="AI124" s="8">
        <f t="shared" si="41"/>
        <v>0</v>
      </c>
      <c r="AJ124" s="29">
        <f t="shared" si="42"/>
        <v>5</v>
      </c>
      <c r="AK124" s="62">
        <v>5</v>
      </c>
      <c r="AL124" s="33">
        <f t="shared" si="43"/>
        <v>27.5</v>
      </c>
      <c r="AM124" s="63">
        <f t="shared" si="44"/>
        <v>160</v>
      </c>
      <c r="AN124" s="63">
        <f t="shared" si="45"/>
        <v>0</v>
      </c>
      <c r="AO124" s="63">
        <f t="shared" si="46"/>
        <v>0</v>
      </c>
      <c r="AP124" s="53">
        <f t="shared" si="47"/>
        <v>27.5</v>
      </c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</row>
    <row r="125" spans="1:55" ht="22" customHeight="1" x14ac:dyDescent="0.35">
      <c r="A125" s="8" t="s">
        <v>265</v>
      </c>
      <c r="B125" s="8" t="s">
        <v>266</v>
      </c>
      <c r="C125" s="8" t="s">
        <v>254</v>
      </c>
      <c r="D125" s="27" t="s">
        <v>7</v>
      </c>
      <c r="E125" s="28" t="s">
        <v>11</v>
      </c>
      <c r="F125" s="26" t="s">
        <v>3</v>
      </c>
      <c r="G125" s="26" t="s">
        <v>3</v>
      </c>
      <c r="H125" s="22" t="s">
        <v>5</v>
      </c>
      <c r="I125" s="26" t="s">
        <v>3</v>
      </c>
      <c r="J125" s="26" t="s">
        <v>3</v>
      </c>
      <c r="K125" s="27" t="s">
        <v>7</v>
      </c>
      <c r="L125" s="24" t="s">
        <v>9</v>
      </c>
      <c r="M125" s="26" t="s">
        <v>3</v>
      </c>
      <c r="N125" s="26" t="s">
        <v>3</v>
      </c>
      <c r="O125" s="26" t="s">
        <v>3</v>
      </c>
      <c r="P125" s="26" t="s">
        <v>3</v>
      </c>
      <c r="Q125" s="26" t="s">
        <v>3</v>
      </c>
      <c r="R125" s="27" t="s">
        <v>7</v>
      </c>
      <c r="S125" s="28" t="s">
        <v>11</v>
      </c>
      <c r="T125" s="26" t="s">
        <v>3</v>
      </c>
      <c r="U125" s="26" t="s">
        <v>3</v>
      </c>
      <c r="V125" s="26" t="s">
        <v>3</v>
      </c>
      <c r="W125" s="26" t="s">
        <v>3</v>
      </c>
      <c r="X125" s="26" t="s">
        <v>3</v>
      </c>
      <c r="Y125" s="27" t="s">
        <v>7</v>
      </c>
      <c r="Z125" s="28" t="s">
        <v>11</v>
      </c>
      <c r="AA125" s="26" t="s">
        <v>3</v>
      </c>
      <c r="AB125" s="22" t="s">
        <v>5</v>
      </c>
      <c r="AC125" s="26" t="s">
        <v>3</v>
      </c>
      <c r="AD125" s="26" t="s">
        <v>3</v>
      </c>
      <c r="AE125" s="26" t="s">
        <v>3</v>
      </c>
      <c r="AF125" s="27" t="s">
        <v>7</v>
      </c>
      <c r="AG125" s="28" t="s">
        <v>11</v>
      </c>
      <c r="AH125" s="8">
        <f t="shared" si="40"/>
        <v>18</v>
      </c>
      <c r="AI125" s="8">
        <f t="shared" si="41"/>
        <v>2</v>
      </c>
      <c r="AJ125" s="29">
        <f t="shared" si="42"/>
        <v>4</v>
      </c>
      <c r="AK125" s="62">
        <v>5</v>
      </c>
      <c r="AL125" s="33">
        <f t="shared" si="43"/>
        <v>24.5</v>
      </c>
      <c r="AM125" s="63">
        <f t="shared" si="44"/>
        <v>160</v>
      </c>
      <c r="AN125" s="63">
        <f t="shared" si="45"/>
        <v>0</v>
      </c>
      <c r="AO125" s="63">
        <f t="shared" si="46"/>
        <v>0</v>
      </c>
      <c r="AP125" s="53">
        <f t="shared" si="47"/>
        <v>24.5</v>
      </c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</row>
    <row r="126" spans="1:55" ht="22" customHeight="1" x14ac:dyDescent="0.35">
      <c r="A126" s="8" t="s">
        <v>267</v>
      </c>
      <c r="B126" s="8" t="s">
        <v>268</v>
      </c>
      <c r="C126" s="8" t="s">
        <v>254</v>
      </c>
      <c r="D126" s="27" t="s">
        <v>7</v>
      </c>
      <c r="E126" s="28" t="s">
        <v>11</v>
      </c>
      <c r="F126" s="26" t="s">
        <v>3</v>
      </c>
      <c r="G126" s="26" t="s">
        <v>3</v>
      </c>
      <c r="H126" s="26" t="s">
        <v>3</v>
      </c>
      <c r="I126" s="26" t="s">
        <v>3</v>
      </c>
      <c r="J126" s="26" t="s">
        <v>3</v>
      </c>
      <c r="K126" s="27" t="s">
        <v>7</v>
      </c>
      <c r="L126" s="28" t="s">
        <v>11</v>
      </c>
      <c r="M126" s="26" t="s">
        <v>3</v>
      </c>
      <c r="N126" s="26" t="s">
        <v>3</v>
      </c>
      <c r="O126" s="26" t="s">
        <v>3</v>
      </c>
      <c r="P126" s="26" t="s">
        <v>3</v>
      </c>
      <c r="Q126" s="26" t="s">
        <v>3</v>
      </c>
      <c r="R126" s="27" t="s">
        <v>7</v>
      </c>
      <c r="S126" s="28" t="s">
        <v>11</v>
      </c>
      <c r="T126" s="26" t="s">
        <v>3</v>
      </c>
      <c r="U126" s="26" t="s">
        <v>3</v>
      </c>
      <c r="V126" s="26" t="s">
        <v>3</v>
      </c>
      <c r="W126" s="26" t="s">
        <v>3</v>
      </c>
      <c r="X126" s="26" t="s">
        <v>3</v>
      </c>
      <c r="Y126" s="27" t="s">
        <v>7</v>
      </c>
      <c r="Z126" s="28" t="s">
        <v>11</v>
      </c>
      <c r="AA126" s="26" t="s">
        <v>3</v>
      </c>
      <c r="AB126" s="26" t="s">
        <v>3</v>
      </c>
      <c r="AC126" s="26" t="s">
        <v>3</v>
      </c>
      <c r="AD126" s="26" t="s">
        <v>3</v>
      </c>
      <c r="AE126" s="26" t="s">
        <v>3</v>
      </c>
      <c r="AF126" s="27" t="s">
        <v>7</v>
      </c>
      <c r="AG126" s="28" t="s">
        <v>11</v>
      </c>
      <c r="AH126" s="8">
        <f t="shared" si="40"/>
        <v>20</v>
      </c>
      <c r="AI126" s="8">
        <f t="shared" si="41"/>
        <v>0</v>
      </c>
      <c r="AJ126" s="29">
        <f t="shared" si="42"/>
        <v>5</v>
      </c>
      <c r="AK126" s="62">
        <v>5</v>
      </c>
      <c r="AL126" s="33">
        <f t="shared" si="43"/>
        <v>27.5</v>
      </c>
      <c r="AM126" s="63">
        <f t="shared" si="44"/>
        <v>160</v>
      </c>
      <c r="AN126" s="63">
        <f t="shared" si="45"/>
        <v>0</v>
      </c>
      <c r="AO126" s="63">
        <f t="shared" si="46"/>
        <v>0</v>
      </c>
      <c r="AP126" s="53">
        <f t="shared" si="47"/>
        <v>27.5</v>
      </c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</row>
    <row r="127" spans="1:55" ht="22" customHeight="1" x14ac:dyDescent="0.35">
      <c r="A127" s="8" t="s">
        <v>269</v>
      </c>
      <c r="B127" s="8" t="s">
        <v>270</v>
      </c>
      <c r="C127" s="8" t="s">
        <v>254</v>
      </c>
      <c r="D127" s="27" t="s">
        <v>7</v>
      </c>
      <c r="E127" s="28" t="s">
        <v>11</v>
      </c>
      <c r="F127" s="26" t="s">
        <v>3</v>
      </c>
      <c r="G127" s="26" t="s">
        <v>3</v>
      </c>
      <c r="H127" s="22" t="s">
        <v>5</v>
      </c>
      <c r="I127" s="26" t="s">
        <v>3</v>
      </c>
      <c r="J127" s="26" t="s">
        <v>3</v>
      </c>
      <c r="K127" s="27" t="s">
        <v>7</v>
      </c>
      <c r="L127" s="28" t="s">
        <v>11</v>
      </c>
      <c r="M127" s="26" t="s">
        <v>3</v>
      </c>
      <c r="N127" s="26" t="s">
        <v>3</v>
      </c>
      <c r="O127" s="26" t="s">
        <v>3</v>
      </c>
      <c r="P127" s="26" t="s">
        <v>3</v>
      </c>
      <c r="Q127" s="26" t="s">
        <v>3</v>
      </c>
      <c r="R127" s="23" t="s">
        <v>7</v>
      </c>
      <c r="S127" s="28" t="s">
        <v>11</v>
      </c>
      <c r="T127" s="26" t="s">
        <v>3</v>
      </c>
      <c r="U127" s="26" t="s">
        <v>3</v>
      </c>
      <c r="V127" s="26" t="s">
        <v>3</v>
      </c>
      <c r="W127" s="26" t="s">
        <v>3</v>
      </c>
      <c r="X127" s="26" t="s">
        <v>3</v>
      </c>
      <c r="Y127" s="27" t="s">
        <v>7</v>
      </c>
      <c r="Z127" s="28" t="s">
        <v>11</v>
      </c>
      <c r="AA127" s="26" t="s">
        <v>3</v>
      </c>
      <c r="AB127" s="26" t="s">
        <v>3</v>
      </c>
      <c r="AC127" s="26" t="s">
        <v>3</v>
      </c>
      <c r="AD127" s="26" t="s">
        <v>3</v>
      </c>
      <c r="AE127" s="26" t="s">
        <v>3</v>
      </c>
      <c r="AF127" s="27" t="s">
        <v>7</v>
      </c>
      <c r="AG127" s="24" t="s">
        <v>9</v>
      </c>
      <c r="AH127" s="8">
        <f t="shared" si="40"/>
        <v>19</v>
      </c>
      <c r="AI127" s="8">
        <f t="shared" si="41"/>
        <v>1</v>
      </c>
      <c r="AJ127" s="29">
        <f t="shared" si="42"/>
        <v>4</v>
      </c>
      <c r="AK127" s="62">
        <v>4</v>
      </c>
      <c r="AL127" s="33">
        <f t="shared" si="43"/>
        <v>25</v>
      </c>
      <c r="AM127" s="63">
        <f t="shared" si="44"/>
        <v>160</v>
      </c>
      <c r="AN127" s="63">
        <f t="shared" si="45"/>
        <v>0</v>
      </c>
      <c r="AO127" s="63">
        <f t="shared" si="46"/>
        <v>0</v>
      </c>
      <c r="AP127" s="53">
        <f t="shared" si="47"/>
        <v>25</v>
      </c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</row>
    <row r="128" spans="1:55" ht="22" customHeight="1" x14ac:dyDescent="0.35">
      <c r="A128" s="8" t="s">
        <v>271</v>
      </c>
      <c r="B128" s="8" t="s">
        <v>272</v>
      </c>
      <c r="C128" s="8" t="s">
        <v>254</v>
      </c>
      <c r="D128" s="23" t="s">
        <v>7</v>
      </c>
      <c r="E128" s="24" t="s">
        <v>9</v>
      </c>
      <c r="F128" s="22" t="s">
        <v>5</v>
      </c>
      <c r="G128" s="22" t="s">
        <v>5</v>
      </c>
      <c r="H128" s="22" t="s">
        <v>5</v>
      </c>
      <c r="I128" s="22" t="s">
        <v>5</v>
      </c>
      <c r="J128" s="22" t="s">
        <v>5</v>
      </c>
      <c r="K128" s="23" t="s">
        <v>7</v>
      </c>
      <c r="L128" s="24" t="s">
        <v>9</v>
      </c>
      <c r="M128" s="22" t="s">
        <v>5</v>
      </c>
      <c r="N128" s="22" t="s">
        <v>5</v>
      </c>
      <c r="O128" s="22" t="s">
        <v>5</v>
      </c>
      <c r="P128" s="22" t="s">
        <v>5</v>
      </c>
      <c r="Q128" s="22" t="s">
        <v>5</v>
      </c>
      <c r="R128" s="23" t="s">
        <v>7</v>
      </c>
      <c r="S128" s="24" t="s">
        <v>9</v>
      </c>
      <c r="T128" s="22" t="s">
        <v>5</v>
      </c>
      <c r="U128" s="22" t="s">
        <v>5</v>
      </c>
      <c r="V128" s="22" t="s">
        <v>5</v>
      </c>
      <c r="W128" s="22" t="s">
        <v>5</v>
      </c>
      <c r="X128" s="22" t="s">
        <v>5</v>
      </c>
      <c r="Y128" s="23" t="s">
        <v>7</v>
      </c>
      <c r="Z128" s="24" t="s">
        <v>9</v>
      </c>
      <c r="AA128" s="22" t="s">
        <v>5</v>
      </c>
      <c r="AB128" s="22" t="s">
        <v>5</v>
      </c>
      <c r="AC128" s="22" t="s">
        <v>5</v>
      </c>
      <c r="AD128" s="22" t="s">
        <v>5</v>
      </c>
      <c r="AE128" s="22" t="s">
        <v>5</v>
      </c>
      <c r="AF128" s="23" t="s">
        <v>7</v>
      </c>
      <c r="AG128" s="24" t="s">
        <v>9</v>
      </c>
      <c r="AH128" s="8">
        <f t="shared" si="40"/>
        <v>0</v>
      </c>
      <c r="AI128" s="25">
        <f t="shared" si="41"/>
        <v>20</v>
      </c>
      <c r="AJ128" s="8">
        <f t="shared" si="42"/>
        <v>0</v>
      </c>
      <c r="AK128" s="62">
        <v>0</v>
      </c>
      <c r="AL128" s="33">
        <f t="shared" si="43"/>
        <v>0</v>
      </c>
      <c r="AM128" s="63">
        <f t="shared" si="44"/>
        <v>160</v>
      </c>
      <c r="AN128" s="63">
        <f t="shared" si="45"/>
        <v>0</v>
      </c>
      <c r="AO128" s="63">
        <f t="shared" si="46"/>
        <v>0</v>
      </c>
      <c r="AP128" s="53">
        <f t="shared" si="47"/>
        <v>0</v>
      </c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</row>
    <row r="129" spans="1:55" ht="22" customHeight="1" x14ac:dyDescent="0.35">
      <c r="A129" s="8" t="s">
        <v>273</v>
      </c>
      <c r="B129" s="8" t="s">
        <v>274</v>
      </c>
      <c r="C129" s="8" t="s">
        <v>254</v>
      </c>
      <c r="D129" s="23" t="s">
        <v>7</v>
      </c>
      <c r="E129" s="24" t="s">
        <v>9</v>
      </c>
      <c r="F129" s="22" t="s">
        <v>5</v>
      </c>
      <c r="G129" s="26" t="s">
        <v>3</v>
      </c>
      <c r="H129" s="26" t="s">
        <v>3</v>
      </c>
      <c r="I129" s="26" t="s">
        <v>3</v>
      </c>
      <c r="J129" s="26" t="s">
        <v>3</v>
      </c>
      <c r="K129" s="27" t="s">
        <v>7</v>
      </c>
      <c r="L129" s="28" t="s">
        <v>11</v>
      </c>
      <c r="M129" s="26" t="s">
        <v>3</v>
      </c>
      <c r="N129" s="26" t="s">
        <v>3</v>
      </c>
      <c r="O129" s="26" t="s">
        <v>3</v>
      </c>
      <c r="P129" s="26" t="s">
        <v>3</v>
      </c>
      <c r="Q129" s="26" t="s">
        <v>3</v>
      </c>
      <c r="R129" s="27" t="s">
        <v>7</v>
      </c>
      <c r="S129" s="24" t="s">
        <v>9</v>
      </c>
      <c r="T129" s="26" t="s">
        <v>3</v>
      </c>
      <c r="U129" s="26" t="s">
        <v>3</v>
      </c>
      <c r="V129" s="26" t="s">
        <v>3</v>
      </c>
      <c r="W129" s="26" t="s">
        <v>3</v>
      </c>
      <c r="X129" s="26" t="s">
        <v>3</v>
      </c>
      <c r="Y129" s="23" t="s">
        <v>7</v>
      </c>
      <c r="Z129" s="28" t="s">
        <v>11</v>
      </c>
      <c r="AA129" s="26" t="s">
        <v>3</v>
      </c>
      <c r="AB129" s="26" t="s">
        <v>3</v>
      </c>
      <c r="AC129" s="26" t="s">
        <v>3</v>
      </c>
      <c r="AD129" s="26" t="s">
        <v>3</v>
      </c>
      <c r="AE129" s="26" t="s">
        <v>3</v>
      </c>
      <c r="AF129" s="27" t="s">
        <v>7</v>
      </c>
      <c r="AG129" s="28" t="s">
        <v>11</v>
      </c>
      <c r="AH129" s="8">
        <f t="shared" si="40"/>
        <v>19</v>
      </c>
      <c r="AI129" s="8">
        <f t="shared" si="41"/>
        <v>1</v>
      </c>
      <c r="AJ129" s="29">
        <f t="shared" si="42"/>
        <v>3</v>
      </c>
      <c r="AK129" s="62">
        <v>3</v>
      </c>
      <c r="AL129" s="33">
        <f t="shared" si="43"/>
        <v>23.5</v>
      </c>
      <c r="AM129" s="63">
        <f t="shared" si="44"/>
        <v>160</v>
      </c>
      <c r="AN129" s="63">
        <f t="shared" si="45"/>
        <v>1</v>
      </c>
      <c r="AO129" s="63">
        <f t="shared" si="46"/>
        <v>4</v>
      </c>
      <c r="AP129" s="53">
        <f t="shared" si="47"/>
        <v>23</v>
      </c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</row>
  </sheetData>
  <mergeCells count="11">
    <mergeCell ref="A1:AJ1"/>
    <mergeCell ref="A4:AJ4"/>
    <mergeCell ref="A113:AJ113"/>
    <mergeCell ref="A2:AJ2"/>
    <mergeCell ref="A118:AJ118"/>
    <mergeCell ref="A76:AJ76"/>
    <mergeCell ref="A37:AJ37"/>
    <mergeCell ref="A84:AJ84"/>
    <mergeCell ref="A97:AJ97"/>
    <mergeCell ref="A21:AJ21"/>
    <mergeCell ref="A91:AJ9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D129"/>
  <sheetViews>
    <sheetView tabSelected="1" workbookViewId="0">
      <pane xSplit="3" ySplit="3" topLeftCell="D64" activePane="bottomRight" state="frozen"/>
      <selection pane="topRight"/>
      <selection pane="bottomLeft"/>
      <selection pane="bottomRight" activeCell="AF28" sqref="AF28"/>
    </sheetView>
  </sheetViews>
  <sheetFormatPr defaultRowHeight="14.5" x14ac:dyDescent="0.35"/>
  <cols>
    <col min="1" max="1" width="7" customWidth="1"/>
    <col min="2" max="2" width="24" customWidth="1"/>
    <col min="3" max="3" width="12" customWidth="1"/>
    <col min="4" max="36" width="5" customWidth="1"/>
    <col min="37" max="37" width="7.7265625" bestFit="1" customWidth="1"/>
    <col min="38" max="38" width="7" customWidth="1"/>
    <col min="39" max="39" width="8" customWidth="1"/>
    <col min="40" max="40" width="9" customWidth="1"/>
    <col min="41" max="41" width="8" customWidth="1"/>
    <col min="42" max="43" width="9" customWidth="1"/>
  </cols>
  <sheetData>
    <row r="1" spans="1:56" ht="30" customHeight="1" x14ac:dyDescent="0.35">
      <c r="A1" s="78" t="s">
        <v>488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</row>
    <row r="2" spans="1:56" ht="22" customHeight="1" x14ac:dyDescent="0.35">
      <c r="A2" s="76" t="s">
        <v>310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N2" s="38"/>
      <c r="AO2" s="59" t="s">
        <v>311</v>
      </c>
      <c r="AP2" s="60">
        <v>4</v>
      </c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</row>
    <row r="3" spans="1:56" ht="35.15" customHeight="1" x14ac:dyDescent="0.35">
      <c r="A3" s="18" t="s">
        <v>14</v>
      </c>
      <c r="B3" s="18" t="s">
        <v>15</v>
      </c>
      <c r="C3" s="18" t="s">
        <v>312</v>
      </c>
      <c r="D3" s="19" t="s">
        <v>473</v>
      </c>
      <c r="E3" s="19" t="s">
        <v>314</v>
      </c>
      <c r="F3" s="19" t="s">
        <v>474</v>
      </c>
      <c r="G3" s="19" t="s">
        <v>359</v>
      </c>
      <c r="H3" s="19" t="s">
        <v>475</v>
      </c>
      <c r="I3" s="20" t="s">
        <v>393</v>
      </c>
      <c r="J3" s="21" t="s">
        <v>439</v>
      </c>
      <c r="K3" s="19" t="s">
        <v>476</v>
      </c>
      <c r="L3" s="19" t="s">
        <v>321</v>
      </c>
      <c r="M3" s="19" t="s">
        <v>477</v>
      </c>
      <c r="N3" s="19" t="s">
        <v>366</v>
      </c>
      <c r="O3" s="19" t="s">
        <v>478</v>
      </c>
      <c r="P3" s="20" t="s">
        <v>399</v>
      </c>
      <c r="Q3" s="21" t="s">
        <v>444</v>
      </c>
      <c r="R3" s="19" t="s">
        <v>479</v>
      </c>
      <c r="S3" s="19" t="s">
        <v>328</v>
      </c>
      <c r="T3" s="19" t="s">
        <v>480</v>
      </c>
      <c r="U3" s="19" t="s">
        <v>373</v>
      </c>
      <c r="V3" s="19" t="s">
        <v>481</v>
      </c>
      <c r="W3" s="20" t="s">
        <v>405</v>
      </c>
      <c r="X3" s="21" t="s">
        <v>449</v>
      </c>
      <c r="Y3" s="19" t="s">
        <v>482</v>
      </c>
      <c r="Z3" s="19" t="s">
        <v>335</v>
      </c>
      <c r="AA3" s="19" t="s">
        <v>483</v>
      </c>
      <c r="AB3" s="19" t="s">
        <v>380</v>
      </c>
      <c r="AC3" s="19" t="s">
        <v>484</v>
      </c>
      <c r="AD3" s="20" t="s">
        <v>411</v>
      </c>
      <c r="AE3" s="21" t="s">
        <v>454</v>
      </c>
      <c r="AF3" s="19" t="s">
        <v>485</v>
      </c>
      <c r="AG3" s="19" t="s">
        <v>342</v>
      </c>
      <c r="AH3" s="19" t="s">
        <v>489</v>
      </c>
      <c r="AI3" s="7" t="s">
        <v>344</v>
      </c>
      <c r="AJ3" s="7" t="s">
        <v>345</v>
      </c>
      <c r="AK3" s="7" t="s">
        <v>29</v>
      </c>
      <c r="AL3" s="34" t="s">
        <v>346</v>
      </c>
      <c r="AM3" s="34" t="s">
        <v>347</v>
      </c>
      <c r="AN3" s="61" t="s">
        <v>348</v>
      </c>
      <c r="AO3" s="42" t="s">
        <v>349</v>
      </c>
      <c r="AP3" s="43" t="s">
        <v>350</v>
      </c>
      <c r="AQ3" s="40" t="s">
        <v>351</v>
      </c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</row>
    <row r="4" spans="1:56" ht="25" customHeight="1" x14ac:dyDescent="0.35">
      <c r="A4" s="73" t="s">
        <v>42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</row>
    <row r="5" spans="1:56" ht="22" customHeight="1" x14ac:dyDescent="0.35">
      <c r="A5" s="8" t="s">
        <v>43</v>
      </c>
      <c r="B5" s="8" t="s">
        <v>44</v>
      </c>
      <c r="C5" s="8" t="s">
        <v>45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3</v>
      </c>
      <c r="I5" s="23" t="s">
        <v>7</v>
      </c>
      <c r="J5" s="24" t="s">
        <v>9</v>
      </c>
      <c r="K5" s="26" t="s">
        <v>3</v>
      </c>
      <c r="L5" s="26" t="s">
        <v>3</v>
      </c>
      <c r="M5" s="26" t="s">
        <v>3</v>
      </c>
      <c r="N5" s="26" t="s">
        <v>3</v>
      </c>
      <c r="O5" s="26" t="s">
        <v>3</v>
      </c>
      <c r="P5" s="23" t="s">
        <v>7</v>
      </c>
      <c r="Q5" s="24" t="s">
        <v>9</v>
      </c>
      <c r="R5" s="22" t="s">
        <v>5</v>
      </c>
      <c r="S5" s="22" t="s">
        <v>5</v>
      </c>
      <c r="T5" s="22" t="s">
        <v>5</v>
      </c>
      <c r="U5" s="22" t="s">
        <v>5</v>
      </c>
      <c r="V5" s="22" t="s">
        <v>5</v>
      </c>
      <c r="W5" s="23" t="s">
        <v>7</v>
      </c>
      <c r="X5" s="24" t="s">
        <v>9</v>
      </c>
      <c r="Y5" s="22" t="s">
        <v>5</v>
      </c>
      <c r="Z5" s="22" t="s">
        <v>5</v>
      </c>
      <c r="AA5" s="22" t="s">
        <v>5</v>
      </c>
      <c r="AB5" s="22" t="s">
        <v>5</v>
      </c>
      <c r="AC5" s="22" t="s">
        <v>5</v>
      </c>
      <c r="AD5" s="23" t="s">
        <v>7</v>
      </c>
      <c r="AE5" s="24" t="s">
        <v>9</v>
      </c>
      <c r="AF5" s="22" t="s">
        <v>5</v>
      </c>
      <c r="AG5" s="22" t="s">
        <v>5</v>
      </c>
      <c r="AH5" s="22" t="s">
        <v>5</v>
      </c>
      <c r="AI5" s="8">
        <f t="shared" ref="AI5:AI19" si="0">COUNTIF(D5:AH5,"ON")</f>
        <v>10</v>
      </c>
      <c r="AJ5" s="25">
        <f t="shared" ref="AJ5:AJ19" si="1">COUNTIF(D5:AH5,"OFF")</f>
        <v>13</v>
      </c>
      <c r="AK5" s="8">
        <f t="shared" ref="AK5:AK19" si="2">COUNTIF(D5:AH5,"OT")</f>
        <v>0</v>
      </c>
      <c r="AL5" s="62">
        <v>0</v>
      </c>
      <c r="AM5" s="33">
        <f t="shared" ref="AM5:AM19" si="3">AI5+AK5+AL5*0.5</f>
        <v>10</v>
      </c>
      <c r="AN5" s="63">
        <f t="shared" ref="AN5:AN19" si="4">NETWORKDAYS(DATE(2025,12,1),EOMONTH(DATE(2025,12,1),0))*8</f>
        <v>184</v>
      </c>
      <c r="AO5" s="63">
        <f t="shared" ref="AO5:AO19" si="5">MAX(0,COUNTIF(H5,"ON")+COUNTIF(O5,"ON")+COUNTIF(V5,"ON")+COUNTIF(AC5,"ON")-AL5)</f>
        <v>2</v>
      </c>
      <c r="AP5" s="63">
        <f t="shared" ref="AP5:AP19" si="6">AO5*$AP$2</f>
        <v>8</v>
      </c>
      <c r="AQ5" s="53">
        <f t="shared" ref="AQ5:AQ19" si="7">AM5-AP5/8</f>
        <v>9</v>
      </c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</row>
    <row r="6" spans="1:56" ht="22" customHeight="1" x14ac:dyDescent="0.35">
      <c r="A6" s="8" t="s">
        <v>46</v>
      </c>
      <c r="B6" s="8" t="s">
        <v>47</v>
      </c>
      <c r="C6" s="8" t="s">
        <v>45</v>
      </c>
      <c r="D6" s="22" t="s">
        <v>5</v>
      </c>
      <c r="E6" s="22" t="s">
        <v>5</v>
      </c>
      <c r="F6" s="22" t="s">
        <v>5</v>
      </c>
      <c r="G6" s="22" t="s">
        <v>5</v>
      </c>
      <c r="H6" s="22" t="s">
        <v>5</v>
      </c>
      <c r="I6" s="23" t="s">
        <v>7</v>
      </c>
      <c r="J6" s="24" t="s">
        <v>9</v>
      </c>
      <c r="K6" s="22" t="s">
        <v>5</v>
      </c>
      <c r="L6" s="22" t="s">
        <v>5</v>
      </c>
      <c r="M6" s="22" t="s">
        <v>5</v>
      </c>
      <c r="N6" s="22" t="s">
        <v>5</v>
      </c>
      <c r="O6" s="22" t="s">
        <v>5</v>
      </c>
      <c r="P6" s="23" t="s">
        <v>7</v>
      </c>
      <c r="Q6" s="24" t="s">
        <v>9</v>
      </c>
      <c r="R6" s="22" t="s">
        <v>5</v>
      </c>
      <c r="S6" s="22" t="s">
        <v>5</v>
      </c>
      <c r="T6" s="22" t="s">
        <v>5</v>
      </c>
      <c r="U6" s="22" t="s">
        <v>5</v>
      </c>
      <c r="V6" s="22" t="s">
        <v>5</v>
      </c>
      <c r="W6" s="23" t="s">
        <v>7</v>
      </c>
      <c r="X6" s="24" t="s">
        <v>9</v>
      </c>
      <c r="Y6" s="26" t="s">
        <v>3</v>
      </c>
      <c r="Z6" s="26" t="s">
        <v>3</v>
      </c>
      <c r="AA6" s="26" t="s">
        <v>3</v>
      </c>
      <c r="AB6" s="26" t="s">
        <v>3</v>
      </c>
      <c r="AC6" s="26" t="s">
        <v>3</v>
      </c>
      <c r="AD6" s="27" t="s">
        <v>7</v>
      </c>
      <c r="AE6" s="28" t="s">
        <v>11</v>
      </c>
      <c r="AF6" s="26" t="s">
        <v>3</v>
      </c>
      <c r="AG6" s="26" t="s">
        <v>3</v>
      </c>
      <c r="AH6" s="22" t="s">
        <v>5</v>
      </c>
      <c r="AI6" s="8">
        <f t="shared" si="0"/>
        <v>7</v>
      </c>
      <c r="AJ6" s="25">
        <f t="shared" si="1"/>
        <v>16</v>
      </c>
      <c r="AK6" s="29">
        <f t="shared" si="2"/>
        <v>1</v>
      </c>
      <c r="AL6" s="62">
        <v>1</v>
      </c>
      <c r="AM6" s="33">
        <f t="shared" si="3"/>
        <v>8.5</v>
      </c>
      <c r="AN6" s="63">
        <f t="shared" si="4"/>
        <v>184</v>
      </c>
      <c r="AO6" s="63">
        <f t="shared" si="5"/>
        <v>0</v>
      </c>
      <c r="AP6" s="63">
        <f t="shared" si="6"/>
        <v>0</v>
      </c>
      <c r="AQ6" s="53">
        <f t="shared" si="7"/>
        <v>8.5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</row>
    <row r="7" spans="1:56" ht="22" customHeight="1" x14ac:dyDescent="0.35">
      <c r="A7" s="8" t="s">
        <v>48</v>
      </c>
      <c r="B7" s="8" t="s">
        <v>49</v>
      </c>
      <c r="C7" s="8" t="s">
        <v>45</v>
      </c>
      <c r="D7" s="26" t="s">
        <v>3</v>
      </c>
      <c r="E7" s="26" t="s">
        <v>3</v>
      </c>
      <c r="F7" s="26" t="s">
        <v>3</v>
      </c>
      <c r="G7" s="26" t="s">
        <v>3</v>
      </c>
      <c r="H7" s="26" t="s">
        <v>3</v>
      </c>
      <c r="I7" s="23" t="s">
        <v>7</v>
      </c>
      <c r="J7" s="24" t="s">
        <v>9</v>
      </c>
      <c r="K7" s="26" t="s">
        <v>3</v>
      </c>
      <c r="L7" s="26" t="s">
        <v>3</v>
      </c>
      <c r="M7" s="26" t="s">
        <v>3</v>
      </c>
      <c r="N7" s="26" t="s">
        <v>3</v>
      </c>
      <c r="O7" s="26" t="s">
        <v>3</v>
      </c>
      <c r="P7" s="23" t="s">
        <v>7</v>
      </c>
      <c r="Q7" s="24" t="s">
        <v>9</v>
      </c>
      <c r="R7" s="26" t="s">
        <v>3</v>
      </c>
      <c r="S7" s="26" t="s">
        <v>3</v>
      </c>
      <c r="T7" s="26" t="s">
        <v>3</v>
      </c>
      <c r="U7" s="26" t="s">
        <v>3</v>
      </c>
      <c r="V7" s="26" t="s">
        <v>3</v>
      </c>
      <c r="W7" s="23" t="s">
        <v>7</v>
      </c>
      <c r="X7" s="24" t="s">
        <v>9</v>
      </c>
      <c r="Y7" s="26" t="s">
        <v>3</v>
      </c>
      <c r="Z7" s="26" t="s">
        <v>3</v>
      </c>
      <c r="AA7" s="26" t="s">
        <v>3</v>
      </c>
      <c r="AB7" s="22" t="s">
        <v>5</v>
      </c>
      <c r="AC7" s="22" t="s">
        <v>5</v>
      </c>
      <c r="AD7" s="23" t="s">
        <v>7</v>
      </c>
      <c r="AE7" s="24" t="s">
        <v>9</v>
      </c>
      <c r="AF7" s="22" t="s">
        <v>5</v>
      </c>
      <c r="AG7" s="22" t="s">
        <v>5</v>
      </c>
      <c r="AH7" s="22" t="s">
        <v>5</v>
      </c>
      <c r="AI7" s="8">
        <f t="shared" si="0"/>
        <v>18</v>
      </c>
      <c r="AJ7" s="8">
        <f t="shared" si="1"/>
        <v>5</v>
      </c>
      <c r="AK7" s="8">
        <f t="shared" si="2"/>
        <v>0</v>
      </c>
      <c r="AL7" s="62">
        <v>0</v>
      </c>
      <c r="AM7" s="33">
        <f t="shared" si="3"/>
        <v>18</v>
      </c>
      <c r="AN7" s="63">
        <f t="shared" si="4"/>
        <v>184</v>
      </c>
      <c r="AO7" s="63">
        <f t="shared" si="5"/>
        <v>3</v>
      </c>
      <c r="AP7" s="63">
        <f t="shared" si="6"/>
        <v>12</v>
      </c>
      <c r="AQ7" s="53">
        <f t="shared" si="7"/>
        <v>16.5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</row>
    <row r="8" spans="1:56" ht="22" customHeight="1" x14ac:dyDescent="0.35">
      <c r="A8" s="8" t="s">
        <v>50</v>
      </c>
      <c r="B8" s="8" t="s">
        <v>51</v>
      </c>
      <c r="C8" s="8" t="s">
        <v>45</v>
      </c>
      <c r="D8" s="26" t="s">
        <v>3</v>
      </c>
      <c r="E8" s="26" t="s">
        <v>3</v>
      </c>
      <c r="F8" s="26" t="s">
        <v>3</v>
      </c>
      <c r="G8" s="26" t="s">
        <v>3</v>
      </c>
      <c r="H8" s="26" t="s">
        <v>3</v>
      </c>
      <c r="I8" s="23" t="s">
        <v>7</v>
      </c>
      <c r="J8" s="24" t="s">
        <v>9</v>
      </c>
      <c r="K8" s="22" t="s">
        <v>5</v>
      </c>
      <c r="L8" s="22" t="s">
        <v>5</v>
      </c>
      <c r="M8" s="22" t="s">
        <v>5</v>
      </c>
      <c r="N8" s="22" t="s">
        <v>5</v>
      </c>
      <c r="O8" s="22" t="s">
        <v>5</v>
      </c>
      <c r="P8" s="23" t="s">
        <v>7</v>
      </c>
      <c r="Q8" s="24" t="s">
        <v>9</v>
      </c>
      <c r="R8" s="22" t="s">
        <v>5</v>
      </c>
      <c r="S8" s="22" t="s">
        <v>5</v>
      </c>
      <c r="T8" s="22" t="s">
        <v>5</v>
      </c>
      <c r="U8" s="22" t="s">
        <v>5</v>
      </c>
      <c r="V8" s="22" t="s">
        <v>5</v>
      </c>
      <c r="W8" s="23" t="s">
        <v>7</v>
      </c>
      <c r="X8" s="24" t="s">
        <v>9</v>
      </c>
      <c r="Y8" s="22" t="s">
        <v>5</v>
      </c>
      <c r="Z8" s="22" t="s">
        <v>5</v>
      </c>
      <c r="AA8" s="22" t="s">
        <v>5</v>
      </c>
      <c r="AB8" s="22" t="s">
        <v>5</v>
      </c>
      <c r="AC8" s="22" t="s">
        <v>5</v>
      </c>
      <c r="AD8" s="23" t="s">
        <v>7</v>
      </c>
      <c r="AE8" s="24" t="s">
        <v>9</v>
      </c>
      <c r="AF8" s="22" t="s">
        <v>5</v>
      </c>
      <c r="AG8" s="22" t="s">
        <v>5</v>
      </c>
      <c r="AH8" s="22" t="s">
        <v>5</v>
      </c>
      <c r="AI8" s="8">
        <f t="shared" si="0"/>
        <v>5</v>
      </c>
      <c r="AJ8" s="25">
        <f t="shared" si="1"/>
        <v>18</v>
      </c>
      <c r="AK8" s="8">
        <f t="shared" si="2"/>
        <v>0</v>
      </c>
      <c r="AL8" s="62">
        <v>0</v>
      </c>
      <c r="AM8" s="33">
        <f t="shared" si="3"/>
        <v>5</v>
      </c>
      <c r="AN8" s="63">
        <f t="shared" si="4"/>
        <v>184</v>
      </c>
      <c r="AO8" s="63">
        <f t="shared" si="5"/>
        <v>1</v>
      </c>
      <c r="AP8" s="63">
        <f t="shared" si="6"/>
        <v>4</v>
      </c>
      <c r="AQ8" s="53">
        <f t="shared" si="7"/>
        <v>4.5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</row>
    <row r="9" spans="1:56" ht="22" customHeight="1" x14ac:dyDescent="0.35">
      <c r="A9" s="8" t="s">
        <v>52</v>
      </c>
      <c r="B9" s="8" t="s">
        <v>53</v>
      </c>
      <c r="C9" s="8" t="s">
        <v>45</v>
      </c>
      <c r="D9" s="26" t="s">
        <v>3</v>
      </c>
      <c r="E9" s="26" t="s">
        <v>3</v>
      </c>
      <c r="F9" s="26" t="s">
        <v>3</v>
      </c>
      <c r="G9" s="26" t="s">
        <v>3</v>
      </c>
      <c r="H9" s="26" t="s">
        <v>3</v>
      </c>
      <c r="I9" s="23" t="s">
        <v>7</v>
      </c>
      <c r="J9" s="24" t="s">
        <v>9</v>
      </c>
      <c r="K9" s="22" t="s">
        <v>5</v>
      </c>
      <c r="L9" s="22" t="s">
        <v>5</v>
      </c>
      <c r="M9" s="22" t="s">
        <v>5</v>
      </c>
      <c r="N9" s="22" t="s">
        <v>5</v>
      </c>
      <c r="O9" s="22" t="s">
        <v>5</v>
      </c>
      <c r="P9" s="23" t="s">
        <v>7</v>
      </c>
      <c r="Q9" s="24" t="s">
        <v>9</v>
      </c>
      <c r="R9" s="22" t="s">
        <v>5</v>
      </c>
      <c r="S9" s="22" t="s">
        <v>5</v>
      </c>
      <c r="T9" s="22" t="s">
        <v>5</v>
      </c>
      <c r="U9" s="22" t="s">
        <v>5</v>
      </c>
      <c r="V9" s="22" t="s">
        <v>5</v>
      </c>
      <c r="W9" s="23" t="s">
        <v>7</v>
      </c>
      <c r="X9" s="24" t="s">
        <v>9</v>
      </c>
      <c r="Y9" s="22" t="s">
        <v>5</v>
      </c>
      <c r="Z9" s="22" t="s">
        <v>5</v>
      </c>
      <c r="AA9" s="22" t="s">
        <v>5</v>
      </c>
      <c r="AB9" s="22" t="s">
        <v>5</v>
      </c>
      <c r="AC9" s="22" t="s">
        <v>5</v>
      </c>
      <c r="AD9" s="23" t="s">
        <v>7</v>
      </c>
      <c r="AE9" s="24" t="s">
        <v>9</v>
      </c>
      <c r="AF9" s="22" t="s">
        <v>5</v>
      </c>
      <c r="AG9" s="22" t="s">
        <v>5</v>
      </c>
      <c r="AH9" s="22" t="s">
        <v>5</v>
      </c>
      <c r="AI9" s="8">
        <f t="shared" si="0"/>
        <v>5</v>
      </c>
      <c r="AJ9" s="25">
        <f t="shared" si="1"/>
        <v>18</v>
      </c>
      <c r="AK9" s="8">
        <f t="shared" si="2"/>
        <v>0</v>
      </c>
      <c r="AL9" s="62">
        <v>0</v>
      </c>
      <c r="AM9" s="33">
        <f t="shared" si="3"/>
        <v>5</v>
      </c>
      <c r="AN9" s="63">
        <f t="shared" si="4"/>
        <v>184</v>
      </c>
      <c r="AO9" s="63">
        <f t="shared" si="5"/>
        <v>1</v>
      </c>
      <c r="AP9" s="63">
        <f t="shared" si="6"/>
        <v>4</v>
      </c>
      <c r="AQ9" s="53">
        <f t="shared" si="7"/>
        <v>4.5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</row>
    <row r="10" spans="1:56" ht="22" customHeight="1" x14ac:dyDescent="0.35">
      <c r="A10" s="8" t="s">
        <v>54</v>
      </c>
      <c r="B10" s="8" t="s">
        <v>55</v>
      </c>
      <c r="C10" s="8" t="s">
        <v>45</v>
      </c>
      <c r="D10" s="26" t="s">
        <v>3</v>
      </c>
      <c r="E10" s="26" t="s">
        <v>3</v>
      </c>
      <c r="F10" s="26" t="s">
        <v>3</v>
      </c>
      <c r="G10" s="26" t="s">
        <v>3</v>
      </c>
      <c r="H10" s="26" t="s">
        <v>3</v>
      </c>
      <c r="I10" s="23" t="s">
        <v>7</v>
      </c>
      <c r="J10" s="24" t="s">
        <v>9</v>
      </c>
      <c r="K10" s="26" t="s">
        <v>3</v>
      </c>
      <c r="L10" s="26" t="s">
        <v>3</v>
      </c>
      <c r="M10" s="26" t="s">
        <v>3</v>
      </c>
      <c r="N10" s="26" t="s">
        <v>3</v>
      </c>
      <c r="O10" s="26" t="s">
        <v>3</v>
      </c>
      <c r="P10" s="23" t="s">
        <v>7</v>
      </c>
      <c r="Q10" s="24" t="s">
        <v>9</v>
      </c>
      <c r="R10" s="26" t="s">
        <v>3</v>
      </c>
      <c r="S10" s="26" t="s">
        <v>3</v>
      </c>
      <c r="T10" s="26" t="s">
        <v>3</v>
      </c>
      <c r="U10" s="26" t="s">
        <v>3</v>
      </c>
      <c r="V10" s="22" t="s">
        <v>5</v>
      </c>
      <c r="W10" s="23" t="s">
        <v>7</v>
      </c>
      <c r="X10" s="24" t="s">
        <v>9</v>
      </c>
      <c r="Y10" s="26" t="s">
        <v>3</v>
      </c>
      <c r="Z10" s="22" t="s">
        <v>5</v>
      </c>
      <c r="AA10" s="22" t="s">
        <v>5</v>
      </c>
      <c r="AB10" s="22" t="s">
        <v>5</v>
      </c>
      <c r="AC10" s="22" t="s">
        <v>5</v>
      </c>
      <c r="AD10" s="23" t="s">
        <v>7</v>
      </c>
      <c r="AE10" s="24" t="s">
        <v>9</v>
      </c>
      <c r="AF10" s="22" t="s">
        <v>5</v>
      </c>
      <c r="AG10" s="22" t="s">
        <v>5</v>
      </c>
      <c r="AH10" s="22" t="s">
        <v>5</v>
      </c>
      <c r="AI10" s="8">
        <f t="shared" si="0"/>
        <v>15</v>
      </c>
      <c r="AJ10" s="8">
        <f t="shared" si="1"/>
        <v>8</v>
      </c>
      <c r="AK10" s="8">
        <f t="shared" si="2"/>
        <v>0</v>
      </c>
      <c r="AL10" s="62">
        <v>0</v>
      </c>
      <c r="AM10" s="33">
        <f t="shared" si="3"/>
        <v>15</v>
      </c>
      <c r="AN10" s="63">
        <f t="shared" si="4"/>
        <v>184</v>
      </c>
      <c r="AO10" s="63">
        <f t="shared" si="5"/>
        <v>2</v>
      </c>
      <c r="AP10" s="63">
        <f t="shared" si="6"/>
        <v>8</v>
      </c>
      <c r="AQ10" s="53">
        <f t="shared" si="7"/>
        <v>14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</row>
    <row r="11" spans="1:56" ht="22" customHeight="1" x14ac:dyDescent="0.35">
      <c r="A11" s="8" t="s">
        <v>56</v>
      </c>
      <c r="B11" s="8" t="s">
        <v>57</v>
      </c>
      <c r="C11" s="8" t="s">
        <v>45</v>
      </c>
      <c r="D11" s="26" t="s">
        <v>3</v>
      </c>
      <c r="E11" s="26" t="s">
        <v>3</v>
      </c>
      <c r="F11" s="26" t="s">
        <v>3</v>
      </c>
      <c r="G11" s="26" t="s">
        <v>3</v>
      </c>
      <c r="H11" s="26" t="s">
        <v>3</v>
      </c>
      <c r="I11" s="23" t="s">
        <v>7</v>
      </c>
      <c r="J11" s="24" t="s">
        <v>9</v>
      </c>
      <c r="K11" s="22" t="s">
        <v>5</v>
      </c>
      <c r="L11" s="22" t="s">
        <v>5</v>
      </c>
      <c r="M11" s="22" t="s">
        <v>5</v>
      </c>
      <c r="N11" s="22" t="s">
        <v>5</v>
      </c>
      <c r="O11" s="22" t="s">
        <v>5</v>
      </c>
      <c r="P11" s="23" t="s">
        <v>7</v>
      </c>
      <c r="Q11" s="24" t="s">
        <v>9</v>
      </c>
      <c r="R11" s="26" t="s">
        <v>3</v>
      </c>
      <c r="S11" s="26" t="s">
        <v>3</v>
      </c>
      <c r="T11" s="26" t="s">
        <v>3</v>
      </c>
      <c r="U11" s="22" t="s">
        <v>5</v>
      </c>
      <c r="V11" s="22" t="s">
        <v>5</v>
      </c>
      <c r="W11" s="23" t="s">
        <v>7</v>
      </c>
      <c r="X11" s="24" t="s">
        <v>9</v>
      </c>
      <c r="Y11" s="26" t="s">
        <v>3</v>
      </c>
      <c r="Z11" s="26" t="s">
        <v>3</v>
      </c>
      <c r="AA11" s="26" t="s">
        <v>3</v>
      </c>
      <c r="AB11" s="22" t="s">
        <v>5</v>
      </c>
      <c r="AC11" s="22" t="s">
        <v>5</v>
      </c>
      <c r="AD11" s="23" t="s">
        <v>7</v>
      </c>
      <c r="AE11" s="24" t="s">
        <v>9</v>
      </c>
      <c r="AF11" s="22" t="s">
        <v>5</v>
      </c>
      <c r="AG11" s="22" t="s">
        <v>5</v>
      </c>
      <c r="AH11" s="22" t="s">
        <v>5</v>
      </c>
      <c r="AI11" s="8">
        <f t="shared" si="0"/>
        <v>11</v>
      </c>
      <c r="AJ11" s="25">
        <f t="shared" si="1"/>
        <v>12</v>
      </c>
      <c r="AK11" s="8">
        <f t="shared" si="2"/>
        <v>0</v>
      </c>
      <c r="AL11" s="62">
        <v>0</v>
      </c>
      <c r="AM11" s="33">
        <f t="shared" si="3"/>
        <v>11</v>
      </c>
      <c r="AN11" s="63">
        <f t="shared" si="4"/>
        <v>184</v>
      </c>
      <c r="AO11" s="63">
        <f t="shared" si="5"/>
        <v>1</v>
      </c>
      <c r="AP11" s="63">
        <f t="shared" si="6"/>
        <v>4</v>
      </c>
      <c r="AQ11" s="53">
        <f t="shared" si="7"/>
        <v>10.5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</row>
    <row r="12" spans="1:56" ht="22" customHeight="1" x14ac:dyDescent="0.35">
      <c r="A12" s="8" t="s">
        <v>58</v>
      </c>
      <c r="B12" s="8" t="s">
        <v>59</v>
      </c>
      <c r="C12" s="8" t="s">
        <v>45</v>
      </c>
      <c r="D12" s="22" t="s">
        <v>5</v>
      </c>
      <c r="E12" s="22" t="s">
        <v>5</v>
      </c>
      <c r="F12" s="22" t="s">
        <v>5</v>
      </c>
      <c r="G12" s="22" t="s">
        <v>5</v>
      </c>
      <c r="H12" s="22" t="s">
        <v>5</v>
      </c>
      <c r="I12" s="23" t="s">
        <v>7</v>
      </c>
      <c r="J12" s="24" t="s">
        <v>9</v>
      </c>
      <c r="K12" s="22" t="s">
        <v>5</v>
      </c>
      <c r="L12" s="22" t="s">
        <v>5</v>
      </c>
      <c r="M12" s="22" t="s">
        <v>5</v>
      </c>
      <c r="N12" s="22" t="s">
        <v>5</v>
      </c>
      <c r="O12" s="22" t="s">
        <v>5</v>
      </c>
      <c r="P12" s="23" t="s">
        <v>7</v>
      </c>
      <c r="Q12" s="24" t="s">
        <v>9</v>
      </c>
      <c r="R12" s="22" t="s">
        <v>5</v>
      </c>
      <c r="S12" s="22" t="s">
        <v>5</v>
      </c>
      <c r="T12" s="22" t="s">
        <v>5</v>
      </c>
      <c r="U12" s="22" t="s">
        <v>5</v>
      </c>
      <c r="V12" s="22" t="s">
        <v>5</v>
      </c>
      <c r="W12" s="23" t="s">
        <v>7</v>
      </c>
      <c r="X12" s="24" t="s">
        <v>9</v>
      </c>
      <c r="Y12" s="22" t="s">
        <v>5</v>
      </c>
      <c r="Z12" s="22" t="s">
        <v>5</v>
      </c>
      <c r="AA12" s="22" t="s">
        <v>5</v>
      </c>
      <c r="AB12" s="22" t="s">
        <v>5</v>
      </c>
      <c r="AC12" s="22" t="s">
        <v>5</v>
      </c>
      <c r="AD12" s="23" t="s">
        <v>7</v>
      </c>
      <c r="AE12" s="24" t="s">
        <v>9</v>
      </c>
      <c r="AF12" s="22" t="s">
        <v>5</v>
      </c>
      <c r="AG12" s="22" t="s">
        <v>5</v>
      </c>
      <c r="AH12" s="22" t="s">
        <v>5</v>
      </c>
      <c r="AI12" s="8">
        <f t="shared" si="0"/>
        <v>0</v>
      </c>
      <c r="AJ12" s="25">
        <f t="shared" si="1"/>
        <v>23</v>
      </c>
      <c r="AK12" s="8">
        <f t="shared" si="2"/>
        <v>0</v>
      </c>
      <c r="AL12" s="62">
        <v>0</v>
      </c>
      <c r="AM12" s="33">
        <f t="shared" si="3"/>
        <v>0</v>
      </c>
      <c r="AN12" s="63">
        <f t="shared" si="4"/>
        <v>184</v>
      </c>
      <c r="AO12" s="63">
        <f t="shared" si="5"/>
        <v>0</v>
      </c>
      <c r="AP12" s="63">
        <f t="shared" si="6"/>
        <v>0</v>
      </c>
      <c r="AQ12" s="53">
        <f t="shared" si="7"/>
        <v>0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</row>
    <row r="13" spans="1:56" ht="22" customHeight="1" x14ac:dyDescent="0.35">
      <c r="A13" s="8" t="s">
        <v>60</v>
      </c>
      <c r="B13" s="8" t="s">
        <v>61</v>
      </c>
      <c r="C13" s="8" t="s">
        <v>45</v>
      </c>
      <c r="D13" s="26" t="s">
        <v>3</v>
      </c>
      <c r="E13" s="26" t="s">
        <v>3</v>
      </c>
      <c r="F13" s="26" t="s">
        <v>3</v>
      </c>
      <c r="G13" s="26" t="s">
        <v>3</v>
      </c>
      <c r="H13" s="26" t="s">
        <v>3</v>
      </c>
      <c r="I13" s="27" t="s">
        <v>7</v>
      </c>
      <c r="J13" s="28" t="s">
        <v>11</v>
      </c>
      <c r="K13" s="26" t="s">
        <v>3</v>
      </c>
      <c r="L13" s="26" t="s">
        <v>3</v>
      </c>
      <c r="M13" s="26" t="s">
        <v>3</v>
      </c>
      <c r="N13" s="26" t="s">
        <v>3</v>
      </c>
      <c r="O13" s="26" t="s">
        <v>3</v>
      </c>
      <c r="P13" s="27" t="s">
        <v>7</v>
      </c>
      <c r="Q13" s="28" t="s">
        <v>11</v>
      </c>
      <c r="R13" s="22" t="s">
        <v>5</v>
      </c>
      <c r="S13" s="22" t="s">
        <v>5</v>
      </c>
      <c r="T13" s="22" t="s">
        <v>5</v>
      </c>
      <c r="U13" s="22" t="s">
        <v>5</v>
      </c>
      <c r="V13" s="22" t="s">
        <v>5</v>
      </c>
      <c r="W13" s="23" t="s">
        <v>7</v>
      </c>
      <c r="X13" s="24" t="s">
        <v>9</v>
      </c>
      <c r="Y13" s="26" t="s">
        <v>3</v>
      </c>
      <c r="Z13" s="26" t="s">
        <v>3</v>
      </c>
      <c r="AA13" s="26" t="s">
        <v>3</v>
      </c>
      <c r="AB13" s="26" t="s">
        <v>3</v>
      </c>
      <c r="AC13" s="26" t="s">
        <v>3</v>
      </c>
      <c r="AD13" s="27" t="s">
        <v>7</v>
      </c>
      <c r="AE13" s="28" t="s">
        <v>11</v>
      </c>
      <c r="AF13" s="26" t="s">
        <v>3</v>
      </c>
      <c r="AG13" s="26" t="s">
        <v>3</v>
      </c>
      <c r="AH13" s="22" t="s">
        <v>5</v>
      </c>
      <c r="AI13" s="8">
        <f t="shared" si="0"/>
        <v>17</v>
      </c>
      <c r="AJ13" s="8">
        <f t="shared" si="1"/>
        <v>6</v>
      </c>
      <c r="AK13" s="29">
        <f t="shared" si="2"/>
        <v>3</v>
      </c>
      <c r="AL13" s="62">
        <v>3</v>
      </c>
      <c r="AM13" s="33">
        <f t="shared" si="3"/>
        <v>21.5</v>
      </c>
      <c r="AN13" s="63">
        <f t="shared" si="4"/>
        <v>184</v>
      </c>
      <c r="AO13" s="63">
        <f t="shared" si="5"/>
        <v>0</v>
      </c>
      <c r="AP13" s="63">
        <f t="shared" si="6"/>
        <v>0</v>
      </c>
      <c r="AQ13" s="53">
        <f t="shared" si="7"/>
        <v>21.5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</row>
    <row r="14" spans="1:56" ht="22" customHeight="1" x14ac:dyDescent="0.35">
      <c r="A14" s="8" t="s">
        <v>352</v>
      </c>
      <c r="B14" s="8" t="s">
        <v>353</v>
      </c>
      <c r="C14" s="8" t="s">
        <v>45</v>
      </c>
      <c r="D14" s="26" t="s">
        <v>3</v>
      </c>
      <c r="E14" s="26" t="s">
        <v>3</v>
      </c>
      <c r="F14" s="26" t="s">
        <v>3</v>
      </c>
      <c r="G14" s="26" t="s">
        <v>3</v>
      </c>
      <c r="H14" s="26" t="s">
        <v>3</v>
      </c>
      <c r="I14" s="23" t="s">
        <v>7</v>
      </c>
      <c r="J14" s="24" t="s">
        <v>9</v>
      </c>
      <c r="K14" s="22" t="s">
        <v>5</v>
      </c>
      <c r="L14" s="22" t="s">
        <v>5</v>
      </c>
      <c r="M14" s="22" t="s">
        <v>5</v>
      </c>
      <c r="N14" s="22" t="s">
        <v>5</v>
      </c>
      <c r="O14" s="22" t="s">
        <v>5</v>
      </c>
      <c r="P14" s="23" t="s">
        <v>7</v>
      </c>
      <c r="Q14" s="24" t="s">
        <v>9</v>
      </c>
      <c r="R14" s="22" t="s">
        <v>5</v>
      </c>
      <c r="S14" s="22" t="s">
        <v>5</v>
      </c>
      <c r="T14" s="22" t="s">
        <v>5</v>
      </c>
      <c r="U14" s="22" t="s">
        <v>5</v>
      </c>
      <c r="V14" s="22" t="s">
        <v>5</v>
      </c>
      <c r="W14" s="23" t="s">
        <v>7</v>
      </c>
      <c r="X14" s="24" t="s">
        <v>9</v>
      </c>
      <c r="Y14" s="22" t="s">
        <v>5</v>
      </c>
      <c r="Z14" s="22" t="s">
        <v>5</v>
      </c>
      <c r="AA14" s="22" t="s">
        <v>5</v>
      </c>
      <c r="AB14" s="22" t="s">
        <v>5</v>
      </c>
      <c r="AC14" s="22" t="s">
        <v>5</v>
      </c>
      <c r="AD14" s="23" t="s">
        <v>7</v>
      </c>
      <c r="AE14" s="24" t="s">
        <v>9</v>
      </c>
      <c r="AF14" s="22" t="s">
        <v>5</v>
      </c>
      <c r="AG14" s="22" t="s">
        <v>5</v>
      </c>
      <c r="AH14" s="22" t="s">
        <v>5</v>
      </c>
      <c r="AI14" s="8">
        <f t="shared" si="0"/>
        <v>5</v>
      </c>
      <c r="AJ14" s="25">
        <f t="shared" si="1"/>
        <v>18</v>
      </c>
      <c r="AK14" s="8">
        <f t="shared" si="2"/>
        <v>0</v>
      </c>
      <c r="AL14" s="62">
        <v>0</v>
      </c>
      <c r="AM14" s="33">
        <f t="shared" si="3"/>
        <v>5</v>
      </c>
      <c r="AN14" s="63">
        <f t="shared" si="4"/>
        <v>184</v>
      </c>
      <c r="AO14" s="63">
        <f t="shared" si="5"/>
        <v>1</v>
      </c>
      <c r="AP14" s="63">
        <f t="shared" si="6"/>
        <v>4</v>
      </c>
      <c r="AQ14" s="53">
        <f t="shared" si="7"/>
        <v>4.5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</row>
    <row r="15" spans="1:56" ht="22" customHeight="1" x14ac:dyDescent="0.35">
      <c r="A15" s="8" t="s">
        <v>62</v>
      </c>
      <c r="B15" s="8" t="s">
        <v>63</v>
      </c>
      <c r="C15" s="8" t="s">
        <v>45</v>
      </c>
      <c r="D15" s="26" t="s">
        <v>3</v>
      </c>
      <c r="E15" s="26" t="s">
        <v>3</v>
      </c>
      <c r="F15" s="26" t="s">
        <v>3</v>
      </c>
      <c r="G15" s="26" t="s">
        <v>3</v>
      </c>
      <c r="H15" s="26" t="s">
        <v>3</v>
      </c>
      <c r="I15" s="27" t="s">
        <v>7</v>
      </c>
      <c r="J15" s="28" t="s">
        <v>11</v>
      </c>
      <c r="K15" s="26" t="s">
        <v>3</v>
      </c>
      <c r="L15" s="26" t="s">
        <v>3</v>
      </c>
      <c r="M15" s="26" t="s">
        <v>3</v>
      </c>
      <c r="N15" s="26" t="s">
        <v>3</v>
      </c>
      <c r="O15" s="26" t="s">
        <v>3</v>
      </c>
      <c r="P15" s="23" t="s">
        <v>7</v>
      </c>
      <c r="Q15" s="24" t="s">
        <v>9</v>
      </c>
      <c r="R15" s="26" t="s">
        <v>3</v>
      </c>
      <c r="S15" s="26" t="s">
        <v>3</v>
      </c>
      <c r="T15" s="26" t="s">
        <v>3</v>
      </c>
      <c r="U15" s="26" t="s">
        <v>3</v>
      </c>
      <c r="V15" s="26" t="s">
        <v>3</v>
      </c>
      <c r="W15" s="27" t="s">
        <v>7</v>
      </c>
      <c r="X15" s="24" t="s">
        <v>9</v>
      </c>
      <c r="Y15" s="26" t="s">
        <v>3</v>
      </c>
      <c r="Z15" s="22" t="s">
        <v>5</v>
      </c>
      <c r="AA15" s="26" t="s">
        <v>3</v>
      </c>
      <c r="AB15" s="22" t="s">
        <v>5</v>
      </c>
      <c r="AC15" s="22" t="s">
        <v>5</v>
      </c>
      <c r="AD15" s="23" t="s">
        <v>7</v>
      </c>
      <c r="AE15" s="24" t="s">
        <v>9</v>
      </c>
      <c r="AF15" s="22" t="s">
        <v>5</v>
      </c>
      <c r="AG15" s="22" t="s">
        <v>5</v>
      </c>
      <c r="AH15" s="22" t="s">
        <v>5</v>
      </c>
      <c r="AI15" s="8">
        <f t="shared" si="0"/>
        <v>17</v>
      </c>
      <c r="AJ15" s="8">
        <f t="shared" si="1"/>
        <v>6</v>
      </c>
      <c r="AK15" s="29">
        <f t="shared" si="2"/>
        <v>1</v>
      </c>
      <c r="AL15" s="62">
        <v>2</v>
      </c>
      <c r="AM15" s="33">
        <f t="shared" si="3"/>
        <v>19</v>
      </c>
      <c r="AN15" s="63">
        <f t="shared" si="4"/>
        <v>184</v>
      </c>
      <c r="AO15" s="63">
        <f t="shared" si="5"/>
        <v>1</v>
      </c>
      <c r="AP15" s="63">
        <f t="shared" si="6"/>
        <v>4</v>
      </c>
      <c r="AQ15" s="53">
        <f t="shared" si="7"/>
        <v>18.5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</row>
    <row r="16" spans="1:56" ht="22" customHeight="1" x14ac:dyDescent="0.35">
      <c r="A16" s="8" t="s">
        <v>64</v>
      </c>
      <c r="B16" s="8" t="s">
        <v>63</v>
      </c>
      <c r="C16" s="8" t="s">
        <v>45</v>
      </c>
      <c r="D16" s="22" t="s">
        <v>5</v>
      </c>
      <c r="E16" s="22" t="s">
        <v>5</v>
      </c>
      <c r="F16" s="22" t="s">
        <v>5</v>
      </c>
      <c r="G16" s="22" t="s">
        <v>5</v>
      </c>
      <c r="H16" s="22" t="s">
        <v>5</v>
      </c>
      <c r="I16" s="23" t="s">
        <v>7</v>
      </c>
      <c r="J16" s="24" t="s">
        <v>9</v>
      </c>
      <c r="K16" s="22" t="s">
        <v>5</v>
      </c>
      <c r="L16" s="22" t="s">
        <v>5</v>
      </c>
      <c r="M16" s="22" t="s">
        <v>5</v>
      </c>
      <c r="N16" s="22" t="s">
        <v>5</v>
      </c>
      <c r="O16" s="22" t="s">
        <v>5</v>
      </c>
      <c r="P16" s="23" t="s">
        <v>7</v>
      </c>
      <c r="Q16" s="24" t="s">
        <v>9</v>
      </c>
      <c r="R16" s="22" t="s">
        <v>5</v>
      </c>
      <c r="S16" s="22" t="s">
        <v>5</v>
      </c>
      <c r="T16" s="26" t="s">
        <v>3</v>
      </c>
      <c r="U16" s="26" t="s">
        <v>3</v>
      </c>
      <c r="V16" s="26" t="s">
        <v>3</v>
      </c>
      <c r="W16" s="27" t="s">
        <v>7</v>
      </c>
      <c r="X16" s="28" t="s">
        <v>11</v>
      </c>
      <c r="Y16" s="26" t="s">
        <v>3</v>
      </c>
      <c r="Z16" s="26" t="s">
        <v>3</v>
      </c>
      <c r="AA16" s="26" t="s">
        <v>3</v>
      </c>
      <c r="AB16" s="22" t="s">
        <v>5</v>
      </c>
      <c r="AC16" s="22" t="s">
        <v>5</v>
      </c>
      <c r="AD16" s="23" t="s">
        <v>7</v>
      </c>
      <c r="AE16" s="24" t="s">
        <v>9</v>
      </c>
      <c r="AF16" s="22" t="s">
        <v>5</v>
      </c>
      <c r="AG16" s="22" t="s">
        <v>5</v>
      </c>
      <c r="AH16" s="26" t="s">
        <v>3</v>
      </c>
      <c r="AI16" s="8">
        <f t="shared" si="0"/>
        <v>7</v>
      </c>
      <c r="AJ16" s="25">
        <f t="shared" si="1"/>
        <v>16</v>
      </c>
      <c r="AK16" s="29">
        <f t="shared" si="2"/>
        <v>1</v>
      </c>
      <c r="AL16" s="62">
        <v>1</v>
      </c>
      <c r="AM16" s="33">
        <f t="shared" si="3"/>
        <v>8.5</v>
      </c>
      <c r="AN16" s="63">
        <f t="shared" si="4"/>
        <v>184</v>
      </c>
      <c r="AO16" s="63">
        <f t="shared" si="5"/>
        <v>0</v>
      </c>
      <c r="AP16" s="63">
        <f t="shared" si="6"/>
        <v>0</v>
      </c>
      <c r="AQ16" s="53">
        <f t="shared" si="7"/>
        <v>8.5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</row>
    <row r="17" spans="1:56" ht="22" customHeight="1" x14ac:dyDescent="0.35">
      <c r="A17" s="8" t="s">
        <v>65</v>
      </c>
      <c r="B17" s="8" t="s">
        <v>66</v>
      </c>
      <c r="C17" s="8" t="s">
        <v>45</v>
      </c>
      <c r="D17" s="26" t="s">
        <v>3</v>
      </c>
      <c r="E17" s="26" t="s">
        <v>3</v>
      </c>
      <c r="F17" s="26" t="s">
        <v>3</v>
      </c>
      <c r="G17" s="26" t="s">
        <v>3</v>
      </c>
      <c r="H17" s="26" t="s">
        <v>3</v>
      </c>
      <c r="I17" s="27" t="s">
        <v>7</v>
      </c>
      <c r="J17" s="28" t="s">
        <v>11</v>
      </c>
      <c r="K17" s="26" t="s">
        <v>3</v>
      </c>
      <c r="L17" s="26" t="s">
        <v>3</v>
      </c>
      <c r="M17" s="26" t="s">
        <v>3</v>
      </c>
      <c r="N17" s="26" t="s">
        <v>3</v>
      </c>
      <c r="O17" s="26" t="s">
        <v>3</v>
      </c>
      <c r="P17" s="23" t="s">
        <v>7</v>
      </c>
      <c r="Q17" s="24" t="s">
        <v>9</v>
      </c>
      <c r="R17" s="26" t="s">
        <v>3</v>
      </c>
      <c r="S17" s="26" t="s">
        <v>3</v>
      </c>
      <c r="T17" s="26" t="s">
        <v>3</v>
      </c>
      <c r="U17" s="26" t="s">
        <v>3</v>
      </c>
      <c r="V17" s="26" t="s">
        <v>3</v>
      </c>
      <c r="W17" s="27" t="s">
        <v>7</v>
      </c>
      <c r="X17" s="28" t="s">
        <v>11</v>
      </c>
      <c r="Y17" s="26" t="s">
        <v>3</v>
      </c>
      <c r="Z17" s="26" t="s">
        <v>3</v>
      </c>
      <c r="AA17" s="26" t="s">
        <v>3</v>
      </c>
      <c r="AB17" s="22" t="s">
        <v>5</v>
      </c>
      <c r="AC17" s="22" t="s">
        <v>5</v>
      </c>
      <c r="AD17" s="23" t="s">
        <v>7</v>
      </c>
      <c r="AE17" s="24" t="s">
        <v>9</v>
      </c>
      <c r="AF17" s="22" t="s">
        <v>5</v>
      </c>
      <c r="AG17" s="22" t="s">
        <v>5</v>
      </c>
      <c r="AH17" s="26" t="s">
        <v>3</v>
      </c>
      <c r="AI17" s="8">
        <f t="shared" si="0"/>
        <v>19</v>
      </c>
      <c r="AJ17" s="8">
        <f t="shared" si="1"/>
        <v>4</v>
      </c>
      <c r="AK17" s="29">
        <f t="shared" si="2"/>
        <v>2</v>
      </c>
      <c r="AL17" s="62">
        <v>2</v>
      </c>
      <c r="AM17" s="33">
        <f t="shared" si="3"/>
        <v>22</v>
      </c>
      <c r="AN17" s="63">
        <f t="shared" si="4"/>
        <v>184</v>
      </c>
      <c r="AO17" s="63">
        <f t="shared" si="5"/>
        <v>1</v>
      </c>
      <c r="AP17" s="63">
        <f t="shared" si="6"/>
        <v>4</v>
      </c>
      <c r="AQ17" s="53">
        <f t="shared" si="7"/>
        <v>21.5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</row>
    <row r="18" spans="1:56" ht="22" customHeight="1" x14ac:dyDescent="0.35">
      <c r="A18" s="8" t="s">
        <v>67</v>
      </c>
      <c r="B18" s="8" t="s">
        <v>68</v>
      </c>
      <c r="C18" s="8" t="s">
        <v>45</v>
      </c>
      <c r="D18" s="22" t="s">
        <v>5</v>
      </c>
      <c r="E18" s="22" t="s">
        <v>5</v>
      </c>
      <c r="F18" s="26" t="s">
        <v>3</v>
      </c>
      <c r="G18" s="26" t="s">
        <v>3</v>
      </c>
      <c r="H18" s="22" t="s">
        <v>5</v>
      </c>
      <c r="I18" s="23" t="s">
        <v>7</v>
      </c>
      <c r="J18" s="24" t="s">
        <v>9</v>
      </c>
      <c r="K18" s="26" t="s">
        <v>3</v>
      </c>
      <c r="L18" s="22" t="s">
        <v>5</v>
      </c>
      <c r="M18" s="22" t="s">
        <v>5</v>
      </c>
      <c r="N18" s="22" t="s">
        <v>5</v>
      </c>
      <c r="O18" s="22" t="s">
        <v>5</v>
      </c>
      <c r="P18" s="23" t="s">
        <v>7</v>
      </c>
      <c r="Q18" s="24" t="s">
        <v>9</v>
      </c>
      <c r="R18" s="22" t="s">
        <v>5</v>
      </c>
      <c r="S18" s="22" t="s">
        <v>5</v>
      </c>
      <c r="T18" s="22" t="s">
        <v>5</v>
      </c>
      <c r="U18" s="26" t="s">
        <v>3</v>
      </c>
      <c r="V18" s="22" t="s">
        <v>5</v>
      </c>
      <c r="W18" s="23" t="s">
        <v>7</v>
      </c>
      <c r="X18" s="24" t="s">
        <v>9</v>
      </c>
      <c r="Y18" s="22" t="s">
        <v>5</v>
      </c>
      <c r="Z18" s="22" t="s">
        <v>5</v>
      </c>
      <c r="AA18" s="22" t="s">
        <v>5</v>
      </c>
      <c r="AB18" s="22" t="s">
        <v>5</v>
      </c>
      <c r="AC18" s="22" t="s">
        <v>5</v>
      </c>
      <c r="AD18" s="23" t="s">
        <v>7</v>
      </c>
      <c r="AE18" s="24" t="s">
        <v>9</v>
      </c>
      <c r="AF18" s="22" t="s">
        <v>5</v>
      </c>
      <c r="AG18" s="22" t="s">
        <v>5</v>
      </c>
      <c r="AH18" s="22" t="s">
        <v>5</v>
      </c>
      <c r="AI18" s="8">
        <f t="shared" si="0"/>
        <v>4</v>
      </c>
      <c r="AJ18" s="25">
        <f t="shared" si="1"/>
        <v>19</v>
      </c>
      <c r="AK18" s="8">
        <f t="shared" si="2"/>
        <v>0</v>
      </c>
      <c r="AL18" s="62">
        <v>0</v>
      </c>
      <c r="AM18" s="33">
        <f t="shared" si="3"/>
        <v>4</v>
      </c>
      <c r="AN18" s="63">
        <f t="shared" si="4"/>
        <v>184</v>
      </c>
      <c r="AO18" s="63">
        <f t="shared" si="5"/>
        <v>0</v>
      </c>
      <c r="AP18" s="63">
        <f t="shared" si="6"/>
        <v>0</v>
      </c>
      <c r="AQ18" s="53">
        <f t="shared" si="7"/>
        <v>4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</row>
    <row r="19" spans="1:56" ht="22" customHeight="1" x14ac:dyDescent="0.35">
      <c r="A19" s="8" t="s">
        <v>69</v>
      </c>
      <c r="B19" s="8" t="s">
        <v>70</v>
      </c>
      <c r="C19" s="8" t="s">
        <v>45</v>
      </c>
      <c r="D19" s="22" t="s">
        <v>5</v>
      </c>
      <c r="E19" s="22" t="s">
        <v>5</v>
      </c>
      <c r="F19" s="22" t="s">
        <v>5</v>
      </c>
      <c r="G19" s="22" t="s">
        <v>5</v>
      </c>
      <c r="H19" s="22" t="s">
        <v>5</v>
      </c>
      <c r="I19" s="23" t="s">
        <v>7</v>
      </c>
      <c r="J19" s="24" t="s">
        <v>9</v>
      </c>
      <c r="K19" s="26" t="s">
        <v>3</v>
      </c>
      <c r="L19" s="26" t="s">
        <v>3</v>
      </c>
      <c r="M19" s="26" t="s">
        <v>3</v>
      </c>
      <c r="N19" s="26" t="s">
        <v>3</v>
      </c>
      <c r="O19" s="26" t="s">
        <v>3</v>
      </c>
      <c r="P19" s="27" t="s">
        <v>7</v>
      </c>
      <c r="Q19" s="28" t="s">
        <v>11</v>
      </c>
      <c r="R19" s="26" t="s">
        <v>3</v>
      </c>
      <c r="S19" s="26" t="s">
        <v>3</v>
      </c>
      <c r="T19" s="26" t="s">
        <v>3</v>
      </c>
      <c r="U19" s="26" t="s">
        <v>3</v>
      </c>
      <c r="V19" s="26" t="s">
        <v>3</v>
      </c>
      <c r="W19" s="23" t="s">
        <v>7</v>
      </c>
      <c r="X19" s="24" t="s">
        <v>9</v>
      </c>
      <c r="Y19" s="26" t="s">
        <v>3</v>
      </c>
      <c r="Z19" s="26" t="s">
        <v>3</v>
      </c>
      <c r="AA19" s="26" t="s">
        <v>3</v>
      </c>
      <c r="AB19" s="26" t="s">
        <v>3</v>
      </c>
      <c r="AC19" s="26" t="s">
        <v>3</v>
      </c>
      <c r="AD19" s="27" t="s">
        <v>7</v>
      </c>
      <c r="AE19" s="28" t="s">
        <v>11</v>
      </c>
      <c r="AF19" s="26" t="s">
        <v>3</v>
      </c>
      <c r="AG19" s="26" t="s">
        <v>3</v>
      </c>
      <c r="AH19" s="22" t="s">
        <v>5</v>
      </c>
      <c r="AI19" s="8">
        <f t="shared" si="0"/>
        <v>17</v>
      </c>
      <c r="AJ19" s="8">
        <f t="shared" si="1"/>
        <v>6</v>
      </c>
      <c r="AK19" s="29">
        <f t="shared" si="2"/>
        <v>2</v>
      </c>
      <c r="AL19" s="62">
        <v>2</v>
      </c>
      <c r="AM19" s="33">
        <f t="shared" si="3"/>
        <v>20</v>
      </c>
      <c r="AN19" s="63">
        <f t="shared" si="4"/>
        <v>184</v>
      </c>
      <c r="AO19" s="63">
        <f t="shared" si="5"/>
        <v>1</v>
      </c>
      <c r="AP19" s="63">
        <f t="shared" si="6"/>
        <v>4</v>
      </c>
      <c r="AQ19" s="53">
        <f t="shared" si="7"/>
        <v>19.5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</row>
    <row r="20" spans="1:56" x14ac:dyDescent="0.35"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</row>
    <row r="21" spans="1:56" ht="25" customHeight="1" x14ac:dyDescent="0.35">
      <c r="A21" s="75" t="s">
        <v>71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</row>
    <row r="22" spans="1:56" ht="22" customHeight="1" x14ac:dyDescent="0.35">
      <c r="A22" s="8" t="s">
        <v>72</v>
      </c>
      <c r="B22" s="8" t="s">
        <v>73</v>
      </c>
      <c r="C22" s="8" t="s">
        <v>74</v>
      </c>
      <c r="D22" s="26" t="s">
        <v>3</v>
      </c>
      <c r="E22" s="26" t="s">
        <v>3</v>
      </c>
      <c r="F22" s="26" t="s">
        <v>3</v>
      </c>
      <c r="G22" s="26" t="s">
        <v>3</v>
      </c>
      <c r="H22" s="26" t="s">
        <v>3</v>
      </c>
      <c r="I22" s="27" t="s">
        <v>7</v>
      </c>
      <c r="J22" s="28" t="s">
        <v>11</v>
      </c>
      <c r="K22" s="26" t="s">
        <v>3</v>
      </c>
      <c r="L22" s="26" t="s">
        <v>3</v>
      </c>
      <c r="M22" s="26" t="s">
        <v>3</v>
      </c>
      <c r="N22" s="26" t="s">
        <v>3</v>
      </c>
      <c r="O22" s="26" t="s">
        <v>3</v>
      </c>
      <c r="P22" s="23" t="s">
        <v>7</v>
      </c>
      <c r="Q22" s="24" t="s">
        <v>9</v>
      </c>
      <c r="R22" s="26" t="s">
        <v>3</v>
      </c>
      <c r="S22" s="26" t="s">
        <v>3</v>
      </c>
      <c r="T22" s="26" t="s">
        <v>3</v>
      </c>
      <c r="U22" s="26" t="s">
        <v>3</v>
      </c>
      <c r="V22" s="26" t="s">
        <v>3</v>
      </c>
      <c r="W22" s="27" t="s">
        <v>7</v>
      </c>
      <c r="X22" s="28" t="s">
        <v>11</v>
      </c>
      <c r="Y22" s="26" t="s">
        <v>3</v>
      </c>
      <c r="Z22" s="26" t="s">
        <v>3</v>
      </c>
      <c r="AA22" s="26" t="s">
        <v>3</v>
      </c>
      <c r="AB22" s="22" t="s">
        <v>5</v>
      </c>
      <c r="AC22" s="22" t="s">
        <v>5</v>
      </c>
      <c r="AD22" s="23" t="s">
        <v>7</v>
      </c>
      <c r="AE22" s="24" t="s">
        <v>9</v>
      </c>
      <c r="AF22" s="22" t="s">
        <v>5</v>
      </c>
      <c r="AG22" s="22" t="s">
        <v>5</v>
      </c>
      <c r="AH22" s="26" t="s">
        <v>3</v>
      </c>
      <c r="AI22" s="8">
        <f t="shared" ref="AI22:AI35" si="8">COUNTIF(D22:AH22,"ON")</f>
        <v>19</v>
      </c>
      <c r="AJ22" s="8">
        <f t="shared" ref="AJ22:AJ35" si="9">COUNTIF(D22:AH22,"OFF")</f>
        <v>4</v>
      </c>
      <c r="AK22" s="29">
        <f t="shared" ref="AK22:AK35" si="10">COUNTIF(D22:AH22,"OT")</f>
        <v>2</v>
      </c>
      <c r="AL22" s="62">
        <v>2</v>
      </c>
      <c r="AM22" s="33">
        <f t="shared" ref="AM22:AM35" si="11">AI22+AK22+AL22*0.5</f>
        <v>22</v>
      </c>
      <c r="AN22" s="63">
        <f t="shared" ref="AN22:AN35" si="12">NETWORKDAYS(DATE(2025,12,1),EOMONTH(DATE(2025,12,1),0))*8</f>
        <v>184</v>
      </c>
      <c r="AO22" s="63">
        <f t="shared" ref="AO22:AO35" si="13">MAX(0,COUNTIF(H22,"ON")+COUNTIF(O22,"ON")+COUNTIF(V22,"ON")+COUNTIF(AC22,"ON")-AL22)</f>
        <v>1</v>
      </c>
      <c r="AP22" s="63">
        <f t="shared" ref="AP22:AP35" si="14">AO22*$AP$2</f>
        <v>4</v>
      </c>
      <c r="AQ22" s="53">
        <f t="shared" ref="AQ22:AQ35" si="15">AM22-AP22/8</f>
        <v>21.5</v>
      </c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</row>
    <row r="23" spans="1:56" ht="22" customHeight="1" x14ac:dyDescent="0.35">
      <c r="A23" s="8" t="s">
        <v>75</v>
      </c>
      <c r="B23" s="8" t="s">
        <v>76</v>
      </c>
      <c r="C23" s="8" t="s">
        <v>74</v>
      </c>
      <c r="D23" s="22" t="s">
        <v>5</v>
      </c>
      <c r="E23" s="22" t="s">
        <v>5</v>
      </c>
      <c r="F23" s="22" t="s">
        <v>5</v>
      </c>
      <c r="G23" s="22" t="s">
        <v>5</v>
      </c>
      <c r="H23" s="22" t="s">
        <v>5</v>
      </c>
      <c r="I23" s="23" t="s">
        <v>7</v>
      </c>
      <c r="J23" s="24" t="s">
        <v>9</v>
      </c>
      <c r="K23" s="22" t="s">
        <v>5</v>
      </c>
      <c r="L23" s="22" t="s">
        <v>5</v>
      </c>
      <c r="M23" s="26" t="s">
        <v>3</v>
      </c>
      <c r="N23" s="26" t="s">
        <v>3</v>
      </c>
      <c r="O23" s="26" t="s">
        <v>3</v>
      </c>
      <c r="P23" s="27" t="s">
        <v>7</v>
      </c>
      <c r="Q23" s="28" t="s">
        <v>11</v>
      </c>
      <c r="R23" s="26" t="s">
        <v>3</v>
      </c>
      <c r="S23" s="26" t="s">
        <v>3</v>
      </c>
      <c r="T23" s="26" t="s">
        <v>3</v>
      </c>
      <c r="U23" s="26" t="s">
        <v>3</v>
      </c>
      <c r="V23" s="26" t="s">
        <v>3</v>
      </c>
      <c r="W23" s="27" t="s">
        <v>7</v>
      </c>
      <c r="X23" s="28" t="s">
        <v>11</v>
      </c>
      <c r="Y23" s="26" t="s">
        <v>3</v>
      </c>
      <c r="Z23" s="26" t="s">
        <v>3</v>
      </c>
      <c r="AA23" s="26" t="s">
        <v>3</v>
      </c>
      <c r="AB23" s="22" t="s">
        <v>5</v>
      </c>
      <c r="AC23" s="22" t="s">
        <v>5</v>
      </c>
      <c r="AD23" s="23" t="s">
        <v>7</v>
      </c>
      <c r="AE23" s="24" t="s">
        <v>9</v>
      </c>
      <c r="AF23" s="22" t="s">
        <v>5</v>
      </c>
      <c r="AG23" s="22" t="s">
        <v>5</v>
      </c>
      <c r="AH23" s="26" t="s">
        <v>3</v>
      </c>
      <c r="AI23" s="8">
        <f t="shared" si="8"/>
        <v>12</v>
      </c>
      <c r="AJ23" s="25">
        <f t="shared" si="9"/>
        <v>11</v>
      </c>
      <c r="AK23" s="29">
        <f t="shared" si="10"/>
        <v>2</v>
      </c>
      <c r="AL23" s="62">
        <v>2</v>
      </c>
      <c r="AM23" s="33">
        <f t="shared" si="11"/>
        <v>15</v>
      </c>
      <c r="AN23" s="63">
        <f t="shared" si="12"/>
        <v>184</v>
      </c>
      <c r="AO23" s="63">
        <f t="shared" si="13"/>
        <v>0</v>
      </c>
      <c r="AP23" s="63">
        <f t="shared" si="14"/>
        <v>0</v>
      </c>
      <c r="AQ23" s="53">
        <f t="shared" si="15"/>
        <v>15</v>
      </c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</row>
    <row r="24" spans="1:56" ht="22" customHeight="1" x14ac:dyDescent="0.35">
      <c r="A24" s="8" t="s">
        <v>77</v>
      </c>
      <c r="B24" s="8" t="s">
        <v>78</v>
      </c>
      <c r="C24" s="8" t="s">
        <v>74</v>
      </c>
      <c r="D24" s="26" t="s">
        <v>3</v>
      </c>
      <c r="E24" s="26" t="s">
        <v>3</v>
      </c>
      <c r="F24" s="26" t="s">
        <v>3</v>
      </c>
      <c r="G24" s="26" t="s">
        <v>3</v>
      </c>
      <c r="H24" s="26" t="s">
        <v>3</v>
      </c>
      <c r="I24" s="27" t="s">
        <v>7</v>
      </c>
      <c r="J24" s="28" t="s">
        <v>11</v>
      </c>
      <c r="K24" s="26" t="s">
        <v>3</v>
      </c>
      <c r="L24" s="26" t="s">
        <v>3</v>
      </c>
      <c r="M24" s="26" t="s">
        <v>3</v>
      </c>
      <c r="N24" s="26" t="s">
        <v>3</v>
      </c>
      <c r="O24" s="26" t="s">
        <v>3</v>
      </c>
      <c r="P24" s="27" t="s">
        <v>7</v>
      </c>
      <c r="Q24" s="28" t="s">
        <v>11</v>
      </c>
      <c r="R24" s="26" t="s">
        <v>3</v>
      </c>
      <c r="S24" s="26" t="s">
        <v>3</v>
      </c>
      <c r="T24" s="26" t="s">
        <v>3</v>
      </c>
      <c r="U24" s="26" t="s">
        <v>3</v>
      </c>
      <c r="V24" s="26" t="s">
        <v>3</v>
      </c>
      <c r="W24" s="23" t="s">
        <v>7</v>
      </c>
      <c r="X24" s="24" t="s">
        <v>9</v>
      </c>
      <c r="Y24" s="26" t="s">
        <v>3</v>
      </c>
      <c r="Z24" s="26" t="s">
        <v>3</v>
      </c>
      <c r="AA24" s="26" t="s">
        <v>3</v>
      </c>
      <c r="AB24" s="26" t="s">
        <v>3</v>
      </c>
      <c r="AC24" s="26" t="s">
        <v>3</v>
      </c>
      <c r="AD24" s="27" t="s">
        <v>7</v>
      </c>
      <c r="AE24" s="28" t="s">
        <v>11</v>
      </c>
      <c r="AF24" s="26" t="s">
        <v>3</v>
      </c>
      <c r="AG24" s="26" t="s">
        <v>3</v>
      </c>
      <c r="AH24" s="26" t="s">
        <v>3</v>
      </c>
      <c r="AI24" s="8">
        <f t="shared" si="8"/>
        <v>23</v>
      </c>
      <c r="AJ24" s="8">
        <f t="shared" si="9"/>
        <v>0</v>
      </c>
      <c r="AK24" s="29">
        <f t="shared" si="10"/>
        <v>3</v>
      </c>
      <c r="AL24" s="62">
        <v>3</v>
      </c>
      <c r="AM24" s="33">
        <f t="shared" si="11"/>
        <v>27.5</v>
      </c>
      <c r="AN24" s="63">
        <f t="shared" si="12"/>
        <v>184</v>
      </c>
      <c r="AO24" s="63">
        <f t="shared" si="13"/>
        <v>1</v>
      </c>
      <c r="AP24" s="63">
        <f t="shared" si="14"/>
        <v>4</v>
      </c>
      <c r="AQ24" s="53">
        <f t="shared" si="15"/>
        <v>27</v>
      </c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</row>
    <row r="25" spans="1:56" ht="22" customHeight="1" x14ac:dyDescent="0.35">
      <c r="A25" s="8" t="s">
        <v>79</v>
      </c>
      <c r="B25" s="8" t="s">
        <v>80</v>
      </c>
      <c r="C25" s="8" t="s">
        <v>74</v>
      </c>
      <c r="D25" s="26" t="s">
        <v>3</v>
      </c>
      <c r="E25" s="22" t="s">
        <v>5</v>
      </c>
      <c r="F25" s="22" t="s">
        <v>5</v>
      </c>
      <c r="G25" s="22" t="s">
        <v>5</v>
      </c>
      <c r="H25" s="22" t="s">
        <v>5</v>
      </c>
      <c r="I25" s="23" t="s">
        <v>7</v>
      </c>
      <c r="J25" s="24" t="s">
        <v>9</v>
      </c>
      <c r="K25" s="22" t="s">
        <v>5</v>
      </c>
      <c r="L25" s="22" t="s">
        <v>5</v>
      </c>
      <c r="M25" s="22" t="s">
        <v>5</v>
      </c>
      <c r="N25" s="22" t="s">
        <v>5</v>
      </c>
      <c r="O25" s="22" t="s">
        <v>5</v>
      </c>
      <c r="P25" s="23" t="s">
        <v>7</v>
      </c>
      <c r="Q25" s="24" t="s">
        <v>9</v>
      </c>
      <c r="R25" s="22" t="s">
        <v>5</v>
      </c>
      <c r="S25" s="22" t="s">
        <v>5</v>
      </c>
      <c r="T25" s="22" t="s">
        <v>5</v>
      </c>
      <c r="U25" s="22" t="s">
        <v>5</v>
      </c>
      <c r="V25" s="22" t="s">
        <v>5</v>
      </c>
      <c r="W25" s="23" t="s">
        <v>7</v>
      </c>
      <c r="X25" s="24" t="s">
        <v>9</v>
      </c>
      <c r="Y25" s="26" t="s">
        <v>3</v>
      </c>
      <c r="Z25" s="26" t="s">
        <v>3</v>
      </c>
      <c r="AA25" s="26" t="s">
        <v>3</v>
      </c>
      <c r="AB25" s="22" t="s">
        <v>5</v>
      </c>
      <c r="AC25" s="22" t="s">
        <v>5</v>
      </c>
      <c r="AD25" s="23" t="s">
        <v>7</v>
      </c>
      <c r="AE25" s="24" t="s">
        <v>9</v>
      </c>
      <c r="AF25" s="22" t="s">
        <v>5</v>
      </c>
      <c r="AG25" s="22" t="s">
        <v>5</v>
      </c>
      <c r="AH25" s="26" t="s">
        <v>3</v>
      </c>
      <c r="AI25" s="8">
        <f t="shared" si="8"/>
        <v>5</v>
      </c>
      <c r="AJ25" s="25">
        <f t="shared" si="9"/>
        <v>18</v>
      </c>
      <c r="AK25" s="8">
        <f t="shared" si="10"/>
        <v>0</v>
      </c>
      <c r="AL25" s="62">
        <v>0</v>
      </c>
      <c r="AM25" s="33">
        <f t="shared" si="11"/>
        <v>5</v>
      </c>
      <c r="AN25" s="63">
        <f t="shared" si="12"/>
        <v>184</v>
      </c>
      <c r="AO25" s="63">
        <f t="shared" si="13"/>
        <v>0</v>
      </c>
      <c r="AP25" s="63">
        <f t="shared" si="14"/>
        <v>0</v>
      </c>
      <c r="AQ25" s="53">
        <f t="shared" si="15"/>
        <v>5</v>
      </c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</row>
    <row r="26" spans="1:56" ht="22" customHeight="1" x14ac:dyDescent="0.35">
      <c r="A26" s="8" t="s">
        <v>81</v>
      </c>
      <c r="B26" s="8" t="s">
        <v>82</v>
      </c>
      <c r="C26" s="8" t="s">
        <v>74</v>
      </c>
      <c r="D26" s="26" t="s">
        <v>3</v>
      </c>
      <c r="E26" s="26" t="s">
        <v>3</v>
      </c>
      <c r="F26" s="26" t="s">
        <v>3</v>
      </c>
      <c r="G26" s="26" t="s">
        <v>3</v>
      </c>
      <c r="H26" s="26" t="s">
        <v>3</v>
      </c>
      <c r="I26" s="27" t="s">
        <v>7</v>
      </c>
      <c r="J26" s="28" t="s">
        <v>11</v>
      </c>
      <c r="K26" s="26" t="s">
        <v>3</v>
      </c>
      <c r="L26" s="26" t="s">
        <v>3</v>
      </c>
      <c r="M26" s="26" t="s">
        <v>3</v>
      </c>
      <c r="N26" s="26" t="s">
        <v>3</v>
      </c>
      <c r="O26" s="26" t="s">
        <v>3</v>
      </c>
      <c r="P26" s="23" t="s">
        <v>7</v>
      </c>
      <c r="Q26" s="24" t="s">
        <v>9</v>
      </c>
      <c r="R26" s="26" t="s">
        <v>3</v>
      </c>
      <c r="S26" s="26" t="s">
        <v>3</v>
      </c>
      <c r="T26" s="26" t="s">
        <v>3</v>
      </c>
      <c r="U26" s="26" t="s">
        <v>3</v>
      </c>
      <c r="V26" s="26" t="s">
        <v>3</v>
      </c>
      <c r="W26" s="27" t="s">
        <v>7</v>
      </c>
      <c r="X26" s="28" t="s">
        <v>11</v>
      </c>
      <c r="Y26" s="26" t="s">
        <v>3</v>
      </c>
      <c r="Z26" s="26" t="s">
        <v>3</v>
      </c>
      <c r="AA26" s="22" t="s">
        <v>5</v>
      </c>
      <c r="AB26" s="22" t="s">
        <v>5</v>
      </c>
      <c r="AC26" s="22" t="s">
        <v>5</v>
      </c>
      <c r="AD26" s="23" t="s">
        <v>7</v>
      </c>
      <c r="AE26" s="24" t="s">
        <v>9</v>
      </c>
      <c r="AF26" s="22" t="s">
        <v>5</v>
      </c>
      <c r="AG26" s="22" t="s">
        <v>5</v>
      </c>
      <c r="AH26" s="22" t="s">
        <v>5</v>
      </c>
      <c r="AI26" s="8">
        <f t="shared" si="8"/>
        <v>17</v>
      </c>
      <c r="AJ26" s="8">
        <f t="shared" si="9"/>
        <v>6</v>
      </c>
      <c r="AK26" s="29">
        <f t="shared" si="10"/>
        <v>2</v>
      </c>
      <c r="AL26" s="62">
        <v>2</v>
      </c>
      <c r="AM26" s="33">
        <f t="shared" si="11"/>
        <v>20</v>
      </c>
      <c r="AN26" s="63">
        <f t="shared" si="12"/>
        <v>184</v>
      </c>
      <c r="AO26" s="63">
        <f t="shared" si="13"/>
        <v>1</v>
      </c>
      <c r="AP26" s="63">
        <f t="shared" si="14"/>
        <v>4</v>
      </c>
      <c r="AQ26" s="53">
        <f t="shared" si="15"/>
        <v>19.5</v>
      </c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</row>
    <row r="27" spans="1:56" ht="22" customHeight="1" x14ac:dyDescent="0.35">
      <c r="A27" s="8" t="s">
        <v>83</v>
      </c>
      <c r="B27" s="8" t="s">
        <v>84</v>
      </c>
      <c r="C27" s="8" t="s">
        <v>74</v>
      </c>
      <c r="D27" s="22" t="s">
        <v>5</v>
      </c>
      <c r="E27" s="22" t="s">
        <v>5</v>
      </c>
      <c r="F27" s="22" t="s">
        <v>5</v>
      </c>
      <c r="G27" s="22" t="s">
        <v>5</v>
      </c>
      <c r="H27" s="22" t="s">
        <v>5</v>
      </c>
      <c r="I27" s="23" t="s">
        <v>7</v>
      </c>
      <c r="J27" s="24" t="s">
        <v>9</v>
      </c>
      <c r="K27" s="22" t="s">
        <v>5</v>
      </c>
      <c r="L27" s="22" t="s">
        <v>5</v>
      </c>
      <c r="M27" s="22" t="s">
        <v>5</v>
      </c>
      <c r="N27" s="22" t="s">
        <v>5</v>
      </c>
      <c r="O27" s="22" t="s">
        <v>5</v>
      </c>
      <c r="P27" s="23" t="s">
        <v>7</v>
      </c>
      <c r="Q27" s="24" t="s">
        <v>9</v>
      </c>
      <c r="R27" s="22" t="s">
        <v>5</v>
      </c>
      <c r="S27" s="22" t="s">
        <v>5</v>
      </c>
      <c r="T27" s="22" t="s">
        <v>5</v>
      </c>
      <c r="U27" s="22" t="s">
        <v>5</v>
      </c>
      <c r="V27" s="22" t="s">
        <v>5</v>
      </c>
      <c r="W27" s="23" t="s">
        <v>7</v>
      </c>
      <c r="X27" s="24" t="s">
        <v>9</v>
      </c>
      <c r="Y27" s="26" t="s">
        <v>3</v>
      </c>
      <c r="Z27" s="26" t="s">
        <v>3</v>
      </c>
      <c r="AA27" s="26" t="s">
        <v>3</v>
      </c>
      <c r="AB27" s="26" t="s">
        <v>3</v>
      </c>
      <c r="AC27" s="26" t="s">
        <v>3</v>
      </c>
      <c r="AD27" s="27" t="s">
        <v>7</v>
      </c>
      <c r="AE27" s="28" t="s">
        <v>11</v>
      </c>
      <c r="AF27" s="26" t="s">
        <v>3</v>
      </c>
      <c r="AG27" s="26" t="s">
        <v>3</v>
      </c>
      <c r="AH27" s="26" t="s">
        <v>3</v>
      </c>
      <c r="AI27" s="8">
        <f t="shared" si="8"/>
        <v>8</v>
      </c>
      <c r="AJ27" s="25">
        <f t="shared" si="9"/>
        <v>15</v>
      </c>
      <c r="AK27" s="29">
        <f t="shared" si="10"/>
        <v>1</v>
      </c>
      <c r="AL27" s="62">
        <v>1</v>
      </c>
      <c r="AM27" s="33">
        <f t="shared" si="11"/>
        <v>9.5</v>
      </c>
      <c r="AN27" s="63">
        <f t="shared" si="12"/>
        <v>184</v>
      </c>
      <c r="AO27" s="63">
        <f t="shared" si="13"/>
        <v>0</v>
      </c>
      <c r="AP27" s="63">
        <f t="shared" si="14"/>
        <v>0</v>
      </c>
      <c r="AQ27" s="53">
        <f t="shared" si="15"/>
        <v>9.5</v>
      </c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</row>
    <row r="28" spans="1:56" ht="22" customHeight="1" x14ac:dyDescent="0.35">
      <c r="A28" s="8" t="s">
        <v>85</v>
      </c>
      <c r="B28" s="8" t="s">
        <v>86</v>
      </c>
      <c r="C28" s="8" t="s">
        <v>74</v>
      </c>
      <c r="D28" s="22" t="s">
        <v>5</v>
      </c>
      <c r="E28" s="22" t="s">
        <v>5</v>
      </c>
      <c r="F28" s="22" t="s">
        <v>5</v>
      </c>
      <c r="G28" s="22" t="s">
        <v>5</v>
      </c>
      <c r="H28" s="22" t="s">
        <v>5</v>
      </c>
      <c r="I28" s="23" t="s">
        <v>7</v>
      </c>
      <c r="J28" s="24" t="s">
        <v>9</v>
      </c>
      <c r="K28" s="26" t="s">
        <v>3</v>
      </c>
      <c r="L28" s="26" t="s">
        <v>3</v>
      </c>
      <c r="M28" s="26" t="s">
        <v>3</v>
      </c>
      <c r="N28" s="26" t="s">
        <v>3</v>
      </c>
      <c r="O28" s="26" t="s">
        <v>3</v>
      </c>
      <c r="P28" s="27" t="s">
        <v>7</v>
      </c>
      <c r="Q28" s="28" t="s">
        <v>11</v>
      </c>
      <c r="R28" s="26" t="s">
        <v>3</v>
      </c>
      <c r="S28" s="26" t="s">
        <v>3</v>
      </c>
      <c r="T28" s="26" t="s">
        <v>3</v>
      </c>
      <c r="U28" s="26" t="s">
        <v>3</v>
      </c>
      <c r="V28" s="26" t="s">
        <v>3</v>
      </c>
      <c r="W28" s="23" t="s">
        <v>7</v>
      </c>
      <c r="X28" s="24" t="s">
        <v>9</v>
      </c>
      <c r="Y28" s="26" t="s">
        <v>3</v>
      </c>
      <c r="Z28" s="26" t="s">
        <v>3</v>
      </c>
      <c r="AA28" s="26" t="s">
        <v>3</v>
      </c>
      <c r="AB28" s="26" t="s">
        <v>3</v>
      </c>
      <c r="AC28" s="26" t="s">
        <v>3</v>
      </c>
      <c r="AD28" s="27" t="s">
        <v>7</v>
      </c>
      <c r="AE28" s="28" t="s">
        <v>11</v>
      </c>
      <c r="AF28" s="26" t="s">
        <v>3</v>
      </c>
      <c r="AG28" s="26" t="s">
        <v>3</v>
      </c>
      <c r="AH28" s="26" t="s">
        <v>3</v>
      </c>
      <c r="AI28" s="8">
        <f>COUNTIF(D28:AH28,"ON")</f>
        <v>18</v>
      </c>
      <c r="AJ28" s="8">
        <f t="shared" si="9"/>
        <v>5</v>
      </c>
      <c r="AK28" s="29">
        <f t="shared" si="10"/>
        <v>2</v>
      </c>
      <c r="AL28" s="62">
        <v>2</v>
      </c>
      <c r="AM28" s="33">
        <f>AI28+AK28+AL28*0.5</f>
        <v>21</v>
      </c>
      <c r="AN28" s="63">
        <f t="shared" si="12"/>
        <v>184</v>
      </c>
      <c r="AO28" s="63">
        <f t="shared" si="13"/>
        <v>1</v>
      </c>
      <c r="AP28" s="63">
        <f t="shared" si="14"/>
        <v>4</v>
      </c>
      <c r="AQ28" s="53">
        <f t="shared" si="15"/>
        <v>20.5</v>
      </c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</row>
    <row r="29" spans="1:56" ht="22" customHeight="1" x14ac:dyDescent="0.35">
      <c r="A29" s="8" t="s">
        <v>87</v>
      </c>
      <c r="B29" s="8" t="s">
        <v>88</v>
      </c>
      <c r="C29" s="8" t="s">
        <v>74</v>
      </c>
      <c r="D29" s="26" t="s">
        <v>3</v>
      </c>
      <c r="E29" s="26" t="s">
        <v>3</v>
      </c>
      <c r="F29" s="26" t="s">
        <v>3</v>
      </c>
      <c r="G29" s="26" t="s">
        <v>3</v>
      </c>
      <c r="H29" s="26" t="s">
        <v>3</v>
      </c>
      <c r="I29" s="23" t="s">
        <v>7</v>
      </c>
      <c r="J29" s="24" t="s">
        <v>9</v>
      </c>
      <c r="K29" s="26" t="s">
        <v>3</v>
      </c>
      <c r="L29" s="26" t="s">
        <v>3</v>
      </c>
      <c r="M29" s="26" t="s">
        <v>3</v>
      </c>
      <c r="N29" s="26" t="s">
        <v>3</v>
      </c>
      <c r="O29" s="26" t="s">
        <v>3</v>
      </c>
      <c r="P29" s="27" t="s">
        <v>7</v>
      </c>
      <c r="Q29" s="28" t="s">
        <v>11</v>
      </c>
      <c r="R29" s="26" t="s">
        <v>3</v>
      </c>
      <c r="S29" s="26" t="s">
        <v>3</v>
      </c>
      <c r="T29" s="26" t="s">
        <v>3</v>
      </c>
      <c r="U29" s="26" t="s">
        <v>3</v>
      </c>
      <c r="V29" s="26" t="s">
        <v>3</v>
      </c>
      <c r="W29" s="23" t="s">
        <v>7</v>
      </c>
      <c r="X29" s="24" t="s">
        <v>9</v>
      </c>
      <c r="Y29" s="26" t="s">
        <v>3</v>
      </c>
      <c r="Z29" s="26" t="s">
        <v>3</v>
      </c>
      <c r="AA29" s="26" t="s">
        <v>3</v>
      </c>
      <c r="AB29" s="22" t="s">
        <v>5</v>
      </c>
      <c r="AC29" s="22" t="s">
        <v>5</v>
      </c>
      <c r="AD29" s="23" t="s">
        <v>7</v>
      </c>
      <c r="AE29" s="24" t="s">
        <v>9</v>
      </c>
      <c r="AF29" s="22" t="s">
        <v>5</v>
      </c>
      <c r="AG29" s="22" t="s">
        <v>5</v>
      </c>
      <c r="AH29" s="26" t="s">
        <v>3</v>
      </c>
      <c r="AI29" s="8">
        <f t="shared" si="8"/>
        <v>19</v>
      </c>
      <c r="AJ29" s="8">
        <f t="shared" si="9"/>
        <v>4</v>
      </c>
      <c r="AK29" s="29">
        <f t="shared" si="10"/>
        <v>1</v>
      </c>
      <c r="AL29" s="62">
        <v>1</v>
      </c>
      <c r="AM29" s="33">
        <f t="shared" si="11"/>
        <v>20.5</v>
      </c>
      <c r="AN29" s="63">
        <f t="shared" si="12"/>
        <v>184</v>
      </c>
      <c r="AO29" s="63">
        <f t="shared" si="13"/>
        <v>2</v>
      </c>
      <c r="AP29" s="63">
        <f t="shared" si="14"/>
        <v>8</v>
      </c>
      <c r="AQ29" s="53">
        <f t="shared" si="15"/>
        <v>19.5</v>
      </c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</row>
    <row r="30" spans="1:56" ht="22" customHeight="1" x14ac:dyDescent="0.35">
      <c r="A30" s="8" t="s">
        <v>89</v>
      </c>
      <c r="B30" s="8" t="s">
        <v>90</v>
      </c>
      <c r="C30" s="8" t="s">
        <v>74</v>
      </c>
      <c r="D30" s="26" t="s">
        <v>3</v>
      </c>
      <c r="E30" s="26" t="s">
        <v>3</v>
      </c>
      <c r="F30" s="26" t="s">
        <v>3</v>
      </c>
      <c r="G30" s="26" t="s">
        <v>3</v>
      </c>
      <c r="H30" s="26" t="s">
        <v>3</v>
      </c>
      <c r="I30" s="23" t="s">
        <v>7</v>
      </c>
      <c r="J30" s="24" t="s">
        <v>9</v>
      </c>
      <c r="K30" s="26" t="s">
        <v>3</v>
      </c>
      <c r="L30" s="26" t="s">
        <v>3</v>
      </c>
      <c r="M30" s="26" t="s">
        <v>3</v>
      </c>
      <c r="N30" s="22" t="s">
        <v>5</v>
      </c>
      <c r="O30" s="22" t="s">
        <v>5</v>
      </c>
      <c r="P30" s="23" t="s">
        <v>7</v>
      </c>
      <c r="Q30" s="24" t="s">
        <v>9</v>
      </c>
      <c r="R30" s="22" t="s">
        <v>5</v>
      </c>
      <c r="S30" s="22" t="s">
        <v>5</v>
      </c>
      <c r="T30" s="22" t="s">
        <v>5</v>
      </c>
      <c r="U30" s="22" t="s">
        <v>5</v>
      </c>
      <c r="V30" s="22" t="s">
        <v>5</v>
      </c>
      <c r="W30" s="23" t="s">
        <v>7</v>
      </c>
      <c r="X30" s="24" t="s">
        <v>9</v>
      </c>
      <c r="Y30" s="26" t="s">
        <v>3</v>
      </c>
      <c r="Z30" s="26" t="s">
        <v>3</v>
      </c>
      <c r="AA30" s="26" t="s">
        <v>3</v>
      </c>
      <c r="AB30" s="26" t="s">
        <v>3</v>
      </c>
      <c r="AC30" s="26" t="s">
        <v>3</v>
      </c>
      <c r="AD30" s="27" t="s">
        <v>7</v>
      </c>
      <c r="AE30" s="24" t="s">
        <v>9</v>
      </c>
      <c r="AF30" s="26" t="s">
        <v>3</v>
      </c>
      <c r="AG30" s="26" t="s">
        <v>3</v>
      </c>
      <c r="AH30" s="26" t="s">
        <v>3</v>
      </c>
      <c r="AI30" s="8">
        <f t="shared" si="8"/>
        <v>16</v>
      </c>
      <c r="AJ30" s="8">
        <f t="shared" si="9"/>
        <v>7</v>
      </c>
      <c r="AK30" s="8">
        <f t="shared" si="10"/>
        <v>0</v>
      </c>
      <c r="AL30" s="62">
        <v>1</v>
      </c>
      <c r="AM30" s="33">
        <f t="shared" si="11"/>
        <v>16.5</v>
      </c>
      <c r="AN30" s="63">
        <f t="shared" si="12"/>
        <v>184</v>
      </c>
      <c r="AO30" s="63">
        <f t="shared" si="13"/>
        <v>1</v>
      </c>
      <c r="AP30" s="63">
        <f t="shared" si="14"/>
        <v>4</v>
      </c>
      <c r="AQ30" s="53">
        <f t="shared" si="15"/>
        <v>16</v>
      </c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</row>
    <row r="31" spans="1:56" ht="22" customHeight="1" x14ac:dyDescent="0.35">
      <c r="A31" s="8" t="s">
        <v>91</v>
      </c>
      <c r="B31" s="8" t="s">
        <v>92</v>
      </c>
      <c r="C31" s="8" t="s">
        <v>74</v>
      </c>
      <c r="D31" s="26" t="s">
        <v>3</v>
      </c>
      <c r="E31" s="26" t="s">
        <v>3</v>
      </c>
      <c r="F31" s="26" t="s">
        <v>3</v>
      </c>
      <c r="G31" s="26" t="s">
        <v>3</v>
      </c>
      <c r="H31" s="26" t="s">
        <v>3</v>
      </c>
      <c r="I31" s="27" t="s">
        <v>7</v>
      </c>
      <c r="J31" s="28" t="s">
        <v>11</v>
      </c>
      <c r="K31" s="26" t="s">
        <v>3</v>
      </c>
      <c r="L31" s="26" t="s">
        <v>3</v>
      </c>
      <c r="M31" s="26" t="s">
        <v>3</v>
      </c>
      <c r="N31" s="26" t="s">
        <v>3</v>
      </c>
      <c r="O31" s="26" t="s">
        <v>3</v>
      </c>
      <c r="P31" s="23" t="s">
        <v>7</v>
      </c>
      <c r="Q31" s="24" t="s">
        <v>9</v>
      </c>
      <c r="R31" s="26" t="s">
        <v>3</v>
      </c>
      <c r="S31" s="26" t="s">
        <v>3</v>
      </c>
      <c r="T31" s="26" t="s">
        <v>3</v>
      </c>
      <c r="U31" s="26" t="s">
        <v>3</v>
      </c>
      <c r="V31" s="26" t="s">
        <v>3</v>
      </c>
      <c r="W31" s="27" t="s">
        <v>7</v>
      </c>
      <c r="X31" s="28" t="s">
        <v>11</v>
      </c>
      <c r="Y31" s="26" t="s">
        <v>3</v>
      </c>
      <c r="Z31" s="26" t="s">
        <v>3</v>
      </c>
      <c r="AA31" s="26" t="s">
        <v>3</v>
      </c>
      <c r="AB31" s="22" t="s">
        <v>5</v>
      </c>
      <c r="AC31" s="22" t="s">
        <v>5</v>
      </c>
      <c r="AD31" s="23" t="s">
        <v>7</v>
      </c>
      <c r="AE31" s="24" t="s">
        <v>9</v>
      </c>
      <c r="AF31" s="22" t="s">
        <v>5</v>
      </c>
      <c r="AG31" s="22" t="s">
        <v>5</v>
      </c>
      <c r="AH31" s="26" t="s">
        <v>3</v>
      </c>
      <c r="AI31" s="8">
        <f t="shared" si="8"/>
        <v>19</v>
      </c>
      <c r="AJ31" s="8">
        <f t="shared" si="9"/>
        <v>4</v>
      </c>
      <c r="AK31" s="29">
        <f t="shared" si="10"/>
        <v>2</v>
      </c>
      <c r="AL31" s="62">
        <v>2</v>
      </c>
      <c r="AM31" s="33">
        <f t="shared" si="11"/>
        <v>22</v>
      </c>
      <c r="AN31" s="63">
        <f t="shared" si="12"/>
        <v>184</v>
      </c>
      <c r="AO31" s="63">
        <f t="shared" si="13"/>
        <v>1</v>
      </c>
      <c r="AP31" s="63">
        <f t="shared" si="14"/>
        <v>4</v>
      </c>
      <c r="AQ31" s="53">
        <f t="shared" si="15"/>
        <v>21.5</v>
      </c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 spans="1:56" ht="22" customHeight="1" x14ac:dyDescent="0.35">
      <c r="A32" s="8" t="s">
        <v>93</v>
      </c>
      <c r="B32" s="8" t="s">
        <v>94</v>
      </c>
      <c r="C32" s="8" t="s">
        <v>74</v>
      </c>
      <c r="D32" s="26" t="s">
        <v>3</v>
      </c>
      <c r="E32" s="22" t="s">
        <v>5</v>
      </c>
      <c r="F32" s="22" t="s">
        <v>5</v>
      </c>
      <c r="G32" s="22" t="s">
        <v>5</v>
      </c>
      <c r="H32" s="22" t="s">
        <v>5</v>
      </c>
      <c r="I32" s="23" t="s">
        <v>7</v>
      </c>
      <c r="J32" s="24" t="s">
        <v>9</v>
      </c>
      <c r="K32" s="22" t="s">
        <v>5</v>
      </c>
      <c r="L32" s="22" t="s">
        <v>5</v>
      </c>
      <c r="M32" s="22" t="s">
        <v>5</v>
      </c>
      <c r="N32" s="22" t="s">
        <v>5</v>
      </c>
      <c r="O32" s="22" t="s">
        <v>5</v>
      </c>
      <c r="P32" s="23" t="s">
        <v>7</v>
      </c>
      <c r="Q32" s="24" t="s">
        <v>9</v>
      </c>
      <c r="R32" s="22" t="s">
        <v>5</v>
      </c>
      <c r="S32" s="22" t="s">
        <v>5</v>
      </c>
      <c r="T32" s="22" t="s">
        <v>5</v>
      </c>
      <c r="U32" s="22" t="s">
        <v>5</v>
      </c>
      <c r="V32" s="22" t="s">
        <v>5</v>
      </c>
      <c r="W32" s="23" t="s">
        <v>7</v>
      </c>
      <c r="X32" s="24" t="s">
        <v>9</v>
      </c>
      <c r="Y32" s="26" t="s">
        <v>3</v>
      </c>
      <c r="Z32" s="26" t="s">
        <v>3</v>
      </c>
      <c r="AA32" s="26" t="s">
        <v>3</v>
      </c>
      <c r="AB32" s="26" t="s">
        <v>3</v>
      </c>
      <c r="AC32" s="26" t="s">
        <v>3</v>
      </c>
      <c r="AD32" s="23" t="s">
        <v>7</v>
      </c>
      <c r="AE32" s="28" t="s">
        <v>11</v>
      </c>
      <c r="AF32" s="26" t="s">
        <v>3</v>
      </c>
      <c r="AG32" s="26" t="s">
        <v>3</v>
      </c>
      <c r="AH32" s="26" t="s">
        <v>3</v>
      </c>
      <c r="AI32" s="8">
        <f t="shared" si="8"/>
        <v>9</v>
      </c>
      <c r="AJ32" s="25">
        <f t="shared" si="9"/>
        <v>14</v>
      </c>
      <c r="AK32" s="29">
        <f t="shared" si="10"/>
        <v>1</v>
      </c>
      <c r="AL32" s="62">
        <v>0</v>
      </c>
      <c r="AM32" s="33">
        <f t="shared" si="11"/>
        <v>10</v>
      </c>
      <c r="AN32" s="63">
        <f t="shared" si="12"/>
        <v>184</v>
      </c>
      <c r="AO32" s="63">
        <f t="shared" si="13"/>
        <v>1</v>
      </c>
      <c r="AP32" s="63">
        <f t="shared" si="14"/>
        <v>4</v>
      </c>
      <c r="AQ32" s="53">
        <f t="shared" si="15"/>
        <v>9.5</v>
      </c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</row>
    <row r="33" spans="1:56" ht="22" customHeight="1" x14ac:dyDescent="0.35">
      <c r="A33" s="8" t="s">
        <v>95</v>
      </c>
      <c r="B33" s="8" t="s">
        <v>96</v>
      </c>
      <c r="C33" s="8" t="s">
        <v>74</v>
      </c>
      <c r="D33" s="26" t="s">
        <v>3</v>
      </c>
      <c r="E33" s="26" t="s">
        <v>3</v>
      </c>
      <c r="F33" s="26" t="s">
        <v>3</v>
      </c>
      <c r="G33" s="26" t="s">
        <v>3</v>
      </c>
      <c r="H33" s="26" t="s">
        <v>3</v>
      </c>
      <c r="I33" s="23" t="s">
        <v>7</v>
      </c>
      <c r="J33" s="24" t="s">
        <v>9</v>
      </c>
      <c r="K33" s="22" t="s">
        <v>5</v>
      </c>
      <c r="L33" s="22" t="s">
        <v>5</v>
      </c>
      <c r="M33" s="22" t="s">
        <v>5</v>
      </c>
      <c r="N33" s="22" t="s">
        <v>5</v>
      </c>
      <c r="O33" s="22" t="s">
        <v>5</v>
      </c>
      <c r="P33" s="23" t="s">
        <v>7</v>
      </c>
      <c r="Q33" s="24" t="s">
        <v>9</v>
      </c>
      <c r="R33" s="22" t="s">
        <v>5</v>
      </c>
      <c r="S33" s="22" t="s">
        <v>5</v>
      </c>
      <c r="T33" s="22" t="s">
        <v>5</v>
      </c>
      <c r="U33" s="22" t="s">
        <v>5</v>
      </c>
      <c r="V33" s="22" t="s">
        <v>5</v>
      </c>
      <c r="W33" s="23" t="s">
        <v>7</v>
      </c>
      <c r="X33" s="24" t="s">
        <v>9</v>
      </c>
      <c r="Y33" s="22" t="s">
        <v>5</v>
      </c>
      <c r="Z33" s="22" t="s">
        <v>5</v>
      </c>
      <c r="AA33" s="22" t="s">
        <v>5</v>
      </c>
      <c r="AB33" s="22" t="s">
        <v>5</v>
      </c>
      <c r="AC33" s="22" t="s">
        <v>5</v>
      </c>
      <c r="AD33" s="23" t="s">
        <v>7</v>
      </c>
      <c r="AE33" s="24" t="s">
        <v>9</v>
      </c>
      <c r="AF33" s="22" t="s">
        <v>5</v>
      </c>
      <c r="AG33" s="22" t="s">
        <v>5</v>
      </c>
      <c r="AH33" s="22" t="s">
        <v>5</v>
      </c>
      <c r="AI33" s="8">
        <f t="shared" si="8"/>
        <v>5</v>
      </c>
      <c r="AJ33" s="25">
        <f t="shared" si="9"/>
        <v>18</v>
      </c>
      <c r="AK33" s="8">
        <f t="shared" si="10"/>
        <v>0</v>
      </c>
      <c r="AL33" s="62">
        <v>0</v>
      </c>
      <c r="AM33" s="33">
        <f t="shared" si="11"/>
        <v>5</v>
      </c>
      <c r="AN33" s="63">
        <f t="shared" si="12"/>
        <v>184</v>
      </c>
      <c r="AO33" s="63">
        <f t="shared" si="13"/>
        <v>1</v>
      </c>
      <c r="AP33" s="63">
        <f t="shared" si="14"/>
        <v>4</v>
      </c>
      <c r="AQ33" s="53">
        <f t="shared" si="15"/>
        <v>4.5</v>
      </c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</row>
    <row r="34" spans="1:56" ht="22" customHeight="1" x14ac:dyDescent="0.35">
      <c r="A34" s="8" t="s">
        <v>97</v>
      </c>
      <c r="B34" s="8" t="s">
        <v>98</v>
      </c>
      <c r="C34" s="8" t="s">
        <v>74</v>
      </c>
      <c r="D34" s="26" t="s">
        <v>3</v>
      </c>
      <c r="E34" s="26" t="s">
        <v>3</v>
      </c>
      <c r="F34" s="26" t="s">
        <v>3</v>
      </c>
      <c r="G34" s="26" t="s">
        <v>3</v>
      </c>
      <c r="H34" s="26" t="s">
        <v>3</v>
      </c>
      <c r="I34" s="27" t="s">
        <v>7</v>
      </c>
      <c r="J34" s="28" t="s">
        <v>11</v>
      </c>
      <c r="K34" s="26" t="s">
        <v>3</v>
      </c>
      <c r="L34" s="26" t="s">
        <v>3</v>
      </c>
      <c r="M34" s="26" t="s">
        <v>3</v>
      </c>
      <c r="N34" s="26" t="s">
        <v>3</v>
      </c>
      <c r="O34" s="26" t="s">
        <v>3</v>
      </c>
      <c r="P34" s="27" t="s">
        <v>7</v>
      </c>
      <c r="Q34" s="28" t="s">
        <v>11</v>
      </c>
      <c r="R34" s="26" t="s">
        <v>3</v>
      </c>
      <c r="S34" s="26" t="s">
        <v>3</v>
      </c>
      <c r="T34" s="26" t="s">
        <v>3</v>
      </c>
      <c r="U34" s="26" t="s">
        <v>3</v>
      </c>
      <c r="V34" s="26" t="s">
        <v>3</v>
      </c>
      <c r="W34" s="23" t="s">
        <v>7</v>
      </c>
      <c r="X34" s="24" t="s">
        <v>9</v>
      </c>
      <c r="Y34" s="26" t="s">
        <v>3</v>
      </c>
      <c r="Z34" s="26" t="s">
        <v>3</v>
      </c>
      <c r="AA34" s="26" t="s">
        <v>3</v>
      </c>
      <c r="AB34" s="26" t="s">
        <v>3</v>
      </c>
      <c r="AC34" s="26" t="s">
        <v>3</v>
      </c>
      <c r="AD34" s="27" t="s">
        <v>7</v>
      </c>
      <c r="AE34" s="28" t="s">
        <v>11</v>
      </c>
      <c r="AF34" s="26" t="s">
        <v>3</v>
      </c>
      <c r="AG34" s="26" t="s">
        <v>3</v>
      </c>
      <c r="AH34" s="26" t="s">
        <v>3</v>
      </c>
      <c r="AI34" s="8">
        <f t="shared" si="8"/>
        <v>23</v>
      </c>
      <c r="AJ34" s="8">
        <f t="shared" si="9"/>
        <v>0</v>
      </c>
      <c r="AK34" s="29">
        <f t="shared" si="10"/>
        <v>3</v>
      </c>
      <c r="AL34" s="62">
        <v>3</v>
      </c>
      <c r="AM34" s="33">
        <f t="shared" si="11"/>
        <v>27.5</v>
      </c>
      <c r="AN34" s="63">
        <f t="shared" si="12"/>
        <v>184</v>
      </c>
      <c r="AO34" s="63">
        <f t="shared" si="13"/>
        <v>1</v>
      </c>
      <c r="AP34" s="63">
        <f t="shared" si="14"/>
        <v>4</v>
      </c>
      <c r="AQ34" s="53">
        <f t="shared" si="15"/>
        <v>27</v>
      </c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</row>
    <row r="35" spans="1:56" ht="22" customHeight="1" x14ac:dyDescent="0.35">
      <c r="A35" s="8" t="s">
        <v>99</v>
      </c>
      <c r="B35" s="8" t="s">
        <v>100</v>
      </c>
      <c r="C35" s="8" t="s">
        <v>74</v>
      </c>
      <c r="D35" s="22" t="s">
        <v>5</v>
      </c>
      <c r="E35" s="22" t="s">
        <v>5</v>
      </c>
      <c r="F35" s="22" t="s">
        <v>5</v>
      </c>
      <c r="G35" s="22" t="s">
        <v>5</v>
      </c>
      <c r="H35" s="22" t="s">
        <v>5</v>
      </c>
      <c r="I35" s="23" t="s">
        <v>7</v>
      </c>
      <c r="J35" s="24" t="s">
        <v>9</v>
      </c>
      <c r="K35" s="22" t="s">
        <v>5</v>
      </c>
      <c r="L35" s="22" t="s">
        <v>5</v>
      </c>
      <c r="M35" s="22" t="s">
        <v>5</v>
      </c>
      <c r="N35" s="22" t="s">
        <v>5</v>
      </c>
      <c r="O35" s="22" t="s">
        <v>5</v>
      </c>
      <c r="P35" s="23" t="s">
        <v>7</v>
      </c>
      <c r="Q35" s="24" t="s">
        <v>9</v>
      </c>
      <c r="R35" s="22" t="s">
        <v>5</v>
      </c>
      <c r="S35" s="22" t="s">
        <v>5</v>
      </c>
      <c r="T35" s="22" t="s">
        <v>5</v>
      </c>
      <c r="U35" s="22" t="s">
        <v>5</v>
      </c>
      <c r="V35" s="22" t="s">
        <v>5</v>
      </c>
      <c r="W35" s="23" t="s">
        <v>7</v>
      </c>
      <c r="X35" s="24" t="s">
        <v>9</v>
      </c>
      <c r="Y35" s="22" t="s">
        <v>5</v>
      </c>
      <c r="Z35" s="22" t="s">
        <v>5</v>
      </c>
      <c r="AA35" s="22" t="s">
        <v>5</v>
      </c>
      <c r="AB35" s="22" t="s">
        <v>5</v>
      </c>
      <c r="AC35" s="22" t="s">
        <v>5</v>
      </c>
      <c r="AD35" s="23" t="s">
        <v>7</v>
      </c>
      <c r="AE35" s="24" t="s">
        <v>9</v>
      </c>
      <c r="AF35" s="22" t="s">
        <v>5</v>
      </c>
      <c r="AG35" s="22" t="s">
        <v>5</v>
      </c>
      <c r="AH35" s="22" t="s">
        <v>5</v>
      </c>
      <c r="AI35" s="8">
        <f t="shared" si="8"/>
        <v>0</v>
      </c>
      <c r="AJ35" s="25">
        <f t="shared" si="9"/>
        <v>23</v>
      </c>
      <c r="AK35" s="8">
        <f t="shared" si="10"/>
        <v>0</v>
      </c>
      <c r="AL35" s="62">
        <v>0</v>
      </c>
      <c r="AM35" s="33">
        <f t="shared" si="11"/>
        <v>0</v>
      </c>
      <c r="AN35" s="63">
        <f t="shared" si="12"/>
        <v>184</v>
      </c>
      <c r="AO35" s="63">
        <f t="shared" si="13"/>
        <v>0</v>
      </c>
      <c r="AP35" s="63">
        <f t="shared" si="14"/>
        <v>0</v>
      </c>
      <c r="AQ35" s="53">
        <f t="shared" si="15"/>
        <v>0</v>
      </c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</row>
    <row r="36" spans="1:56" x14ac:dyDescent="0.35"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</row>
    <row r="37" spans="1:56" ht="25" customHeight="1" x14ac:dyDescent="0.35">
      <c r="A37" s="77" t="s">
        <v>101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</row>
    <row r="38" spans="1:56" ht="22" customHeight="1" x14ac:dyDescent="0.35">
      <c r="A38" s="8" t="s">
        <v>102</v>
      </c>
      <c r="B38" s="8" t="s">
        <v>103</v>
      </c>
      <c r="C38" s="8" t="s">
        <v>104</v>
      </c>
      <c r="D38" s="26" t="s">
        <v>3</v>
      </c>
      <c r="E38" s="26" t="s">
        <v>3</v>
      </c>
      <c r="F38" s="26" t="s">
        <v>3</v>
      </c>
      <c r="G38" s="26" t="s">
        <v>3</v>
      </c>
      <c r="H38" s="26" t="s">
        <v>3</v>
      </c>
      <c r="I38" s="27" t="s">
        <v>7</v>
      </c>
      <c r="J38" s="28" t="s">
        <v>11</v>
      </c>
      <c r="K38" s="22" t="s">
        <v>5</v>
      </c>
      <c r="L38" s="26" t="s">
        <v>3</v>
      </c>
      <c r="M38" s="26" t="s">
        <v>3</v>
      </c>
      <c r="N38" s="26" t="s">
        <v>3</v>
      </c>
      <c r="O38" s="26" t="s">
        <v>3</v>
      </c>
      <c r="P38" s="27" t="s">
        <v>7</v>
      </c>
      <c r="Q38" s="28" t="s">
        <v>11</v>
      </c>
      <c r="R38" s="26" t="s">
        <v>3</v>
      </c>
      <c r="S38" s="26" t="s">
        <v>3</v>
      </c>
      <c r="T38" s="26" t="s">
        <v>3</v>
      </c>
      <c r="U38" s="26" t="s">
        <v>3</v>
      </c>
      <c r="V38" s="26" t="s">
        <v>3</v>
      </c>
      <c r="W38" s="27" t="s">
        <v>7</v>
      </c>
      <c r="X38" s="28" t="s">
        <v>11</v>
      </c>
      <c r="Y38" s="26" t="s">
        <v>3</v>
      </c>
      <c r="Z38" s="26" t="s">
        <v>3</v>
      </c>
      <c r="AA38" s="22" t="s">
        <v>5</v>
      </c>
      <c r="AB38" s="22" t="s">
        <v>5</v>
      </c>
      <c r="AC38" s="22" t="s">
        <v>5</v>
      </c>
      <c r="AD38" s="27" t="s">
        <v>7</v>
      </c>
      <c r="AE38" s="28" t="s">
        <v>11</v>
      </c>
      <c r="AF38" s="22" t="s">
        <v>5</v>
      </c>
      <c r="AG38" s="22" t="s">
        <v>5</v>
      </c>
      <c r="AH38" s="26" t="s">
        <v>3</v>
      </c>
      <c r="AI38" s="8">
        <f t="shared" ref="AI38:AI74" si="16">COUNTIF(D38:AH38,"ON")</f>
        <v>17</v>
      </c>
      <c r="AJ38" s="8">
        <f t="shared" ref="AJ38:AJ74" si="17">COUNTIF(D38:AH38,"OFF")</f>
        <v>6</v>
      </c>
      <c r="AK38" s="29">
        <f t="shared" ref="AK38:AK74" si="18">COUNTIF(D38:AH38,"OT")</f>
        <v>4</v>
      </c>
      <c r="AL38" s="62">
        <v>4</v>
      </c>
      <c r="AM38" s="33">
        <f t="shared" ref="AM38:AM74" si="19">AI38+AK38+AL38*0.5</f>
        <v>23</v>
      </c>
      <c r="AN38" s="63">
        <f t="shared" ref="AN38:AN74" si="20">NETWORKDAYS(DATE(2025,12,1),EOMONTH(DATE(2025,12,1),0))*8</f>
        <v>184</v>
      </c>
      <c r="AO38" s="63">
        <f t="shared" ref="AO38:AO74" si="21">MAX(0,COUNTIF(H38,"ON")+COUNTIF(O38,"ON")+COUNTIF(V38,"ON")+COUNTIF(AC38,"ON")-AL38)</f>
        <v>0</v>
      </c>
      <c r="AP38" s="63">
        <f t="shared" ref="AP38:AP74" si="22">AO38*$AP$2</f>
        <v>0</v>
      </c>
      <c r="AQ38" s="53">
        <f t="shared" ref="AQ38:AQ74" si="23">AM38-AP38/8</f>
        <v>23</v>
      </c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</row>
    <row r="39" spans="1:56" ht="22" customHeight="1" x14ac:dyDescent="0.35">
      <c r="A39" s="8" t="s">
        <v>105</v>
      </c>
      <c r="B39" s="8" t="s">
        <v>106</v>
      </c>
      <c r="C39" s="8" t="s">
        <v>104</v>
      </c>
      <c r="D39" s="26" t="s">
        <v>3</v>
      </c>
      <c r="E39" s="26" t="s">
        <v>3</v>
      </c>
      <c r="F39" s="26" t="s">
        <v>3</v>
      </c>
      <c r="G39" s="26" t="s">
        <v>3</v>
      </c>
      <c r="H39" s="26" t="s">
        <v>3</v>
      </c>
      <c r="I39" s="27" t="s">
        <v>7</v>
      </c>
      <c r="J39" s="28" t="s">
        <v>11</v>
      </c>
      <c r="K39" s="26" t="s">
        <v>3</v>
      </c>
      <c r="L39" s="26" t="s">
        <v>3</v>
      </c>
      <c r="M39" s="26" t="s">
        <v>3</v>
      </c>
      <c r="N39" s="26" t="s">
        <v>3</v>
      </c>
      <c r="O39" s="22" t="s">
        <v>5</v>
      </c>
      <c r="P39" s="27" t="s">
        <v>7</v>
      </c>
      <c r="Q39" s="24" t="s">
        <v>9</v>
      </c>
      <c r="R39" s="26" t="s">
        <v>3</v>
      </c>
      <c r="S39" s="26" t="s">
        <v>3</v>
      </c>
      <c r="T39" s="26" t="s">
        <v>3</v>
      </c>
      <c r="U39" s="26" t="s">
        <v>3</v>
      </c>
      <c r="V39" s="26" t="s">
        <v>3</v>
      </c>
      <c r="W39" s="27" t="s">
        <v>7</v>
      </c>
      <c r="X39" s="28" t="s">
        <v>11</v>
      </c>
      <c r="Y39" s="26" t="s">
        <v>3</v>
      </c>
      <c r="Z39" s="26" t="s">
        <v>3</v>
      </c>
      <c r="AA39" s="22" t="s">
        <v>5</v>
      </c>
      <c r="AB39" s="22" t="s">
        <v>5</v>
      </c>
      <c r="AC39" s="22" t="s">
        <v>5</v>
      </c>
      <c r="AD39" s="23" t="s">
        <v>7</v>
      </c>
      <c r="AE39" s="24" t="s">
        <v>9</v>
      </c>
      <c r="AF39" s="22" t="s">
        <v>5</v>
      </c>
      <c r="AG39" s="22" t="s">
        <v>5</v>
      </c>
      <c r="AH39" s="22" t="s">
        <v>5</v>
      </c>
      <c r="AI39" s="8">
        <f t="shared" si="16"/>
        <v>16</v>
      </c>
      <c r="AJ39" s="8">
        <f t="shared" si="17"/>
        <v>7</v>
      </c>
      <c r="AK39" s="29">
        <f t="shared" si="18"/>
        <v>2</v>
      </c>
      <c r="AL39" s="62">
        <v>3</v>
      </c>
      <c r="AM39" s="33">
        <f t="shared" si="19"/>
        <v>19.5</v>
      </c>
      <c r="AN39" s="63">
        <f t="shared" si="20"/>
        <v>184</v>
      </c>
      <c r="AO39" s="63">
        <f t="shared" si="21"/>
        <v>0</v>
      </c>
      <c r="AP39" s="63">
        <f t="shared" si="22"/>
        <v>0</v>
      </c>
      <c r="AQ39" s="53">
        <f t="shared" si="23"/>
        <v>19.5</v>
      </c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</row>
    <row r="40" spans="1:56" ht="22" customHeight="1" x14ac:dyDescent="0.35">
      <c r="A40" s="8" t="s">
        <v>107</v>
      </c>
      <c r="B40" s="8" t="s">
        <v>108</v>
      </c>
      <c r="C40" s="8" t="s">
        <v>104</v>
      </c>
      <c r="D40" s="22" t="s">
        <v>5</v>
      </c>
      <c r="E40" s="22" t="s">
        <v>5</v>
      </c>
      <c r="F40" s="22" t="s">
        <v>5</v>
      </c>
      <c r="G40" s="22" t="s">
        <v>5</v>
      </c>
      <c r="H40" s="22" t="s">
        <v>5</v>
      </c>
      <c r="I40" s="23" t="s">
        <v>7</v>
      </c>
      <c r="J40" s="24" t="s">
        <v>9</v>
      </c>
      <c r="K40" s="22" t="s">
        <v>5</v>
      </c>
      <c r="L40" s="22" t="s">
        <v>5</v>
      </c>
      <c r="M40" s="22" t="s">
        <v>5</v>
      </c>
      <c r="N40" s="22" t="s">
        <v>5</v>
      </c>
      <c r="O40" s="22" t="s">
        <v>5</v>
      </c>
      <c r="P40" s="23" t="s">
        <v>7</v>
      </c>
      <c r="Q40" s="24" t="s">
        <v>9</v>
      </c>
      <c r="R40" s="22" t="s">
        <v>5</v>
      </c>
      <c r="S40" s="22" t="s">
        <v>5</v>
      </c>
      <c r="T40" s="22" t="s">
        <v>5</v>
      </c>
      <c r="U40" s="22" t="s">
        <v>5</v>
      </c>
      <c r="V40" s="22" t="s">
        <v>5</v>
      </c>
      <c r="W40" s="23" t="s">
        <v>7</v>
      </c>
      <c r="X40" s="24" t="s">
        <v>9</v>
      </c>
      <c r="Y40" s="26" t="s">
        <v>3</v>
      </c>
      <c r="Z40" s="26" t="s">
        <v>3</v>
      </c>
      <c r="AA40" s="26" t="s">
        <v>3</v>
      </c>
      <c r="AB40" s="26" t="s">
        <v>3</v>
      </c>
      <c r="AC40" s="26" t="s">
        <v>3</v>
      </c>
      <c r="AD40" s="27" t="s">
        <v>7</v>
      </c>
      <c r="AE40" s="28" t="s">
        <v>11</v>
      </c>
      <c r="AF40" s="26" t="s">
        <v>3</v>
      </c>
      <c r="AG40" s="26" t="s">
        <v>3</v>
      </c>
      <c r="AH40" s="22" t="s">
        <v>5</v>
      </c>
      <c r="AI40" s="8">
        <f t="shared" si="16"/>
        <v>7</v>
      </c>
      <c r="AJ40" s="25">
        <f t="shared" si="17"/>
        <v>16</v>
      </c>
      <c r="AK40" s="29">
        <f t="shared" si="18"/>
        <v>1</v>
      </c>
      <c r="AL40" s="62">
        <v>1</v>
      </c>
      <c r="AM40" s="33">
        <f t="shared" si="19"/>
        <v>8.5</v>
      </c>
      <c r="AN40" s="63">
        <f t="shared" si="20"/>
        <v>184</v>
      </c>
      <c r="AO40" s="63">
        <f t="shared" si="21"/>
        <v>0</v>
      </c>
      <c r="AP40" s="63">
        <f t="shared" si="22"/>
        <v>0</v>
      </c>
      <c r="AQ40" s="53">
        <f t="shared" si="23"/>
        <v>8.5</v>
      </c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</row>
    <row r="41" spans="1:56" ht="22" customHeight="1" x14ac:dyDescent="0.35">
      <c r="A41" s="8" t="s">
        <v>109</v>
      </c>
      <c r="B41" s="8" t="s">
        <v>110</v>
      </c>
      <c r="C41" s="8" t="s">
        <v>104</v>
      </c>
      <c r="D41" s="26" t="s">
        <v>3</v>
      </c>
      <c r="E41" s="26" t="s">
        <v>3</v>
      </c>
      <c r="F41" s="26" t="s">
        <v>3</v>
      </c>
      <c r="G41" s="26" t="s">
        <v>3</v>
      </c>
      <c r="H41" s="26" t="s">
        <v>3</v>
      </c>
      <c r="I41" s="27" t="s">
        <v>7</v>
      </c>
      <c r="J41" s="28" t="s">
        <v>11</v>
      </c>
      <c r="K41" s="26" t="s">
        <v>3</v>
      </c>
      <c r="L41" s="26" t="s">
        <v>3</v>
      </c>
      <c r="M41" s="26" t="s">
        <v>3</v>
      </c>
      <c r="N41" s="22" t="s">
        <v>5</v>
      </c>
      <c r="O41" s="22" t="s">
        <v>5</v>
      </c>
      <c r="P41" s="23" t="s">
        <v>7</v>
      </c>
      <c r="Q41" s="24" t="s">
        <v>9</v>
      </c>
      <c r="R41" s="26" t="s">
        <v>3</v>
      </c>
      <c r="S41" s="26" t="s">
        <v>3</v>
      </c>
      <c r="T41" s="26" t="s">
        <v>3</v>
      </c>
      <c r="U41" s="26" t="s">
        <v>3</v>
      </c>
      <c r="V41" s="26" t="s">
        <v>3</v>
      </c>
      <c r="W41" s="27" t="s">
        <v>7</v>
      </c>
      <c r="X41" s="28" t="s">
        <v>11</v>
      </c>
      <c r="Y41" s="26" t="s">
        <v>3</v>
      </c>
      <c r="Z41" s="26" t="s">
        <v>3</v>
      </c>
      <c r="AA41" s="26" t="s">
        <v>3</v>
      </c>
      <c r="AB41" s="26" t="s">
        <v>3</v>
      </c>
      <c r="AC41" s="26" t="s">
        <v>3</v>
      </c>
      <c r="AD41" s="27" t="s">
        <v>7</v>
      </c>
      <c r="AE41" s="28" t="s">
        <v>11</v>
      </c>
      <c r="AF41" s="26" t="s">
        <v>3</v>
      </c>
      <c r="AG41" s="26" t="s">
        <v>3</v>
      </c>
      <c r="AH41" s="26" t="s">
        <v>3</v>
      </c>
      <c r="AI41" s="8">
        <f t="shared" si="16"/>
        <v>21</v>
      </c>
      <c r="AJ41" s="8">
        <f t="shared" si="17"/>
        <v>2</v>
      </c>
      <c r="AK41" s="29">
        <f t="shared" si="18"/>
        <v>3</v>
      </c>
      <c r="AL41" s="62">
        <v>3</v>
      </c>
      <c r="AM41" s="33">
        <f t="shared" si="19"/>
        <v>25.5</v>
      </c>
      <c r="AN41" s="63">
        <f t="shared" si="20"/>
        <v>184</v>
      </c>
      <c r="AO41" s="63">
        <f t="shared" si="21"/>
        <v>0</v>
      </c>
      <c r="AP41" s="63">
        <f t="shared" si="22"/>
        <v>0</v>
      </c>
      <c r="AQ41" s="53">
        <f t="shared" si="23"/>
        <v>25.5</v>
      </c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</row>
    <row r="42" spans="1:56" ht="22" customHeight="1" x14ac:dyDescent="0.35">
      <c r="A42" s="8" t="s">
        <v>111</v>
      </c>
      <c r="B42" s="8" t="s">
        <v>112</v>
      </c>
      <c r="C42" s="8" t="s">
        <v>104</v>
      </c>
      <c r="D42" s="26" t="s">
        <v>3</v>
      </c>
      <c r="E42" s="26" t="s">
        <v>3</v>
      </c>
      <c r="F42" s="26" t="s">
        <v>3</v>
      </c>
      <c r="G42" s="26" t="s">
        <v>3</v>
      </c>
      <c r="H42" s="26" t="s">
        <v>3</v>
      </c>
      <c r="I42" s="27" t="s">
        <v>7</v>
      </c>
      <c r="J42" s="28" t="s">
        <v>11</v>
      </c>
      <c r="K42" s="22" t="s">
        <v>5</v>
      </c>
      <c r="L42" s="26" t="s">
        <v>3</v>
      </c>
      <c r="M42" s="26" t="s">
        <v>3</v>
      </c>
      <c r="N42" s="26" t="s">
        <v>3</v>
      </c>
      <c r="O42" s="22" t="s">
        <v>5</v>
      </c>
      <c r="P42" s="23" t="s">
        <v>7</v>
      </c>
      <c r="Q42" s="24" t="s">
        <v>9</v>
      </c>
      <c r="R42" s="22" t="s">
        <v>5</v>
      </c>
      <c r="S42" s="22" t="s">
        <v>5</v>
      </c>
      <c r="T42" s="22" t="s">
        <v>5</v>
      </c>
      <c r="U42" s="22" t="s">
        <v>5</v>
      </c>
      <c r="V42" s="22" t="s">
        <v>5</v>
      </c>
      <c r="W42" s="23" t="s">
        <v>7</v>
      </c>
      <c r="X42" s="24" t="s">
        <v>9</v>
      </c>
      <c r="Y42" s="22" t="s">
        <v>5</v>
      </c>
      <c r="Z42" s="22" t="s">
        <v>5</v>
      </c>
      <c r="AA42" s="22" t="s">
        <v>5</v>
      </c>
      <c r="AB42" s="22" t="s">
        <v>5</v>
      </c>
      <c r="AC42" s="22" t="s">
        <v>5</v>
      </c>
      <c r="AD42" s="23" t="s">
        <v>7</v>
      </c>
      <c r="AE42" s="24" t="s">
        <v>9</v>
      </c>
      <c r="AF42" s="22" t="s">
        <v>5</v>
      </c>
      <c r="AG42" s="22" t="s">
        <v>5</v>
      </c>
      <c r="AH42" s="26" t="s">
        <v>3</v>
      </c>
      <c r="AI42" s="8">
        <f t="shared" si="16"/>
        <v>9</v>
      </c>
      <c r="AJ42" s="25">
        <f t="shared" si="17"/>
        <v>14</v>
      </c>
      <c r="AK42" s="29">
        <f t="shared" si="18"/>
        <v>1</v>
      </c>
      <c r="AL42" s="62">
        <v>1</v>
      </c>
      <c r="AM42" s="33">
        <f t="shared" si="19"/>
        <v>10.5</v>
      </c>
      <c r="AN42" s="63">
        <f t="shared" si="20"/>
        <v>184</v>
      </c>
      <c r="AO42" s="63">
        <f t="shared" si="21"/>
        <v>0</v>
      </c>
      <c r="AP42" s="63">
        <f t="shared" si="22"/>
        <v>0</v>
      </c>
      <c r="AQ42" s="53">
        <f t="shared" si="23"/>
        <v>10.5</v>
      </c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</row>
    <row r="43" spans="1:56" ht="22" customHeight="1" x14ac:dyDescent="0.35">
      <c r="A43" s="8" t="s">
        <v>113</v>
      </c>
      <c r="B43" s="8" t="s">
        <v>114</v>
      </c>
      <c r="C43" s="8" t="s">
        <v>104</v>
      </c>
      <c r="D43" s="26" t="s">
        <v>3</v>
      </c>
      <c r="E43" s="26" t="s">
        <v>3</v>
      </c>
      <c r="F43" s="26" t="s">
        <v>3</v>
      </c>
      <c r="G43" s="26" t="s">
        <v>3</v>
      </c>
      <c r="H43" s="26" t="s">
        <v>3</v>
      </c>
      <c r="I43" s="27" t="s">
        <v>7</v>
      </c>
      <c r="J43" s="28" t="s">
        <v>11</v>
      </c>
      <c r="K43" s="26" t="s">
        <v>3</v>
      </c>
      <c r="L43" s="26" t="s">
        <v>3</v>
      </c>
      <c r="M43" s="26" t="s">
        <v>3</v>
      </c>
      <c r="N43" s="22" t="s">
        <v>5</v>
      </c>
      <c r="O43" s="22" t="s">
        <v>5</v>
      </c>
      <c r="P43" s="23" t="s">
        <v>7</v>
      </c>
      <c r="Q43" s="24" t="s">
        <v>9</v>
      </c>
      <c r="R43" s="26" t="s">
        <v>3</v>
      </c>
      <c r="S43" s="26" t="s">
        <v>3</v>
      </c>
      <c r="T43" s="26" t="s">
        <v>3</v>
      </c>
      <c r="U43" s="26" t="s">
        <v>3</v>
      </c>
      <c r="V43" s="26" t="s">
        <v>3</v>
      </c>
      <c r="W43" s="27" t="s">
        <v>7</v>
      </c>
      <c r="X43" s="28" t="s">
        <v>11</v>
      </c>
      <c r="Y43" s="26" t="s">
        <v>3</v>
      </c>
      <c r="Z43" s="22" t="s">
        <v>5</v>
      </c>
      <c r="AA43" s="26" t="s">
        <v>3</v>
      </c>
      <c r="AB43" s="22" t="s">
        <v>5</v>
      </c>
      <c r="AC43" s="22" t="s">
        <v>5</v>
      </c>
      <c r="AD43" s="23" t="s">
        <v>7</v>
      </c>
      <c r="AE43" s="24" t="s">
        <v>9</v>
      </c>
      <c r="AF43" s="22" t="s">
        <v>5</v>
      </c>
      <c r="AG43" s="22" t="s">
        <v>5</v>
      </c>
      <c r="AH43" s="26" t="s">
        <v>3</v>
      </c>
      <c r="AI43" s="8">
        <f t="shared" si="16"/>
        <v>16</v>
      </c>
      <c r="AJ43" s="8">
        <f t="shared" si="17"/>
        <v>7</v>
      </c>
      <c r="AK43" s="29">
        <f t="shared" si="18"/>
        <v>2</v>
      </c>
      <c r="AL43" s="62">
        <v>2</v>
      </c>
      <c r="AM43" s="33">
        <f t="shared" si="19"/>
        <v>19</v>
      </c>
      <c r="AN43" s="63">
        <f t="shared" si="20"/>
        <v>184</v>
      </c>
      <c r="AO43" s="63">
        <f t="shared" si="21"/>
        <v>0</v>
      </c>
      <c r="AP43" s="63">
        <f t="shared" si="22"/>
        <v>0</v>
      </c>
      <c r="AQ43" s="53">
        <f t="shared" si="23"/>
        <v>19</v>
      </c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</row>
    <row r="44" spans="1:56" ht="22" customHeight="1" x14ac:dyDescent="0.35">
      <c r="A44" s="8" t="s">
        <v>115</v>
      </c>
      <c r="B44" s="8" t="s">
        <v>116</v>
      </c>
      <c r="C44" s="8" t="s">
        <v>104</v>
      </c>
      <c r="D44" s="22" t="s">
        <v>5</v>
      </c>
      <c r="E44" s="22" t="s">
        <v>5</v>
      </c>
      <c r="F44" s="22" t="s">
        <v>5</v>
      </c>
      <c r="G44" s="22" t="s">
        <v>5</v>
      </c>
      <c r="H44" s="22" t="s">
        <v>5</v>
      </c>
      <c r="I44" s="23" t="s">
        <v>7</v>
      </c>
      <c r="J44" s="24" t="s">
        <v>9</v>
      </c>
      <c r="K44" s="26" t="s">
        <v>3</v>
      </c>
      <c r="L44" s="26" t="s">
        <v>3</v>
      </c>
      <c r="M44" s="26" t="s">
        <v>3</v>
      </c>
      <c r="N44" s="26" t="s">
        <v>3</v>
      </c>
      <c r="O44" s="26" t="s">
        <v>3</v>
      </c>
      <c r="P44" s="27" t="s">
        <v>7</v>
      </c>
      <c r="Q44" s="28" t="s">
        <v>11</v>
      </c>
      <c r="R44" s="26" t="s">
        <v>3</v>
      </c>
      <c r="S44" s="26" t="s">
        <v>3</v>
      </c>
      <c r="T44" s="26" t="s">
        <v>3</v>
      </c>
      <c r="U44" s="26" t="s">
        <v>3</v>
      </c>
      <c r="V44" s="26" t="s">
        <v>3</v>
      </c>
      <c r="W44" s="27" t="s">
        <v>7</v>
      </c>
      <c r="X44" s="28" t="s">
        <v>11</v>
      </c>
      <c r="Y44" s="26" t="s">
        <v>3</v>
      </c>
      <c r="Z44" s="26" t="s">
        <v>3</v>
      </c>
      <c r="AA44" s="26" t="s">
        <v>3</v>
      </c>
      <c r="AB44" s="26" t="s">
        <v>3</v>
      </c>
      <c r="AC44" s="26" t="s">
        <v>3</v>
      </c>
      <c r="AD44" s="27" t="s">
        <v>7</v>
      </c>
      <c r="AE44" s="28" t="s">
        <v>11</v>
      </c>
      <c r="AF44" s="26" t="s">
        <v>3</v>
      </c>
      <c r="AG44" s="26" t="s">
        <v>3</v>
      </c>
      <c r="AH44" s="22" t="s">
        <v>5</v>
      </c>
      <c r="AI44" s="8">
        <f t="shared" si="16"/>
        <v>17</v>
      </c>
      <c r="AJ44" s="8">
        <f t="shared" si="17"/>
        <v>6</v>
      </c>
      <c r="AK44" s="29">
        <f t="shared" si="18"/>
        <v>3</v>
      </c>
      <c r="AL44" s="62">
        <v>3</v>
      </c>
      <c r="AM44" s="33">
        <f t="shared" si="19"/>
        <v>21.5</v>
      </c>
      <c r="AN44" s="63">
        <f t="shared" si="20"/>
        <v>184</v>
      </c>
      <c r="AO44" s="63">
        <f t="shared" si="21"/>
        <v>0</v>
      </c>
      <c r="AP44" s="63">
        <f t="shared" si="22"/>
        <v>0</v>
      </c>
      <c r="AQ44" s="53">
        <f t="shared" si="23"/>
        <v>21.5</v>
      </c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</row>
    <row r="45" spans="1:56" ht="22" customHeight="1" x14ac:dyDescent="0.35">
      <c r="A45" s="8" t="s">
        <v>117</v>
      </c>
      <c r="B45" s="8" t="s">
        <v>118</v>
      </c>
      <c r="C45" s="8" t="s">
        <v>104</v>
      </c>
      <c r="D45" s="22" t="s">
        <v>5</v>
      </c>
      <c r="E45" s="22" t="s">
        <v>5</v>
      </c>
      <c r="F45" s="22" t="s">
        <v>5</v>
      </c>
      <c r="G45" s="22" t="s">
        <v>5</v>
      </c>
      <c r="H45" s="22" t="s">
        <v>5</v>
      </c>
      <c r="I45" s="23" t="s">
        <v>7</v>
      </c>
      <c r="J45" s="24" t="s">
        <v>9</v>
      </c>
      <c r="K45" s="26" t="s">
        <v>3</v>
      </c>
      <c r="L45" s="26" t="s">
        <v>3</v>
      </c>
      <c r="M45" s="26" t="s">
        <v>3</v>
      </c>
      <c r="N45" s="26" t="s">
        <v>3</v>
      </c>
      <c r="O45" s="26" t="s">
        <v>3</v>
      </c>
      <c r="P45" s="27" t="s">
        <v>7</v>
      </c>
      <c r="Q45" s="28" t="s">
        <v>11</v>
      </c>
      <c r="R45" s="26" t="s">
        <v>3</v>
      </c>
      <c r="S45" s="26" t="s">
        <v>3</v>
      </c>
      <c r="T45" s="26" t="s">
        <v>3</v>
      </c>
      <c r="U45" s="26" t="s">
        <v>3</v>
      </c>
      <c r="V45" s="26" t="s">
        <v>3</v>
      </c>
      <c r="W45" s="27" t="s">
        <v>7</v>
      </c>
      <c r="X45" s="28" t="s">
        <v>11</v>
      </c>
      <c r="Y45" s="26" t="s">
        <v>3</v>
      </c>
      <c r="Z45" s="26" t="s">
        <v>3</v>
      </c>
      <c r="AA45" s="26" t="s">
        <v>3</v>
      </c>
      <c r="AB45" s="26" t="s">
        <v>3</v>
      </c>
      <c r="AC45" s="26" t="s">
        <v>3</v>
      </c>
      <c r="AD45" s="27" t="s">
        <v>7</v>
      </c>
      <c r="AE45" s="28" t="s">
        <v>11</v>
      </c>
      <c r="AF45" s="26" t="s">
        <v>3</v>
      </c>
      <c r="AG45" s="26" t="s">
        <v>3</v>
      </c>
      <c r="AH45" s="22" t="s">
        <v>5</v>
      </c>
      <c r="AI45" s="8">
        <f t="shared" si="16"/>
        <v>17</v>
      </c>
      <c r="AJ45" s="8">
        <f t="shared" si="17"/>
        <v>6</v>
      </c>
      <c r="AK45" s="29">
        <f t="shared" si="18"/>
        <v>3</v>
      </c>
      <c r="AL45" s="62">
        <v>3</v>
      </c>
      <c r="AM45" s="33">
        <f t="shared" si="19"/>
        <v>21.5</v>
      </c>
      <c r="AN45" s="63">
        <f t="shared" si="20"/>
        <v>184</v>
      </c>
      <c r="AO45" s="63">
        <f t="shared" si="21"/>
        <v>0</v>
      </c>
      <c r="AP45" s="63">
        <f t="shared" si="22"/>
        <v>0</v>
      </c>
      <c r="AQ45" s="53">
        <f t="shared" si="23"/>
        <v>21.5</v>
      </c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</row>
    <row r="46" spans="1:56" ht="22" customHeight="1" x14ac:dyDescent="0.35">
      <c r="A46" s="8" t="s">
        <v>119</v>
      </c>
      <c r="B46" s="8" t="s">
        <v>120</v>
      </c>
      <c r="C46" s="8" t="s">
        <v>104</v>
      </c>
      <c r="D46" s="26" t="s">
        <v>3</v>
      </c>
      <c r="E46" s="26" t="s">
        <v>3</v>
      </c>
      <c r="F46" s="26" t="s">
        <v>3</v>
      </c>
      <c r="G46" s="26" t="s">
        <v>3</v>
      </c>
      <c r="H46" s="26" t="s">
        <v>3</v>
      </c>
      <c r="I46" s="27" t="s">
        <v>7</v>
      </c>
      <c r="J46" s="28" t="s">
        <v>11</v>
      </c>
      <c r="K46" s="26" t="s">
        <v>3</v>
      </c>
      <c r="L46" s="26" t="s">
        <v>3</v>
      </c>
      <c r="M46" s="26" t="s">
        <v>3</v>
      </c>
      <c r="N46" s="26" t="s">
        <v>3</v>
      </c>
      <c r="O46" s="26" t="s">
        <v>3</v>
      </c>
      <c r="P46" s="27" t="s">
        <v>7</v>
      </c>
      <c r="Q46" s="28" t="s">
        <v>11</v>
      </c>
      <c r="R46" s="26" t="s">
        <v>3</v>
      </c>
      <c r="S46" s="26" t="s">
        <v>3</v>
      </c>
      <c r="T46" s="26" t="s">
        <v>3</v>
      </c>
      <c r="U46" s="26" t="s">
        <v>3</v>
      </c>
      <c r="V46" s="26" t="s">
        <v>3</v>
      </c>
      <c r="W46" s="27" t="s">
        <v>7</v>
      </c>
      <c r="X46" s="28" t="s">
        <v>11</v>
      </c>
      <c r="Y46" s="22" t="s">
        <v>5</v>
      </c>
      <c r="Z46" s="26" t="s">
        <v>3</v>
      </c>
      <c r="AA46" s="26" t="s">
        <v>3</v>
      </c>
      <c r="AB46" s="26" t="s">
        <v>3</v>
      </c>
      <c r="AC46" s="26" t="s">
        <v>3</v>
      </c>
      <c r="AD46" s="27" t="s">
        <v>7</v>
      </c>
      <c r="AE46" s="28" t="s">
        <v>11</v>
      </c>
      <c r="AF46" s="26" t="s">
        <v>3</v>
      </c>
      <c r="AG46" s="26" t="s">
        <v>3</v>
      </c>
      <c r="AH46" s="26" t="s">
        <v>3</v>
      </c>
      <c r="AI46" s="8">
        <f t="shared" si="16"/>
        <v>22</v>
      </c>
      <c r="AJ46" s="8">
        <f t="shared" si="17"/>
        <v>1</v>
      </c>
      <c r="AK46" s="29">
        <f t="shared" si="18"/>
        <v>4</v>
      </c>
      <c r="AL46" s="62">
        <v>4</v>
      </c>
      <c r="AM46" s="33">
        <f t="shared" si="19"/>
        <v>28</v>
      </c>
      <c r="AN46" s="63">
        <f t="shared" si="20"/>
        <v>184</v>
      </c>
      <c r="AO46" s="63">
        <f t="shared" si="21"/>
        <v>0</v>
      </c>
      <c r="AP46" s="63">
        <f t="shared" si="22"/>
        <v>0</v>
      </c>
      <c r="AQ46" s="53">
        <f t="shared" si="23"/>
        <v>28</v>
      </c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</row>
    <row r="47" spans="1:56" ht="22" customHeight="1" x14ac:dyDescent="0.35">
      <c r="A47" s="8" t="s">
        <v>121</v>
      </c>
      <c r="B47" s="8" t="s">
        <v>122</v>
      </c>
      <c r="C47" s="8" t="s">
        <v>104</v>
      </c>
      <c r="D47" s="22" t="s">
        <v>5</v>
      </c>
      <c r="E47" s="22" t="s">
        <v>5</v>
      </c>
      <c r="F47" s="22" t="s">
        <v>5</v>
      </c>
      <c r="G47" s="22" t="s">
        <v>5</v>
      </c>
      <c r="H47" s="22" t="s">
        <v>5</v>
      </c>
      <c r="I47" s="23" t="s">
        <v>7</v>
      </c>
      <c r="J47" s="24" t="s">
        <v>9</v>
      </c>
      <c r="K47" s="22" t="s">
        <v>5</v>
      </c>
      <c r="L47" s="22" t="s">
        <v>5</v>
      </c>
      <c r="M47" s="22" t="s">
        <v>5</v>
      </c>
      <c r="N47" s="22" t="s">
        <v>5</v>
      </c>
      <c r="O47" s="22" t="s">
        <v>5</v>
      </c>
      <c r="P47" s="23" t="s">
        <v>7</v>
      </c>
      <c r="Q47" s="24" t="s">
        <v>9</v>
      </c>
      <c r="R47" s="22" t="s">
        <v>5</v>
      </c>
      <c r="S47" s="22" t="s">
        <v>5</v>
      </c>
      <c r="T47" s="22" t="s">
        <v>5</v>
      </c>
      <c r="U47" s="22" t="s">
        <v>5</v>
      </c>
      <c r="V47" s="22" t="s">
        <v>5</v>
      </c>
      <c r="W47" s="23" t="s">
        <v>7</v>
      </c>
      <c r="X47" s="24" t="s">
        <v>9</v>
      </c>
      <c r="Y47" s="26" t="s">
        <v>3</v>
      </c>
      <c r="Z47" s="26" t="s">
        <v>3</v>
      </c>
      <c r="AA47" s="26" t="s">
        <v>3</v>
      </c>
      <c r="AB47" s="26" t="s">
        <v>3</v>
      </c>
      <c r="AC47" s="26" t="s">
        <v>3</v>
      </c>
      <c r="AD47" s="27" t="s">
        <v>7</v>
      </c>
      <c r="AE47" s="28" t="s">
        <v>11</v>
      </c>
      <c r="AF47" s="26" t="s">
        <v>3</v>
      </c>
      <c r="AG47" s="26" t="s">
        <v>3</v>
      </c>
      <c r="AH47" s="22" t="s">
        <v>5</v>
      </c>
      <c r="AI47" s="8">
        <f t="shared" si="16"/>
        <v>7</v>
      </c>
      <c r="AJ47" s="25">
        <f t="shared" si="17"/>
        <v>16</v>
      </c>
      <c r="AK47" s="29">
        <f t="shared" si="18"/>
        <v>1</v>
      </c>
      <c r="AL47" s="62">
        <v>1</v>
      </c>
      <c r="AM47" s="33">
        <f t="shared" si="19"/>
        <v>8.5</v>
      </c>
      <c r="AN47" s="63">
        <f t="shared" si="20"/>
        <v>184</v>
      </c>
      <c r="AO47" s="63">
        <f t="shared" si="21"/>
        <v>0</v>
      </c>
      <c r="AP47" s="63">
        <f t="shared" si="22"/>
        <v>0</v>
      </c>
      <c r="AQ47" s="53">
        <f t="shared" si="23"/>
        <v>8.5</v>
      </c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</row>
    <row r="48" spans="1:56" ht="22" customHeight="1" x14ac:dyDescent="0.35">
      <c r="A48" s="8" t="s">
        <v>123</v>
      </c>
      <c r="B48" s="8" t="s">
        <v>124</v>
      </c>
      <c r="C48" s="8" t="s">
        <v>104</v>
      </c>
      <c r="D48" s="26" t="s">
        <v>3</v>
      </c>
      <c r="E48" s="22" t="s">
        <v>5</v>
      </c>
      <c r="F48" s="26" t="s">
        <v>3</v>
      </c>
      <c r="G48" s="26" t="s">
        <v>3</v>
      </c>
      <c r="H48" s="26" t="s">
        <v>3</v>
      </c>
      <c r="I48" s="27" t="s">
        <v>7</v>
      </c>
      <c r="J48" s="28" t="s">
        <v>11</v>
      </c>
      <c r="K48" s="26" t="s">
        <v>3</v>
      </c>
      <c r="L48" s="26" t="s">
        <v>3</v>
      </c>
      <c r="M48" s="26" t="s">
        <v>3</v>
      </c>
      <c r="N48" s="26" t="s">
        <v>3</v>
      </c>
      <c r="O48" s="26" t="s">
        <v>3</v>
      </c>
      <c r="P48" s="27" t="s">
        <v>7</v>
      </c>
      <c r="Q48" s="28" t="s">
        <v>11</v>
      </c>
      <c r="R48" s="26" t="s">
        <v>3</v>
      </c>
      <c r="S48" s="22" t="s">
        <v>5</v>
      </c>
      <c r="T48" s="26" t="s">
        <v>3</v>
      </c>
      <c r="U48" s="26" t="s">
        <v>3</v>
      </c>
      <c r="V48" s="26" t="s">
        <v>3</v>
      </c>
      <c r="W48" s="27" t="s">
        <v>7</v>
      </c>
      <c r="X48" s="28" t="s">
        <v>11</v>
      </c>
      <c r="Y48" s="26" t="s">
        <v>3</v>
      </c>
      <c r="Z48" s="26" t="s">
        <v>3</v>
      </c>
      <c r="AA48" s="22" t="s">
        <v>5</v>
      </c>
      <c r="AB48" s="22" t="s">
        <v>5</v>
      </c>
      <c r="AC48" s="22" t="s">
        <v>5</v>
      </c>
      <c r="AD48" s="27" t="s">
        <v>7</v>
      </c>
      <c r="AE48" s="28" t="s">
        <v>11</v>
      </c>
      <c r="AF48" s="26" t="s">
        <v>3</v>
      </c>
      <c r="AG48" s="26" t="s">
        <v>3</v>
      </c>
      <c r="AH48" s="22" t="s">
        <v>5</v>
      </c>
      <c r="AI48" s="8">
        <f t="shared" si="16"/>
        <v>17</v>
      </c>
      <c r="AJ48" s="8">
        <f t="shared" si="17"/>
        <v>6</v>
      </c>
      <c r="AK48" s="29">
        <f t="shared" si="18"/>
        <v>4</v>
      </c>
      <c r="AL48" s="62">
        <v>4</v>
      </c>
      <c r="AM48" s="33">
        <f t="shared" si="19"/>
        <v>23</v>
      </c>
      <c r="AN48" s="63">
        <f t="shared" si="20"/>
        <v>184</v>
      </c>
      <c r="AO48" s="63">
        <f t="shared" si="21"/>
        <v>0</v>
      </c>
      <c r="AP48" s="63">
        <f t="shared" si="22"/>
        <v>0</v>
      </c>
      <c r="AQ48" s="53">
        <f t="shared" si="23"/>
        <v>23</v>
      </c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</row>
    <row r="49" spans="1:56" ht="22" customHeight="1" x14ac:dyDescent="0.35">
      <c r="A49" s="8" t="s">
        <v>125</v>
      </c>
      <c r="B49" s="8" t="s">
        <v>126</v>
      </c>
      <c r="C49" s="8" t="s">
        <v>104</v>
      </c>
      <c r="D49" s="26" t="s">
        <v>3</v>
      </c>
      <c r="E49" s="26" t="s">
        <v>3</v>
      </c>
      <c r="F49" s="26" t="s">
        <v>3</v>
      </c>
      <c r="G49" s="26" t="s">
        <v>3</v>
      </c>
      <c r="H49" s="26" t="s">
        <v>3</v>
      </c>
      <c r="I49" s="27" t="s">
        <v>7</v>
      </c>
      <c r="J49" s="28" t="s">
        <v>11</v>
      </c>
      <c r="K49" s="26" t="s">
        <v>3</v>
      </c>
      <c r="L49" s="26" t="s">
        <v>3</v>
      </c>
      <c r="M49" s="26" t="s">
        <v>3</v>
      </c>
      <c r="N49" s="26" t="s">
        <v>3</v>
      </c>
      <c r="O49" s="26" t="s">
        <v>3</v>
      </c>
      <c r="P49" s="27" t="s">
        <v>7</v>
      </c>
      <c r="Q49" s="28" t="s">
        <v>11</v>
      </c>
      <c r="R49" s="26" t="s">
        <v>3</v>
      </c>
      <c r="S49" s="26" t="s">
        <v>3</v>
      </c>
      <c r="T49" s="26" t="s">
        <v>3</v>
      </c>
      <c r="U49" s="26" t="s">
        <v>3</v>
      </c>
      <c r="V49" s="26" t="s">
        <v>3</v>
      </c>
      <c r="W49" s="27" t="s">
        <v>7</v>
      </c>
      <c r="X49" s="28" t="s">
        <v>11</v>
      </c>
      <c r="Y49" s="26" t="s">
        <v>3</v>
      </c>
      <c r="Z49" s="26" t="s">
        <v>3</v>
      </c>
      <c r="AA49" s="22" t="s">
        <v>5</v>
      </c>
      <c r="AB49" s="22" t="s">
        <v>5</v>
      </c>
      <c r="AC49" s="22" t="s">
        <v>5</v>
      </c>
      <c r="AD49" s="23" t="s">
        <v>7</v>
      </c>
      <c r="AE49" s="24" t="s">
        <v>9</v>
      </c>
      <c r="AF49" s="22" t="s">
        <v>5</v>
      </c>
      <c r="AG49" s="22" t="s">
        <v>5</v>
      </c>
      <c r="AH49" s="26" t="s">
        <v>3</v>
      </c>
      <c r="AI49" s="8">
        <f t="shared" si="16"/>
        <v>18</v>
      </c>
      <c r="AJ49" s="8">
        <f t="shared" si="17"/>
        <v>5</v>
      </c>
      <c r="AK49" s="29">
        <f t="shared" si="18"/>
        <v>3</v>
      </c>
      <c r="AL49" s="62">
        <v>3</v>
      </c>
      <c r="AM49" s="33">
        <f t="shared" si="19"/>
        <v>22.5</v>
      </c>
      <c r="AN49" s="63">
        <f t="shared" si="20"/>
        <v>184</v>
      </c>
      <c r="AO49" s="63">
        <f t="shared" si="21"/>
        <v>0</v>
      </c>
      <c r="AP49" s="63">
        <f t="shared" si="22"/>
        <v>0</v>
      </c>
      <c r="AQ49" s="53">
        <f t="shared" si="23"/>
        <v>22.5</v>
      </c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</row>
    <row r="50" spans="1:56" ht="22" customHeight="1" x14ac:dyDescent="0.35">
      <c r="A50" s="8" t="s">
        <v>127</v>
      </c>
      <c r="B50" s="8" t="s">
        <v>128</v>
      </c>
      <c r="C50" s="8" t="s">
        <v>104</v>
      </c>
      <c r="D50" s="26" t="s">
        <v>3</v>
      </c>
      <c r="E50" s="26" t="s">
        <v>3</v>
      </c>
      <c r="F50" s="26" t="s">
        <v>3</v>
      </c>
      <c r="G50" s="26" t="s">
        <v>3</v>
      </c>
      <c r="H50" s="26" t="s">
        <v>3</v>
      </c>
      <c r="I50" s="27" t="s">
        <v>7</v>
      </c>
      <c r="J50" s="28" t="s">
        <v>11</v>
      </c>
      <c r="K50" s="26" t="s">
        <v>3</v>
      </c>
      <c r="L50" s="26" t="s">
        <v>3</v>
      </c>
      <c r="M50" s="26" t="s">
        <v>3</v>
      </c>
      <c r="N50" s="26" t="s">
        <v>3</v>
      </c>
      <c r="O50" s="26" t="s">
        <v>3</v>
      </c>
      <c r="P50" s="27" t="s">
        <v>7</v>
      </c>
      <c r="Q50" s="28" t="s">
        <v>11</v>
      </c>
      <c r="R50" s="26" t="s">
        <v>3</v>
      </c>
      <c r="S50" s="26" t="s">
        <v>3</v>
      </c>
      <c r="T50" s="26" t="s">
        <v>3</v>
      </c>
      <c r="U50" s="26" t="s">
        <v>3</v>
      </c>
      <c r="V50" s="26" t="s">
        <v>3</v>
      </c>
      <c r="W50" s="27" t="s">
        <v>7</v>
      </c>
      <c r="X50" s="28" t="s">
        <v>11</v>
      </c>
      <c r="Y50" s="26" t="s">
        <v>3</v>
      </c>
      <c r="Z50" s="26" t="s">
        <v>3</v>
      </c>
      <c r="AA50" s="26" t="s">
        <v>3</v>
      </c>
      <c r="AB50" s="26" t="s">
        <v>3</v>
      </c>
      <c r="AC50" s="26" t="s">
        <v>3</v>
      </c>
      <c r="AD50" s="27" t="s">
        <v>7</v>
      </c>
      <c r="AE50" s="28" t="s">
        <v>11</v>
      </c>
      <c r="AF50" s="26" t="s">
        <v>3</v>
      </c>
      <c r="AG50" s="26" t="s">
        <v>3</v>
      </c>
      <c r="AH50" s="22" t="s">
        <v>5</v>
      </c>
      <c r="AI50" s="8">
        <f t="shared" si="16"/>
        <v>22</v>
      </c>
      <c r="AJ50" s="8">
        <f t="shared" si="17"/>
        <v>1</v>
      </c>
      <c r="AK50" s="29">
        <f t="shared" si="18"/>
        <v>4</v>
      </c>
      <c r="AL50" s="62">
        <v>4</v>
      </c>
      <c r="AM50" s="33">
        <f t="shared" si="19"/>
        <v>28</v>
      </c>
      <c r="AN50" s="63">
        <f t="shared" si="20"/>
        <v>184</v>
      </c>
      <c r="AO50" s="63">
        <f t="shared" si="21"/>
        <v>0</v>
      </c>
      <c r="AP50" s="63">
        <f t="shared" si="22"/>
        <v>0</v>
      </c>
      <c r="AQ50" s="53">
        <f t="shared" si="23"/>
        <v>28</v>
      </c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</row>
    <row r="51" spans="1:56" ht="22" customHeight="1" x14ac:dyDescent="0.35">
      <c r="A51" s="8" t="s">
        <v>129</v>
      </c>
      <c r="B51" s="8" t="s">
        <v>130</v>
      </c>
      <c r="C51" s="8" t="s">
        <v>104</v>
      </c>
      <c r="D51" s="26" t="s">
        <v>3</v>
      </c>
      <c r="E51" s="26" t="s">
        <v>3</v>
      </c>
      <c r="F51" s="26" t="s">
        <v>3</v>
      </c>
      <c r="G51" s="26" t="s">
        <v>3</v>
      </c>
      <c r="H51" s="26" t="s">
        <v>3</v>
      </c>
      <c r="I51" s="27" t="s">
        <v>7</v>
      </c>
      <c r="J51" s="28" t="s">
        <v>11</v>
      </c>
      <c r="K51" s="26" t="s">
        <v>3</v>
      </c>
      <c r="L51" s="26" t="s">
        <v>3</v>
      </c>
      <c r="M51" s="26" t="s">
        <v>3</v>
      </c>
      <c r="N51" s="26" t="s">
        <v>3</v>
      </c>
      <c r="O51" s="26" t="s">
        <v>3</v>
      </c>
      <c r="P51" s="27" t="s">
        <v>7</v>
      </c>
      <c r="Q51" s="24" t="s">
        <v>9</v>
      </c>
      <c r="R51" s="26" t="s">
        <v>3</v>
      </c>
      <c r="S51" s="26" t="s">
        <v>3</v>
      </c>
      <c r="T51" s="26" t="s">
        <v>3</v>
      </c>
      <c r="U51" s="26" t="s">
        <v>3</v>
      </c>
      <c r="V51" s="26" t="s">
        <v>3</v>
      </c>
      <c r="W51" s="27" t="s">
        <v>7</v>
      </c>
      <c r="X51" s="28" t="s">
        <v>11</v>
      </c>
      <c r="Y51" s="22" t="s">
        <v>5</v>
      </c>
      <c r="Z51" s="22" t="s">
        <v>5</v>
      </c>
      <c r="AA51" s="22" t="s">
        <v>5</v>
      </c>
      <c r="AB51" s="22" t="s">
        <v>5</v>
      </c>
      <c r="AC51" s="22" t="s">
        <v>5</v>
      </c>
      <c r="AD51" s="23" t="s">
        <v>7</v>
      </c>
      <c r="AE51" s="24" t="s">
        <v>9</v>
      </c>
      <c r="AF51" s="22" t="s">
        <v>5</v>
      </c>
      <c r="AG51" s="22" t="s">
        <v>5</v>
      </c>
      <c r="AH51" s="26" t="s">
        <v>3</v>
      </c>
      <c r="AI51" s="8">
        <f t="shared" si="16"/>
        <v>16</v>
      </c>
      <c r="AJ51" s="8">
        <f t="shared" si="17"/>
        <v>7</v>
      </c>
      <c r="AK51" s="29">
        <f t="shared" si="18"/>
        <v>2</v>
      </c>
      <c r="AL51" s="62">
        <v>3</v>
      </c>
      <c r="AM51" s="33">
        <f t="shared" si="19"/>
        <v>19.5</v>
      </c>
      <c r="AN51" s="63">
        <f t="shared" si="20"/>
        <v>184</v>
      </c>
      <c r="AO51" s="63">
        <f t="shared" si="21"/>
        <v>0</v>
      </c>
      <c r="AP51" s="63">
        <f t="shared" si="22"/>
        <v>0</v>
      </c>
      <c r="AQ51" s="53">
        <f t="shared" si="23"/>
        <v>19.5</v>
      </c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</row>
    <row r="52" spans="1:56" ht="22" customHeight="1" x14ac:dyDescent="0.35">
      <c r="A52" s="8" t="s">
        <v>131</v>
      </c>
      <c r="B52" s="8" t="s">
        <v>132</v>
      </c>
      <c r="C52" s="8" t="s">
        <v>104</v>
      </c>
      <c r="D52" s="26" t="s">
        <v>3</v>
      </c>
      <c r="E52" s="26" t="s">
        <v>3</v>
      </c>
      <c r="F52" s="26" t="s">
        <v>3</v>
      </c>
      <c r="G52" s="26" t="s">
        <v>3</v>
      </c>
      <c r="H52" s="26" t="s">
        <v>3</v>
      </c>
      <c r="I52" s="27" t="s">
        <v>7</v>
      </c>
      <c r="J52" s="28" t="s">
        <v>11</v>
      </c>
      <c r="K52" s="26" t="s">
        <v>3</v>
      </c>
      <c r="L52" s="26" t="s">
        <v>3</v>
      </c>
      <c r="M52" s="26" t="s">
        <v>3</v>
      </c>
      <c r="N52" s="22" t="s">
        <v>5</v>
      </c>
      <c r="O52" s="22" t="s">
        <v>5</v>
      </c>
      <c r="P52" s="23" t="s">
        <v>7</v>
      </c>
      <c r="Q52" s="24" t="s">
        <v>9</v>
      </c>
      <c r="R52" s="26" t="s">
        <v>3</v>
      </c>
      <c r="S52" s="26" t="s">
        <v>3</v>
      </c>
      <c r="T52" s="26" t="s">
        <v>3</v>
      </c>
      <c r="U52" s="26" t="s">
        <v>3</v>
      </c>
      <c r="V52" s="26" t="s">
        <v>3</v>
      </c>
      <c r="W52" s="27" t="s">
        <v>7</v>
      </c>
      <c r="X52" s="28" t="s">
        <v>11</v>
      </c>
      <c r="Y52" s="26" t="s">
        <v>3</v>
      </c>
      <c r="Z52" s="26" t="s">
        <v>3</v>
      </c>
      <c r="AA52" s="26" t="s">
        <v>3</v>
      </c>
      <c r="AB52" s="26" t="s">
        <v>3</v>
      </c>
      <c r="AC52" s="26" t="s">
        <v>3</v>
      </c>
      <c r="AD52" s="27" t="s">
        <v>7</v>
      </c>
      <c r="AE52" s="24" t="s">
        <v>9</v>
      </c>
      <c r="AF52" s="22" t="s">
        <v>5</v>
      </c>
      <c r="AG52" s="22" t="s">
        <v>5</v>
      </c>
      <c r="AH52" s="22" t="s">
        <v>5</v>
      </c>
      <c r="AI52" s="8">
        <f t="shared" si="16"/>
        <v>18</v>
      </c>
      <c r="AJ52" s="8">
        <f t="shared" si="17"/>
        <v>5</v>
      </c>
      <c r="AK52" s="29">
        <f t="shared" si="18"/>
        <v>2</v>
      </c>
      <c r="AL52" s="62">
        <v>3</v>
      </c>
      <c r="AM52" s="33">
        <f t="shared" si="19"/>
        <v>21.5</v>
      </c>
      <c r="AN52" s="63">
        <f t="shared" si="20"/>
        <v>184</v>
      </c>
      <c r="AO52" s="63">
        <f t="shared" si="21"/>
        <v>0</v>
      </c>
      <c r="AP52" s="63">
        <f t="shared" si="22"/>
        <v>0</v>
      </c>
      <c r="AQ52" s="53">
        <f t="shared" si="23"/>
        <v>21.5</v>
      </c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</row>
    <row r="53" spans="1:56" ht="22" customHeight="1" x14ac:dyDescent="0.35">
      <c r="A53" s="8" t="s">
        <v>133</v>
      </c>
      <c r="B53" s="8" t="s">
        <v>134</v>
      </c>
      <c r="C53" s="8" t="s">
        <v>104</v>
      </c>
      <c r="D53" s="26" t="s">
        <v>3</v>
      </c>
      <c r="E53" s="26" t="s">
        <v>3</v>
      </c>
      <c r="F53" s="26" t="s">
        <v>3</v>
      </c>
      <c r="G53" s="26" t="s">
        <v>3</v>
      </c>
      <c r="H53" s="26" t="s">
        <v>3</v>
      </c>
      <c r="I53" s="27" t="s">
        <v>7</v>
      </c>
      <c r="J53" s="24" t="s">
        <v>9</v>
      </c>
      <c r="K53" s="26" t="s">
        <v>3</v>
      </c>
      <c r="L53" s="26" t="s">
        <v>3</v>
      </c>
      <c r="M53" s="26" t="s">
        <v>3</v>
      </c>
      <c r="N53" s="26" t="s">
        <v>3</v>
      </c>
      <c r="O53" s="26" t="s">
        <v>3</v>
      </c>
      <c r="P53" s="27" t="s">
        <v>7</v>
      </c>
      <c r="Q53" s="28" t="s">
        <v>11</v>
      </c>
      <c r="R53" s="26" t="s">
        <v>3</v>
      </c>
      <c r="S53" s="26" t="s">
        <v>3</v>
      </c>
      <c r="T53" s="26" t="s">
        <v>3</v>
      </c>
      <c r="U53" s="26" t="s">
        <v>3</v>
      </c>
      <c r="V53" s="26" t="s">
        <v>3</v>
      </c>
      <c r="W53" s="27" t="s">
        <v>7</v>
      </c>
      <c r="X53" s="28" t="s">
        <v>11</v>
      </c>
      <c r="Y53" s="22" t="s">
        <v>5</v>
      </c>
      <c r="Z53" s="22" t="s">
        <v>5</v>
      </c>
      <c r="AA53" s="26" t="s">
        <v>3</v>
      </c>
      <c r="AB53" s="22" t="s">
        <v>5</v>
      </c>
      <c r="AC53" s="22" t="s">
        <v>5</v>
      </c>
      <c r="AD53" s="23" t="s">
        <v>7</v>
      </c>
      <c r="AE53" s="24" t="s">
        <v>9</v>
      </c>
      <c r="AF53" s="22" t="s">
        <v>5</v>
      </c>
      <c r="AG53" s="22" t="s">
        <v>5</v>
      </c>
      <c r="AH53" s="22" t="s">
        <v>5</v>
      </c>
      <c r="AI53" s="8">
        <f t="shared" si="16"/>
        <v>16</v>
      </c>
      <c r="AJ53" s="8">
        <f t="shared" si="17"/>
        <v>7</v>
      </c>
      <c r="AK53" s="29">
        <f t="shared" si="18"/>
        <v>2</v>
      </c>
      <c r="AL53" s="62">
        <v>3</v>
      </c>
      <c r="AM53" s="33">
        <f t="shared" si="19"/>
        <v>19.5</v>
      </c>
      <c r="AN53" s="63">
        <f t="shared" si="20"/>
        <v>184</v>
      </c>
      <c r="AO53" s="63">
        <f t="shared" si="21"/>
        <v>0</v>
      </c>
      <c r="AP53" s="63">
        <f t="shared" si="22"/>
        <v>0</v>
      </c>
      <c r="AQ53" s="53">
        <f t="shared" si="23"/>
        <v>19.5</v>
      </c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</row>
    <row r="54" spans="1:56" ht="22" customHeight="1" x14ac:dyDescent="0.35">
      <c r="A54" s="8" t="s">
        <v>135</v>
      </c>
      <c r="B54" s="8" t="s">
        <v>136</v>
      </c>
      <c r="C54" s="8" t="s">
        <v>104</v>
      </c>
      <c r="D54" s="26" t="s">
        <v>3</v>
      </c>
      <c r="E54" s="26" t="s">
        <v>3</v>
      </c>
      <c r="F54" s="26" t="s">
        <v>3</v>
      </c>
      <c r="G54" s="26" t="s">
        <v>3</v>
      </c>
      <c r="H54" s="26" t="s">
        <v>3</v>
      </c>
      <c r="I54" s="27" t="s">
        <v>7</v>
      </c>
      <c r="J54" s="28" t="s">
        <v>11</v>
      </c>
      <c r="K54" s="26" t="s">
        <v>3</v>
      </c>
      <c r="L54" s="26" t="s">
        <v>3</v>
      </c>
      <c r="M54" s="26" t="s">
        <v>3</v>
      </c>
      <c r="N54" s="22" t="s">
        <v>5</v>
      </c>
      <c r="O54" s="22" t="s">
        <v>5</v>
      </c>
      <c r="P54" s="23" t="s">
        <v>7</v>
      </c>
      <c r="Q54" s="24" t="s">
        <v>9</v>
      </c>
      <c r="R54" s="22" t="s">
        <v>5</v>
      </c>
      <c r="S54" s="22" t="s">
        <v>5</v>
      </c>
      <c r="T54" s="26" t="s">
        <v>3</v>
      </c>
      <c r="U54" s="26" t="s">
        <v>3</v>
      </c>
      <c r="V54" s="26" t="s">
        <v>3</v>
      </c>
      <c r="W54" s="27" t="s">
        <v>7</v>
      </c>
      <c r="X54" s="28" t="s">
        <v>11</v>
      </c>
      <c r="Y54" s="26" t="s">
        <v>3</v>
      </c>
      <c r="Z54" s="26" t="s">
        <v>3</v>
      </c>
      <c r="AA54" s="22" t="s">
        <v>5</v>
      </c>
      <c r="AB54" s="22" t="s">
        <v>5</v>
      </c>
      <c r="AC54" s="22" t="s">
        <v>5</v>
      </c>
      <c r="AD54" s="23" t="s">
        <v>7</v>
      </c>
      <c r="AE54" s="24" t="s">
        <v>9</v>
      </c>
      <c r="AF54" s="22" t="s">
        <v>5</v>
      </c>
      <c r="AG54" s="22" t="s">
        <v>5</v>
      </c>
      <c r="AH54" s="22" t="s">
        <v>5</v>
      </c>
      <c r="AI54" s="8">
        <f t="shared" si="16"/>
        <v>13</v>
      </c>
      <c r="AJ54" s="8">
        <f t="shared" si="17"/>
        <v>10</v>
      </c>
      <c r="AK54" s="29">
        <f t="shared" si="18"/>
        <v>2</v>
      </c>
      <c r="AL54" s="62">
        <v>2</v>
      </c>
      <c r="AM54" s="33">
        <f t="shared" si="19"/>
        <v>16</v>
      </c>
      <c r="AN54" s="63">
        <f t="shared" si="20"/>
        <v>184</v>
      </c>
      <c r="AO54" s="63">
        <f t="shared" si="21"/>
        <v>0</v>
      </c>
      <c r="AP54" s="63">
        <f t="shared" si="22"/>
        <v>0</v>
      </c>
      <c r="AQ54" s="53">
        <f t="shared" si="23"/>
        <v>16</v>
      </c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</row>
    <row r="55" spans="1:56" ht="22" customHeight="1" x14ac:dyDescent="0.35">
      <c r="A55" s="8" t="s">
        <v>137</v>
      </c>
      <c r="B55" s="8" t="s">
        <v>138</v>
      </c>
      <c r="C55" s="8" t="s">
        <v>104</v>
      </c>
      <c r="D55" s="26" t="s">
        <v>3</v>
      </c>
      <c r="E55" s="26" t="s">
        <v>3</v>
      </c>
      <c r="F55" s="26" t="s">
        <v>3</v>
      </c>
      <c r="G55" s="26" t="s">
        <v>3</v>
      </c>
      <c r="H55" s="26" t="s">
        <v>3</v>
      </c>
      <c r="I55" s="27" t="s">
        <v>7</v>
      </c>
      <c r="J55" s="28" t="s">
        <v>11</v>
      </c>
      <c r="K55" s="26" t="s">
        <v>3</v>
      </c>
      <c r="L55" s="26" t="s">
        <v>3</v>
      </c>
      <c r="M55" s="26" t="s">
        <v>3</v>
      </c>
      <c r="N55" s="26" t="s">
        <v>3</v>
      </c>
      <c r="O55" s="22" t="s">
        <v>5</v>
      </c>
      <c r="P55" s="23" t="s">
        <v>7</v>
      </c>
      <c r="Q55" s="24" t="s">
        <v>9</v>
      </c>
      <c r="R55" s="26" t="s">
        <v>3</v>
      </c>
      <c r="S55" s="26" t="s">
        <v>3</v>
      </c>
      <c r="T55" s="26" t="s">
        <v>3</v>
      </c>
      <c r="U55" s="26" t="s">
        <v>3</v>
      </c>
      <c r="V55" s="26" t="s">
        <v>3</v>
      </c>
      <c r="W55" s="27" t="s">
        <v>7</v>
      </c>
      <c r="X55" s="28" t="s">
        <v>11</v>
      </c>
      <c r="Y55" s="26" t="s">
        <v>3</v>
      </c>
      <c r="Z55" s="26" t="s">
        <v>3</v>
      </c>
      <c r="AA55" s="22" t="s">
        <v>5</v>
      </c>
      <c r="AB55" s="22" t="s">
        <v>5</v>
      </c>
      <c r="AC55" s="22" t="s">
        <v>5</v>
      </c>
      <c r="AD55" s="27" t="s">
        <v>7</v>
      </c>
      <c r="AE55" s="28" t="s">
        <v>11</v>
      </c>
      <c r="AF55" s="22" t="s">
        <v>5</v>
      </c>
      <c r="AG55" s="22" t="s">
        <v>5</v>
      </c>
      <c r="AH55" s="22" t="s">
        <v>5</v>
      </c>
      <c r="AI55" s="8">
        <f t="shared" si="16"/>
        <v>16</v>
      </c>
      <c r="AJ55" s="8">
        <f t="shared" si="17"/>
        <v>7</v>
      </c>
      <c r="AK55" s="29">
        <f t="shared" si="18"/>
        <v>3</v>
      </c>
      <c r="AL55" s="62">
        <v>3</v>
      </c>
      <c r="AM55" s="33">
        <f t="shared" si="19"/>
        <v>20.5</v>
      </c>
      <c r="AN55" s="63">
        <f t="shared" si="20"/>
        <v>184</v>
      </c>
      <c r="AO55" s="63">
        <f t="shared" si="21"/>
        <v>0</v>
      </c>
      <c r="AP55" s="63">
        <f t="shared" si="22"/>
        <v>0</v>
      </c>
      <c r="AQ55" s="53">
        <f t="shared" si="23"/>
        <v>20.5</v>
      </c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</row>
    <row r="56" spans="1:56" ht="22" customHeight="1" x14ac:dyDescent="0.35">
      <c r="A56" s="8" t="s">
        <v>139</v>
      </c>
      <c r="B56" s="8" t="s">
        <v>140</v>
      </c>
      <c r="C56" s="8" t="s">
        <v>104</v>
      </c>
      <c r="D56" s="26" t="s">
        <v>3</v>
      </c>
      <c r="E56" s="26" t="s">
        <v>3</v>
      </c>
      <c r="F56" s="26" t="s">
        <v>3</v>
      </c>
      <c r="G56" s="26" t="s">
        <v>3</v>
      </c>
      <c r="H56" s="26" t="s">
        <v>3</v>
      </c>
      <c r="I56" s="27" t="s">
        <v>7</v>
      </c>
      <c r="J56" s="28" t="s">
        <v>11</v>
      </c>
      <c r="K56" s="26" t="s">
        <v>3</v>
      </c>
      <c r="L56" s="26" t="s">
        <v>3</v>
      </c>
      <c r="M56" s="26" t="s">
        <v>3</v>
      </c>
      <c r="N56" s="22" t="s">
        <v>5</v>
      </c>
      <c r="O56" s="22" t="s">
        <v>5</v>
      </c>
      <c r="P56" s="23" t="s">
        <v>7</v>
      </c>
      <c r="Q56" s="24" t="s">
        <v>9</v>
      </c>
      <c r="R56" s="26" t="s">
        <v>3</v>
      </c>
      <c r="S56" s="26" t="s">
        <v>3</v>
      </c>
      <c r="T56" s="26" t="s">
        <v>3</v>
      </c>
      <c r="U56" s="26" t="s">
        <v>3</v>
      </c>
      <c r="V56" s="26" t="s">
        <v>3</v>
      </c>
      <c r="W56" s="27" t="s">
        <v>7</v>
      </c>
      <c r="X56" s="28" t="s">
        <v>11</v>
      </c>
      <c r="Y56" s="26" t="s">
        <v>3</v>
      </c>
      <c r="Z56" s="22" t="s">
        <v>5</v>
      </c>
      <c r="AA56" s="22" t="s">
        <v>5</v>
      </c>
      <c r="AB56" s="22" t="s">
        <v>5</v>
      </c>
      <c r="AC56" s="22" t="s">
        <v>5</v>
      </c>
      <c r="AD56" s="23" t="s">
        <v>7</v>
      </c>
      <c r="AE56" s="24" t="s">
        <v>9</v>
      </c>
      <c r="AF56" s="22" t="s">
        <v>5</v>
      </c>
      <c r="AG56" s="22" t="s">
        <v>5</v>
      </c>
      <c r="AH56" s="22" t="s">
        <v>5</v>
      </c>
      <c r="AI56" s="8">
        <f t="shared" si="16"/>
        <v>14</v>
      </c>
      <c r="AJ56" s="8">
        <f t="shared" si="17"/>
        <v>9</v>
      </c>
      <c r="AK56" s="29">
        <f t="shared" si="18"/>
        <v>2</v>
      </c>
      <c r="AL56" s="62">
        <v>2</v>
      </c>
      <c r="AM56" s="33">
        <f t="shared" si="19"/>
        <v>17</v>
      </c>
      <c r="AN56" s="63">
        <f t="shared" si="20"/>
        <v>184</v>
      </c>
      <c r="AO56" s="63">
        <f t="shared" si="21"/>
        <v>0</v>
      </c>
      <c r="AP56" s="63">
        <f t="shared" si="22"/>
        <v>0</v>
      </c>
      <c r="AQ56" s="53">
        <f t="shared" si="23"/>
        <v>17</v>
      </c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spans="1:56" ht="22" customHeight="1" x14ac:dyDescent="0.35">
      <c r="A57" s="8" t="s">
        <v>141</v>
      </c>
      <c r="B57" s="8" t="s">
        <v>142</v>
      </c>
      <c r="C57" s="8" t="s">
        <v>104</v>
      </c>
      <c r="D57" s="26" t="s">
        <v>3</v>
      </c>
      <c r="E57" s="26" t="s">
        <v>3</v>
      </c>
      <c r="F57" s="26" t="s">
        <v>3</v>
      </c>
      <c r="G57" s="26" t="s">
        <v>3</v>
      </c>
      <c r="H57" s="26" t="s">
        <v>3</v>
      </c>
      <c r="I57" s="27" t="s">
        <v>7</v>
      </c>
      <c r="J57" s="28" t="s">
        <v>11</v>
      </c>
      <c r="K57" s="22" t="s">
        <v>5</v>
      </c>
      <c r="L57" s="22" t="s">
        <v>5</v>
      </c>
      <c r="M57" s="22" t="s">
        <v>5</v>
      </c>
      <c r="N57" s="22" t="s">
        <v>5</v>
      </c>
      <c r="O57" s="22" t="s">
        <v>5</v>
      </c>
      <c r="P57" s="23" t="s">
        <v>7</v>
      </c>
      <c r="Q57" s="24" t="s">
        <v>9</v>
      </c>
      <c r="R57" s="22" t="s">
        <v>5</v>
      </c>
      <c r="S57" s="22" t="s">
        <v>5</v>
      </c>
      <c r="T57" s="22" t="s">
        <v>5</v>
      </c>
      <c r="U57" s="22" t="s">
        <v>5</v>
      </c>
      <c r="V57" s="22" t="s">
        <v>5</v>
      </c>
      <c r="W57" s="23" t="s">
        <v>7</v>
      </c>
      <c r="X57" s="24" t="s">
        <v>9</v>
      </c>
      <c r="Y57" s="22" t="s">
        <v>5</v>
      </c>
      <c r="Z57" s="22" t="s">
        <v>5</v>
      </c>
      <c r="AA57" s="22" t="s">
        <v>5</v>
      </c>
      <c r="AB57" s="22" t="s">
        <v>5</v>
      </c>
      <c r="AC57" s="22" t="s">
        <v>5</v>
      </c>
      <c r="AD57" s="23" t="s">
        <v>7</v>
      </c>
      <c r="AE57" s="24" t="s">
        <v>9</v>
      </c>
      <c r="AF57" s="22" t="s">
        <v>5</v>
      </c>
      <c r="AG57" s="22" t="s">
        <v>5</v>
      </c>
      <c r="AH57" s="26" t="s">
        <v>3</v>
      </c>
      <c r="AI57" s="8">
        <f t="shared" si="16"/>
        <v>6</v>
      </c>
      <c r="AJ57" s="25">
        <f t="shared" si="17"/>
        <v>17</v>
      </c>
      <c r="AK57" s="29">
        <f t="shared" si="18"/>
        <v>1</v>
      </c>
      <c r="AL57" s="62">
        <v>1</v>
      </c>
      <c r="AM57" s="33">
        <f t="shared" si="19"/>
        <v>7.5</v>
      </c>
      <c r="AN57" s="63">
        <f t="shared" si="20"/>
        <v>184</v>
      </c>
      <c r="AO57" s="63">
        <f t="shared" si="21"/>
        <v>0</v>
      </c>
      <c r="AP57" s="63">
        <f t="shared" si="22"/>
        <v>0</v>
      </c>
      <c r="AQ57" s="53">
        <f t="shared" si="23"/>
        <v>7.5</v>
      </c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</row>
    <row r="58" spans="1:56" ht="22" customHeight="1" x14ac:dyDescent="0.35">
      <c r="A58" s="8" t="s">
        <v>143</v>
      </c>
      <c r="B58" s="8" t="s">
        <v>144</v>
      </c>
      <c r="C58" s="8" t="s">
        <v>104</v>
      </c>
      <c r="D58" s="26" t="s">
        <v>3</v>
      </c>
      <c r="E58" s="26" t="s">
        <v>3</v>
      </c>
      <c r="F58" s="26" t="s">
        <v>3</v>
      </c>
      <c r="G58" s="26" t="s">
        <v>3</v>
      </c>
      <c r="H58" s="26" t="s">
        <v>3</v>
      </c>
      <c r="I58" s="27" t="s">
        <v>7</v>
      </c>
      <c r="J58" s="28" t="s">
        <v>11</v>
      </c>
      <c r="K58" s="26" t="s">
        <v>3</v>
      </c>
      <c r="L58" s="26" t="s">
        <v>3</v>
      </c>
      <c r="M58" s="26" t="s">
        <v>3</v>
      </c>
      <c r="N58" s="26" t="s">
        <v>3</v>
      </c>
      <c r="O58" s="26" t="s">
        <v>3</v>
      </c>
      <c r="P58" s="27" t="s">
        <v>7</v>
      </c>
      <c r="Q58" s="28" t="s">
        <v>11</v>
      </c>
      <c r="R58" s="26" t="s">
        <v>3</v>
      </c>
      <c r="S58" s="26" t="s">
        <v>3</v>
      </c>
      <c r="T58" s="26" t="s">
        <v>3</v>
      </c>
      <c r="U58" s="26" t="s">
        <v>3</v>
      </c>
      <c r="V58" s="26" t="s">
        <v>3</v>
      </c>
      <c r="W58" s="27" t="s">
        <v>7</v>
      </c>
      <c r="X58" s="28" t="s">
        <v>11</v>
      </c>
      <c r="Y58" s="26" t="s">
        <v>3</v>
      </c>
      <c r="Z58" s="26" t="s">
        <v>3</v>
      </c>
      <c r="AA58" s="26" t="s">
        <v>3</v>
      </c>
      <c r="AB58" s="26" t="s">
        <v>3</v>
      </c>
      <c r="AC58" s="26" t="s">
        <v>3</v>
      </c>
      <c r="AD58" s="27" t="s">
        <v>7</v>
      </c>
      <c r="AE58" s="28" t="s">
        <v>11</v>
      </c>
      <c r="AF58" s="22" t="s">
        <v>5</v>
      </c>
      <c r="AG58" s="22" t="s">
        <v>5</v>
      </c>
      <c r="AH58" s="22" t="s">
        <v>5</v>
      </c>
      <c r="AI58" s="8">
        <f t="shared" si="16"/>
        <v>20</v>
      </c>
      <c r="AJ58" s="8">
        <f t="shared" si="17"/>
        <v>3</v>
      </c>
      <c r="AK58" s="29">
        <f t="shared" si="18"/>
        <v>4</v>
      </c>
      <c r="AL58" s="62">
        <v>4</v>
      </c>
      <c r="AM58" s="33">
        <f t="shared" si="19"/>
        <v>26</v>
      </c>
      <c r="AN58" s="63">
        <f t="shared" si="20"/>
        <v>184</v>
      </c>
      <c r="AO58" s="63">
        <f t="shared" si="21"/>
        <v>0</v>
      </c>
      <c r="AP58" s="63">
        <f t="shared" si="22"/>
        <v>0</v>
      </c>
      <c r="AQ58" s="53">
        <f t="shared" si="23"/>
        <v>26</v>
      </c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</row>
    <row r="59" spans="1:56" ht="22" customHeight="1" x14ac:dyDescent="0.35">
      <c r="A59" s="8" t="s">
        <v>145</v>
      </c>
      <c r="B59" s="8" t="s">
        <v>146</v>
      </c>
      <c r="C59" s="8" t="s">
        <v>104</v>
      </c>
      <c r="D59" s="26" t="s">
        <v>3</v>
      </c>
      <c r="E59" s="26" t="s">
        <v>3</v>
      </c>
      <c r="F59" s="26" t="s">
        <v>3</v>
      </c>
      <c r="G59" s="26" t="s">
        <v>3</v>
      </c>
      <c r="H59" s="26" t="s">
        <v>3</v>
      </c>
      <c r="I59" s="27" t="s">
        <v>7</v>
      </c>
      <c r="J59" s="28" t="s">
        <v>11</v>
      </c>
      <c r="K59" s="26" t="s">
        <v>3</v>
      </c>
      <c r="L59" s="26" t="s">
        <v>3</v>
      </c>
      <c r="M59" s="26" t="s">
        <v>3</v>
      </c>
      <c r="N59" s="26" t="s">
        <v>3</v>
      </c>
      <c r="O59" s="22" t="s">
        <v>5</v>
      </c>
      <c r="P59" s="23" t="s">
        <v>7</v>
      </c>
      <c r="Q59" s="24" t="s">
        <v>9</v>
      </c>
      <c r="R59" s="26" t="s">
        <v>3</v>
      </c>
      <c r="S59" s="26" t="s">
        <v>3</v>
      </c>
      <c r="T59" s="26" t="s">
        <v>3</v>
      </c>
      <c r="U59" s="26" t="s">
        <v>3</v>
      </c>
      <c r="V59" s="26" t="s">
        <v>3</v>
      </c>
      <c r="W59" s="27" t="s">
        <v>7</v>
      </c>
      <c r="X59" s="28" t="s">
        <v>11</v>
      </c>
      <c r="Y59" s="26" t="s">
        <v>3</v>
      </c>
      <c r="Z59" s="26" t="s">
        <v>3</v>
      </c>
      <c r="AA59" s="26" t="s">
        <v>3</v>
      </c>
      <c r="AB59" s="26" t="s">
        <v>3</v>
      </c>
      <c r="AC59" s="26" t="s">
        <v>3</v>
      </c>
      <c r="AD59" s="27" t="s">
        <v>7</v>
      </c>
      <c r="AE59" s="28" t="s">
        <v>11</v>
      </c>
      <c r="AF59" s="26" t="s">
        <v>3</v>
      </c>
      <c r="AG59" s="26" t="s">
        <v>3</v>
      </c>
      <c r="AH59" s="26" t="s">
        <v>3</v>
      </c>
      <c r="AI59" s="8">
        <f t="shared" si="16"/>
        <v>22</v>
      </c>
      <c r="AJ59" s="8">
        <f t="shared" si="17"/>
        <v>1</v>
      </c>
      <c r="AK59" s="29">
        <f t="shared" si="18"/>
        <v>3</v>
      </c>
      <c r="AL59" s="62">
        <v>3</v>
      </c>
      <c r="AM59" s="33">
        <f t="shared" si="19"/>
        <v>26.5</v>
      </c>
      <c r="AN59" s="63">
        <f t="shared" si="20"/>
        <v>184</v>
      </c>
      <c r="AO59" s="63">
        <f t="shared" si="21"/>
        <v>0</v>
      </c>
      <c r="AP59" s="63">
        <f t="shared" si="22"/>
        <v>0</v>
      </c>
      <c r="AQ59" s="53">
        <f t="shared" si="23"/>
        <v>26.5</v>
      </c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</row>
    <row r="60" spans="1:56" ht="22" customHeight="1" x14ac:dyDescent="0.35">
      <c r="A60" s="8" t="s">
        <v>147</v>
      </c>
      <c r="B60" s="8" t="s">
        <v>148</v>
      </c>
      <c r="C60" s="8" t="s">
        <v>104</v>
      </c>
      <c r="D60" s="22" t="s">
        <v>5</v>
      </c>
      <c r="E60" s="22" t="s">
        <v>5</v>
      </c>
      <c r="F60" s="22" t="s">
        <v>5</v>
      </c>
      <c r="G60" s="22" t="s">
        <v>5</v>
      </c>
      <c r="H60" s="22" t="s">
        <v>5</v>
      </c>
      <c r="I60" s="23" t="s">
        <v>7</v>
      </c>
      <c r="J60" s="24" t="s">
        <v>9</v>
      </c>
      <c r="K60" s="26" t="s">
        <v>3</v>
      </c>
      <c r="L60" s="26" t="s">
        <v>3</v>
      </c>
      <c r="M60" s="26" t="s">
        <v>3</v>
      </c>
      <c r="N60" s="26" t="s">
        <v>3</v>
      </c>
      <c r="O60" s="26" t="s">
        <v>3</v>
      </c>
      <c r="P60" s="27" t="s">
        <v>7</v>
      </c>
      <c r="Q60" s="28" t="s">
        <v>11</v>
      </c>
      <c r="R60" s="26" t="s">
        <v>3</v>
      </c>
      <c r="S60" s="26" t="s">
        <v>3</v>
      </c>
      <c r="T60" s="26" t="s">
        <v>3</v>
      </c>
      <c r="U60" s="26" t="s">
        <v>3</v>
      </c>
      <c r="V60" s="26" t="s">
        <v>3</v>
      </c>
      <c r="W60" s="27" t="s">
        <v>7</v>
      </c>
      <c r="X60" s="28" t="s">
        <v>11</v>
      </c>
      <c r="Y60" s="26" t="s">
        <v>3</v>
      </c>
      <c r="Z60" s="26" t="s">
        <v>3</v>
      </c>
      <c r="AA60" s="26" t="s">
        <v>3</v>
      </c>
      <c r="AB60" s="26" t="s">
        <v>3</v>
      </c>
      <c r="AC60" s="26" t="s">
        <v>3</v>
      </c>
      <c r="AD60" s="27" t="s">
        <v>7</v>
      </c>
      <c r="AE60" s="28" t="s">
        <v>11</v>
      </c>
      <c r="AF60" s="26" t="s">
        <v>3</v>
      </c>
      <c r="AG60" s="22" t="s">
        <v>5</v>
      </c>
      <c r="AH60" s="22" t="s">
        <v>5</v>
      </c>
      <c r="AI60" s="8">
        <f t="shared" si="16"/>
        <v>16</v>
      </c>
      <c r="AJ60" s="8">
        <f t="shared" si="17"/>
        <v>7</v>
      </c>
      <c r="AK60" s="29">
        <f t="shared" si="18"/>
        <v>3</v>
      </c>
      <c r="AL60" s="62">
        <v>3</v>
      </c>
      <c r="AM60" s="33">
        <f t="shared" si="19"/>
        <v>20.5</v>
      </c>
      <c r="AN60" s="63">
        <f t="shared" si="20"/>
        <v>184</v>
      </c>
      <c r="AO60" s="63">
        <f t="shared" si="21"/>
        <v>0</v>
      </c>
      <c r="AP60" s="63">
        <f t="shared" si="22"/>
        <v>0</v>
      </c>
      <c r="AQ60" s="53">
        <f t="shared" si="23"/>
        <v>20.5</v>
      </c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</row>
    <row r="61" spans="1:56" ht="22" customHeight="1" x14ac:dyDescent="0.35">
      <c r="A61" s="8" t="s">
        <v>149</v>
      </c>
      <c r="B61" s="8" t="s">
        <v>150</v>
      </c>
      <c r="C61" s="8" t="s">
        <v>104</v>
      </c>
      <c r="D61" s="26" t="s">
        <v>3</v>
      </c>
      <c r="E61" s="26" t="s">
        <v>3</v>
      </c>
      <c r="F61" s="26" t="s">
        <v>3</v>
      </c>
      <c r="G61" s="26" t="s">
        <v>3</v>
      </c>
      <c r="H61" s="26" t="s">
        <v>3</v>
      </c>
      <c r="I61" s="27" t="s">
        <v>7</v>
      </c>
      <c r="J61" s="28" t="s">
        <v>11</v>
      </c>
      <c r="K61" s="22" t="s">
        <v>5</v>
      </c>
      <c r="L61" s="22" t="s">
        <v>5</v>
      </c>
      <c r="M61" s="22" t="s">
        <v>5</v>
      </c>
      <c r="N61" s="22" t="s">
        <v>5</v>
      </c>
      <c r="O61" s="22" t="s">
        <v>5</v>
      </c>
      <c r="P61" s="23" t="s">
        <v>7</v>
      </c>
      <c r="Q61" s="24" t="s">
        <v>9</v>
      </c>
      <c r="R61" s="22" t="s">
        <v>5</v>
      </c>
      <c r="S61" s="22" t="s">
        <v>5</v>
      </c>
      <c r="T61" s="22" t="s">
        <v>5</v>
      </c>
      <c r="U61" s="22" t="s">
        <v>5</v>
      </c>
      <c r="V61" s="22" t="s">
        <v>5</v>
      </c>
      <c r="W61" s="23" t="s">
        <v>7</v>
      </c>
      <c r="X61" s="24" t="s">
        <v>9</v>
      </c>
      <c r="Y61" s="22" t="s">
        <v>5</v>
      </c>
      <c r="Z61" s="22" t="s">
        <v>5</v>
      </c>
      <c r="AA61" s="22" t="s">
        <v>5</v>
      </c>
      <c r="AB61" s="22" t="s">
        <v>5</v>
      </c>
      <c r="AC61" s="22" t="s">
        <v>5</v>
      </c>
      <c r="AD61" s="23" t="s">
        <v>7</v>
      </c>
      <c r="AE61" s="24" t="s">
        <v>9</v>
      </c>
      <c r="AF61" s="22" t="s">
        <v>5</v>
      </c>
      <c r="AG61" s="22" t="s">
        <v>5</v>
      </c>
      <c r="AH61" s="22" t="s">
        <v>5</v>
      </c>
      <c r="AI61" s="8">
        <f t="shared" si="16"/>
        <v>5</v>
      </c>
      <c r="AJ61" s="25">
        <f t="shared" si="17"/>
        <v>18</v>
      </c>
      <c r="AK61" s="29">
        <f t="shared" si="18"/>
        <v>1</v>
      </c>
      <c r="AL61" s="62">
        <v>1</v>
      </c>
      <c r="AM61" s="33">
        <f t="shared" si="19"/>
        <v>6.5</v>
      </c>
      <c r="AN61" s="63">
        <f t="shared" si="20"/>
        <v>184</v>
      </c>
      <c r="AO61" s="63">
        <f t="shared" si="21"/>
        <v>0</v>
      </c>
      <c r="AP61" s="63">
        <f t="shared" si="22"/>
        <v>0</v>
      </c>
      <c r="AQ61" s="53">
        <f t="shared" si="23"/>
        <v>6.5</v>
      </c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</row>
    <row r="62" spans="1:56" ht="22" customHeight="1" x14ac:dyDescent="0.35">
      <c r="A62" s="8" t="s">
        <v>151</v>
      </c>
      <c r="B62" s="8" t="s">
        <v>152</v>
      </c>
      <c r="C62" s="8" t="s">
        <v>104</v>
      </c>
      <c r="D62" s="26" t="s">
        <v>3</v>
      </c>
      <c r="E62" s="26" t="s">
        <v>3</v>
      </c>
      <c r="F62" s="26" t="s">
        <v>3</v>
      </c>
      <c r="G62" s="26" t="s">
        <v>3</v>
      </c>
      <c r="H62" s="26" t="s">
        <v>3</v>
      </c>
      <c r="I62" s="27" t="s">
        <v>7</v>
      </c>
      <c r="J62" s="28" t="s">
        <v>11</v>
      </c>
      <c r="K62" s="22" t="s">
        <v>5</v>
      </c>
      <c r="L62" s="22" t="s">
        <v>5</v>
      </c>
      <c r="M62" s="22" t="s">
        <v>5</v>
      </c>
      <c r="N62" s="22" t="s">
        <v>5</v>
      </c>
      <c r="O62" s="22" t="s">
        <v>5</v>
      </c>
      <c r="P62" s="23" t="s">
        <v>7</v>
      </c>
      <c r="Q62" s="24" t="s">
        <v>9</v>
      </c>
      <c r="R62" s="22" t="s">
        <v>5</v>
      </c>
      <c r="S62" s="22" t="s">
        <v>5</v>
      </c>
      <c r="T62" s="22" t="s">
        <v>5</v>
      </c>
      <c r="U62" s="22" t="s">
        <v>5</v>
      </c>
      <c r="V62" s="22" t="s">
        <v>5</v>
      </c>
      <c r="W62" s="23" t="s">
        <v>7</v>
      </c>
      <c r="X62" s="24" t="s">
        <v>9</v>
      </c>
      <c r="Y62" s="22" t="s">
        <v>5</v>
      </c>
      <c r="Z62" s="22" t="s">
        <v>5</v>
      </c>
      <c r="AA62" s="22" t="s">
        <v>5</v>
      </c>
      <c r="AB62" s="22" t="s">
        <v>5</v>
      </c>
      <c r="AC62" s="22" t="s">
        <v>5</v>
      </c>
      <c r="AD62" s="23" t="s">
        <v>7</v>
      </c>
      <c r="AE62" s="24" t="s">
        <v>9</v>
      </c>
      <c r="AF62" s="22" t="s">
        <v>5</v>
      </c>
      <c r="AG62" s="22" t="s">
        <v>5</v>
      </c>
      <c r="AH62" s="26" t="s">
        <v>3</v>
      </c>
      <c r="AI62" s="8">
        <f t="shared" si="16"/>
        <v>6</v>
      </c>
      <c r="AJ62" s="25">
        <f t="shared" si="17"/>
        <v>17</v>
      </c>
      <c r="AK62" s="29">
        <f t="shared" si="18"/>
        <v>1</v>
      </c>
      <c r="AL62" s="62">
        <v>1</v>
      </c>
      <c r="AM62" s="33">
        <f t="shared" si="19"/>
        <v>7.5</v>
      </c>
      <c r="AN62" s="63">
        <f t="shared" si="20"/>
        <v>184</v>
      </c>
      <c r="AO62" s="63">
        <f t="shared" si="21"/>
        <v>0</v>
      </c>
      <c r="AP62" s="63">
        <f t="shared" si="22"/>
        <v>0</v>
      </c>
      <c r="AQ62" s="53">
        <f t="shared" si="23"/>
        <v>7.5</v>
      </c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</row>
    <row r="63" spans="1:56" ht="22" customHeight="1" x14ac:dyDescent="0.35">
      <c r="A63" s="8" t="s">
        <v>153</v>
      </c>
      <c r="B63" s="8" t="s">
        <v>154</v>
      </c>
      <c r="C63" s="8" t="s">
        <v>104</v>
      </c>
      <c r="D63" s="26" t="s">
        <v>3</v>
      </c>
      <c r="E63" s="26" t="s">
        <v>3</v>
      </c>
      <c r="F63" s="26" t="s">
        <v>3</v>
      </c>
      <c r="G63" s="26" t="s">
        <v>3</v>
      </c>
      <c r="H63" s="26" t="s">
        <v>3</v>
      </c>
      <c r="I63" s="27" t="s">
        <v>7</v>
      </c>
      <c r="J63" s="28" t="s">
        <v>11</v>
      </c>
      <c r="K63" s="26" t="s">
        <v>3</v>
      </c>
      <c r="L63" s="22" t="s">
        <v>5</v>
      </c>
      <c r="M63" s="22" t="s">
        <v>5</v>
      </c>
      <c r="N63" s="22" t="s">
        <v>5</v>
      </c>
      <c r="O63" s="22" t="s">
        <v>5</v>
      </c>
      <c r="P63" s="23" t="s">
        <v>7</v>
      </c>
      <c r="Q63" s="24" t="s">
        <v>9</v>
      </c>
      <c r="R63" s="22" t="s">
        <v>5</v>
      </c>
      <c r="S63" s="22" t="s">
        <v>5</v>
      </c>
      <c r="T63" s="22" t="s">
        <v>5</v>
      </c>
      <c r="U63" s="26" t="s">
        <v>3</v>
      </c>
      <c r="V63" s="26" t="s">
        <v>3</v>
      </c>
      <c r="W63" s="27" t="s">
        <v>7</v>
      </c>
      <c r="X63" s="28" t="s">
        <v>11</v>
      </c>
      <c r="Y63" s="26" t="s">
        <v>3</v>
      </c>
      <c r="Z63" s="22" t="s">
        <v>5</v>
      </c>
      <c r="AA63" s="22" t="s">
        <v>5</v>
      </c>
      <c r="AB63" s="22" t="s">
        <v>5</v>
      </c>
      <c r="AC63" s="22" t="s">
        <v>5</v>
      </c>
      <c r="AD63" s="23" t="s">
        <v>7</v>
      </c>
      <c r="AE63" s="24" t="s">
        <v>9</v>
      </c>
      <c r="AF63" s="22" t="s">
        <v>5</v>
      </c>
      <c r="AG63" s="22" t="s">
        <v>5</v>
      </c>
      <c r="AH63" s="26" t="s">
        <v>3</v>
      </c>
      <c r="AI63" s="8">
        <f t="shared" si="16"/>
        <v>10</v>
      </c>
      <c r="AJ63" s="25">
        <f t="shared" si="17"/>
        <v>13</v>
      </c>
      <c r="AK63" s="29">
        <f t="shared" si="18"/>
        <v>2</v>
      </c>
      <c r="AL63" s="62">
        <v>2</v>
      </c>
      <c r="AM63" s="33">
        <f t="shared" si="19"/>
        <v>13</v>
      </c>
      <c r="AN63" s="63">
        <f t="shared" si="20"/>
        <v>184</v>
      </c>
      <c r="AO63" s="63">
        <f t="shared" si="21"/>
        <v>0</v>
      </c>
      <c r="AP63" s="63">
        <f t="shared" si="22"/>
        <v>0</v>
      </c>
      <c r="AQ63" s="53">
        <f t="shared" si="23"/>
        <v>13</v>
      </c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</row>
    <row r="64" spans="1:56" ht="22" customHeight="1" x14ac:dyDescent="0.35">
      <c r="A64" s="8" t="s">
        <v>155</v>
      </c>
      <c r="B64" s="8" t="s">
        <v>156</v>
      </c>
      <c r="C64" s="8" t="s">
        <v>104</v>
      </c>
      <c r="D64" s="22" t="s">
        <v>5</v>
      </c>
      <c r="E64" s="22" t="s">
        <v>5</v>
      </c>
      <c r="F64" s="22" t="s">
        <v>5</v>
      </c>
      <c r="G64" s="22" t="s">
        <v>5</v>
      </c>
      <c r="H64" s="22" t="s">
        <v>5</v>
      </c>
      <c r="I64" s="23" t="s">
        <v>7</v>
      </c>
      <c r="J64" s="24" t="s">
        <v>9</v>
      </c>
      <c r="K64" s="26" t="s">
        <v>3</v>
      </c>
      <c r="L64" s="26" t="s">
        <v>3</v>
      </c>
      <c r="M64" s="26" t="s">
        <v>3</v>
      </c>
      <c r="N64" s="26" t="s">
        <v>3</v>
      </c>
      <c r="O64" s="26" t="s">
        <v>3</v>
      </c>
      <c r="P64" s="27" t="s">
        <v>7</v>
      </c>
      <c r="Q64" s="28" t="s">
        <v>11</v>
      </c>
      <c r="R64" s="26" t="s">
        <v>3</v>
      </c>
      <c r="S64" s="26" t="s">
        <v>3</v>
      </c>
      <c r="T64" s="26" t="s">
        <v>3</v>
      </c>
      <c r="U64" s="26" t="s">
        <v>3</v>
      </c>
      <c r="V64" s="26" t="s">
        <v>3</v>
      </c>
      <c r="W64" s="27" t="s">
        <v>7</v>
      </c>
      <c r="X64" s="28" t="s">
        <v>11</v>
      </c>
      <c r="Y64" s="26" t="s">
        <v>3</v>
      </c>
      <c r="Z64" s="26" t="s">
        <v>3</v>
      </c>
      <c r="AA64" s="26" t="s">
        <v>3</v>
      </c>
      <c r="AB64" s="26" t="s">
        <v>3</v>
      </c>
      <c r="AC64" s="26" t="s">
        <v>3</v>
      </c>
      <c r="AD64" s="27" t="s">
        <v>7</v>
      </c>
      <c r="AE64" s="28" t="s">
        <v>11</v>
      </c>
      <c r="AF64" s="26" t="s">
        <v>3</v>
      </c>
      <c r="AG64" s="26" t="s">
        <v>3</v>
      </c>
      <c r="AH64" s="22" t="s">
        <v>5</v>
      </c>
      <c r="AI64" s="8">
        <f t="shared" si="16"/>
        <v>17</v>
      </c>
      <c r="AJ64" s="8">
        <f t="shared" si="17"/>
        <v>6</v>
      </c>
      <c r="AK64" s="29">
        <f t="shared" si="18"/>
        <v>3</v>
      </c>
      <c r="AL64" s="62">
        <v>3</v>
      </c>
      <c r="AM64" s="33">
        <f t="shared" si="19"/>
        <v>21.5</v>
      </c>
      <c r="AN64" s="63">
        <f t="shared" si="20"/>
        <v>184</v>
      </c>
      <c r="AO64" s="63">
        <f t="shared" si="21"/>
        <v>0</v>
      </c>
      <c r="AP64" s="63">
        <f t="shared" si="22"/>
        <v>0</v>
      </c>
      <c r="AQ64" s="53">
        <f t="shared" si="23"/>
        <v>21.5</v>
      </c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</row>
    <row r="65" spans="1:56" ht="22" customHeight="1" x14ac:dyDescent="0.35">
      <c r="A65" s="8" t="s">
        <v>157</v>
      </c>
      <c r="B65" s="8" t="s">
        <v>158</v>
      </c>
      <c r="C65" s="8" t="s">
        <v>104</v>
      </c>
      <c r="D65" s="22" t="s">
        <v>5</v>
      </c>
      <c r="E65" s="22" t="s">
        <v>5</v>
      </c>
      <c r="F65" s="22" t="s">
        <v>5</v>
      </c>
      <c r="G65" s="22" t="s">
        <v>5</v>
      </c>
      <c r="H65" s="22" t="s">
        <v>5</v>
      </c>
      <c r="I65" s="23" t="s">
        <v>7</v>
      </c>
      <c r="J65" s="24" t="s">
        <v>9</v>
      </c>
      <c r="K65" s="26" t="s">
        <v>3</v>
      </c>
      <c r="L65" s="26" t="s">
        <v>3</v>
      </c>
      <c r="M65" s="26" t="s">
        <v>3</v>
      </c>
      <c r="N65" s="26" t="s">
        <v>3</v>
      </c>
      <c r="O65" s="26" t="s">
        <v>3</v>
      </c>
      <c r="P65" s="23" t="s">
        <v>7</v>
      </c>
      <c r="Q65" s="28" t="s">
        <v>11</v>
      </c>
      <c r="R65" s="26" t="s">
        <v>3</v>
      </c>
      <c r="S65" s="26" t="s">
        <v>3</v>
      </c>
      <c r="T65" s="26" t="s">
        <v>3</v>
      </c>
      <c r="U65" s="26" t="s">
        <v>3</v>
      </c>
      <c r="V65" s="26" t="s">
        <v>3</v>
      </c>
      <c r="W65" s="27" t="s">
        <v>7</v>
      </c>
      <c r="X65" s="28" t="s">
        <v>11</v>
      </c>
      <c r="Y65" s="26" t="s">
        <v>3</v>
      </c>
      <c r="Z65" s="22" t="s">
        <v>5</v>
      </c>
      <c r="AA65" s="22" t="s">
        <v>5</v>
      </c>
      <c r="AB65" s="22" t="s">
        <v>5</v>
      </c>
      <c r="AC65" s="22" t="s">
        <v>5</v>
      </c>
      <c r="AD65" s="23" t="s">
        <v>7</v>
      </c>
      <c r="AE65" s="24" t="s">
        <v>9</v>
      </c>
      <c r="AF65" s="22" t="s">
        <v>5</v>
      </c>
      <c r="AG65" s="22" t="s">
        <v>5</v>
      </c>
      <c r="AH65" s="22" t="s">
        <v>5</v>
      </c>
      <c r="AI65" s="8">
        <f t="shared" si="16"/>
        <v>11</v>
      </c>
      <c r="AJ65" s="25">
        <f t="shared" si="17"/>
        <v>12</v>
      </c>
      <c r="AK65" s="29">
        <f t="shared" si="18"/>
        <v>2</v>
      </c>
      <c r="AL65" s="62">
        <v>1</v>
      </c>
      <c r="AM65" s="33">
        <f t="shared" si="19"/>
        <v>13.5</v>
      </c>
      <c r="AN65" s="63">
        <f t="shared" si="20"/>
        <v>184</v>
      </c>
      <c r="AO65" s="63">
        <f t="shared" si="21"/>
        <v>1</v>
      </c>
      <c r="AP65" s="63">
        <f t="shared" si="22"/>
        <v>4</v>
      </c>
      <c r="AQ65" s="53">
        <f t="shared" si="23"/>
        <v>13</v>
      </c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</row>
    <row r="66" spans="1:56" ht="22" customHeight="1" x14ac:dyDescent="0.35">
      <c r="A66" s="8" t="s">
        <v>159</v>
      </c>
      <c r="B66" s="8" t="s">
        <v>160</v>
      </c>
      <c r="C66" s="8" t="s">
        <v>104</v>
      </c>
      <c r="D66" s="26" t="s">
        <v>3</v>
      </c>
      <c r="E66" s="26" t="s">
        <v>3</v>
      </c>
      <c r="F66" s="26" t="s">
        <v>3</v>
      </c>
      <c r="G66" s="26" t="s">
        <v>3</v>
      </c>
      <c r="H66" s="26" t="s">
        <v>3</v>
      </c>
      <c r="I66" s="27" t="s">
        <v>7</v>
      </c>
      <c r="J66" s="28" t="s">
        <v>11</v>
      </c>
      <c r="K66" s="26" t="s">
        <v>3</v>
      </c>
      <c r="L66" s="26" t="s">
        <v>3</v>
      </c>
      <c r="M66" s="26" t="s">
        <v>3</v>
      </c>
      <c r="N66" s="26" t="s">
        <v>3</v>
      </c>
      <c r="O66" s="22" t="s">
        <v>5</v>
      </c>
      <c r="P66" s="23" t="s">
        <v>7</v>
      </c>
      <c r="Q66" s="28" t="s">
        <v>11</v>
      </c>
      <c r="R66" s="26" t="s">
        <v>3</v>
      </c>
      <c r="S66" s="26" t="s">
        <v>3</v>
      </c>
      <c r="T66" s="26" t="s">
        <v>3</v>
      </c>
      <c r="U66" s="26" t="s">
        <v>3</v>
      </c>
      <c r="V66" s="26" t="s">
        <v>3</v>
      </c>
      <c r="W66" s="27" t="s">
        <v>7</v>
      </c>
      <c r="X66" s="28" t="s">
        <v>11</v>
      </c>
      <c r="Y66" s="26" t="s">
        <v>3</v>
      </c>
      <c r="Z66" s="26" t="s">
        <v>3</v>
      </c>
      <c r="AA66" s="22" t="s">
        <v>5</v>
      </c>
      <c r="AB66" s="22" t="s">
        <v>5</v>
      </c>
      <c r="AC66" s="22" t="s">
        <v>5</v>
      </c>
      <c r="AD66" s="27" t="s">
        <v>7</v>
      </c>
      <c r="AE66" s="28" t="s">
        <v>11</v>
      </c>
      <c r="AF66" s="22" t="s">
        <v>5</v>
      </c>
      <c r="AG66" s="22" t="s">
        <v>5</v>
      </c>
      <c r="AH66" s="22" t="s">
        <v>5</v>
      </c>
      <c r="AI66" s="8">
        <f t="shared" si="16"/>
        <v>16</v>
      </c>
      <c r="AJ66" s="8">
        <f t="shared" si="17"/>
        <v>7</v>
      </c>
      <c r="AK66" s="29">
        <f t="shared" si="18"/>
        <v>4</v>
      </c>
      <c r="AL66" s="62">
        <v>3</v>
      </c>
      <c r="AM66" s="33">
        <f t="shared" si="19"/>
        <v>21.5</v>
      </c>
      <c r="AN66" s="63">
        <f t="shared" si="20"/>
        <v>184</v>
      </c>
      <c r="AO66" s="63">
        <f t="shared" si="21"/>
        <v>0</v>
      </c>
      <c r="AP66" s="63">
        <f t="shared" si="22"/>
        <v>0</v>
      </c>
      <c r="AQ66" s="53">
        <f t="shared" si="23"/>
        <v>21.5</v>
      </c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</row>
    <row r="67" spans="1:56" ht="22" customHeight="1" x14ac:dyDescent="0.35">
      <c r="A67" s="8" t="s">
        <v>161</v>
      </c>
      <c r="B67" s="8" t="s">
        <v>162</v>
      </c>
      <c r="C67" s="8" t="s">
        <v>104</v>
      </c>
      <c r="D67" s="26" t="s">
        <v>3</v>
      </c>
      <c r="E67" s="26" t="s">
        <v>3</v>
      </c>
      <c r="F67" s="26" t="s">
        <v>3</v>
      </c>
      <c r="G67" s="26" t="s">
        <v>3</v>
      </c>
      <c r="H67" s="26" t="s">
        <v>3</v>
      </c>
      <c r="I67" s="27" t="s">
        <v>7</v>
      </c>
      <c r="J67" s="28" t="s">
        <v>11</v>
      </c>
      <c r="K67" s="22" t="s">
        <v>5</v>
      </c>
      <c r="L67" s="22" t="s">
        <v>5</v>
      </c>
      <c r="M67" s="26" t="s">
        <v>3</v>
      </c>
      <c r="N67" s="26" t="s">
        <v>3</v>
      </c>
      <c r="O67" s="22" t="s">
        <v>5</v>
      </c>
      <c r="P67" s="23" t="s">
        <v>7</v>
      </c>
      <c r="Q67" s="24" t="s">
        <v>9</v>
      </c>
      <c r="R67" s="22" t="s">
        <v>5</v>
      </c>
      <c r="S67" s="22" t="s">
        <v>5</v>
      </c>
      <c r="T67" s="22" t="s">
        <v>5</v>
      </c>
      <c r="U67" s="22" t="s">
        <v>5</v>
      </c>
      <c r="V67" s="22" t="s">
        <v>5</v>
      </c>
      <c r="W67" s="23" t="s">
        <v>7</v>
      </c>
      <c r="X67" s="24" t="s">
        <v>9</v>
      </c>
      <c r="Y67" s="22" t="s">
        <v>5</v>
      </c>
      <c r="Z67" s="22" t="s">
        <v>5</v>
      </c>
      <c r="AA67" s="22" t="s">
        <v>5</v>
      </c>
      <c r="AB67" s="22" t="s">
        <v>5</v>
      </c>
      <c r="AC67" s="22" t="s">
        <v>5</v>
      </c>
      <c r="AD67" s="23" t="s">
        <v>7</v>
      </c>
      <c r="AE67" s="24" t="s">
        <v>9</v>
      </c>
      <c r="AF67" s="22" t="s">
        <v>5</v>
      </c>
      <c r="AG67" s="22" t="s">
        <v>5</v>
      </c>
      <c r="AH67" s="22" t="s">
        <v>5</v>
      </c>
      <c r="AI67" s="8">
        <f t="shared" si="16"/>
        <v>7</v>
      </c>
      <c r="AJ67" s="25">
        <f t="shared" si="17"/>
        <v>16</v>
      </c>
      <c r="AK67" s="29">
        <f t="shared" si="18"/>
        <v>1</v>
      </c>
      <c r="AL67" s="62">
        <v>1</v>
      </c>
      <c r="AM67" s="33">
        <f t="shared" si="19"/>
        <v>8.5</v>
      </c>
      <c r="AN67" s="63">
        <f t="shared" si="20"/>
        <v>184</v>
      </c>
      <c r="AO67" s="63">
        <f t="shared" si="21"/>
        <v>0</v>
      </c>
      <c r="AP67" s="63">
        <f t="shared" si="22"/>
        <v>0</v>
      </c>
      <c r="AQ67" s="53">
        <f t="shared" si="23"/>
        <v>8.5</v>
      </c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</row>
    <row r="68" spans="1:56" ht="22" customHeight="1" x14ac:dyDescent="0.35">
      <c r="A68" s="8" t="s">
        <v>163</v>
      </c>
      <c r="B68" s="8" t="s">
        <v>164</v>
      </c>
      <c r="C68" s="8" t="s">
        <v>104</v>
      </c>
      <c r="D68" s="26" t="s">
        <v>3</v>
      </c>
      <c r="E68" s="26" t="s">
        <v>3</v>
      </c>
      <c r="F68" s="26" t="s">
        <v>3</v>
      </c>
      <c r="G68" s="26" t="s">
        <v>3</v>
      </c>
      <c r="H68" s="26" t="s">
        <v>3</v>
      </c>
      <c r="I68" s="27" t="s">
        <v>7</v>
      </c>
      <c r="J68" s="28" t="s">
        <v>11</v>
      </c>
      <c r="K68" s="22" t="s">
        <v>5</v>
      </c>
      <c r="L68" s="22" t="s">
        <v>5</v>
      </c>
      <c r="M68" s="22" t="s">
        <v>5</v>
      </c>
      <c r="N68" s="22" t="s">
        <v>5</v>
      </c>
      <c r="O68" s="22" t="s">
        <v>5</v>
      </c>
      <c r="P68" s="23" t="s">
        <v>7</v>
      </c>
      <c r="Q68" s="24" t="s">
        <v>9</v>
      </c>
      <c r="R68" s="22" t="s">
        <v>5</v>
      </c>
      <c r="S68" s="22" t="s">
        <v>5</v>
      </c>
      <c r="T68" s="22" t="s">
        <v>5</v>
      </c>
      <c r="U68" s="22" t="s">
        <v>5</v>
      </c>
      <c r="V68" s="22" t="s">
        <v>5</v>
      </c>
      <c r="W68" s="23" t="s">
        <v>7</v>
      </c>
      <c r="X68" s="24" t="s">
        <v>9</v>
      </c>
      <c r="Y68" s="22" t="s">
        <v>5</v>
      </c>
      <c r="Z68" s="22" t="s">
        <v>5</v>
      </c>
      <c r="AA68" s="22" t="s">
        <v>5</v>
      </c>
      <c r="AB68" s="22" t="s">
        <v>5</v>
      </c>
      <c r="AC68" s="22" t="s">
        <v>5</v>
      </c>
      <c r="AD68" s="23" t="s">
        <v>7</v>
      </c>
      <c r="AE68" s="24" t="s">
        <v>9</v>
      </c>
      <c r="AF68" s="22" t="s">
        <v>5</v>
      </c>
      <c r="AG68" s="22" t="s">
        <v>5</v>
      </c>
      <c r="AH68" s="26" t="s">
        <v>3</v>
      </c>
      <c r="AI68" s="8">
        <f t="shared" si="16"/>
        <v>6</v>
      </c>
      <c r="AJ68" s="25">
        <f t="shared" si="17"/>
        <v>17</v>
      </c>
      <c r="AK68" s="29">
        <f t="shared" si="18"/>
        <v>1</v>
      </c>
      <c r="AL68" s="62">
        <v>1</v>
      </c>
      <c r="AM68" s="33">
        <f t="shared" si="19"/>
        <v>7.5</v>
      </c>
      <c r="AN68" s="63">
        <f t="shared" si="20"/>
        <v>184</v>
      </c>
      <c r="AO68" s="63">
        <f t="shared" si="21"/>
        <v>0</v>
      </c>
      <c r="AP68" s="63">
        <f t="shared" si="22"/>
        <v>0</v>
      </c>
      <c r="AQ68" s="53">
        <f t="shared" si="23"/>
        <v>7.5</v>
      </c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</row>
    <row r="69" spans="1:56" ht="22" customHeight="1" x14ac:dyDescent="0.35">
      <c r="A69" s="8" t="s">
        <v>165</v>
      </c>
      <c r="B69" s="8" t="s">
        <v>166</v>
      </c>
      <c r="C69" s="8" t="s">
        <v>104</v>
      </c>
      <c r="D69" s="22" t="s">
        <v>5</v>
      </c>
      <c r="E69" s="26" t="s">
        <v>3</v>
      </c>
      <c r="F69" s="26" t="s">
        <v>3</v>
      </c>
      <c r="G69" s="26" t="s">
        <v>3</v>
      </c>
      <c r="H69" s="26" t="s">
        <v>3</v>
      </c>
      <c r="I69" s="27" t="s">
        <v>7</v>
      </c>
      <c r="J69" s="28" t="s">
        <v>11</v>
      </c>
      <c r="K69" s="26" t="s">
        <v>3</v>
      </c>
      <c r="L69" s="26" t="s">
        <v>3</v>
      </c>
      <c r="M69" s="26" t="s">
        <v>3</v>
      </c>
      <c r="N69" s="22" t="s">
        <v>5</v>
      </c>
      <c r="O69" s="22" t="s">
        <v>5</v>
      </c>
      <c r="P69" s="23" t="s">
        <v>7</v>
      </c>
      <c r="Q69" s="24" t="s">
        <v>9</v>
      </c>
      <c r="R69" s="22" t="s">
        <v>5</v>
      </c>
      <c r="S69" s="22" t="s">
        <v>5</v>
      </c>
      <c r="T69" s="22" t="s">
        <v>5</v>
      </c>
      <c r="U69" s="22" t="s">
        <v>5</v>
      </c>
      <c r="V69" s="22" t="s">
        <v>5</v>
      </c>
      <c r="W69" s="23" t="s">
        <v>7</v>
      </c>
      <c r="X69" s="24" t="s">
        <v>9</v>
      </c>
      <c r="Y69" s="26" t="s">
        <v>3</v>
      </c>
      <c r="Z69" s="26" t="s">
        <v>3</v>
      </c>
      <c r="AA69" s="26" t="s">
        <v>3</v>
      </c>
      <c r="AB69" s="26" t="s">
        <v>3</v>
      </c>
      <c r="AC69" s="26" t="s">
        <v>3</v>
      </c>
      <c r="AD69" s="27" t="s">
        <v>7</v>
      </c>
      <c r="AE69" s="28" t="s">
        <v>11</v>
      </c>
      <c r="AF69" s="26" t="s">
        <v>3</v>
      </c>
      <c r="AG69" s="26" t="s">
        <v>3</v>
      </c>
      <c r="AH69" s="22" t="s">
        <v>5</v>
      </c>
      <c r="AI69" s="8">
        <f t="shared" si="16"/>
        <v>14</v>
      </c>
      <c r="AJ69" s="8">
        <f t="shared" si="17"/>
        <v>9</v>
      </c>
      <c r="AK69" s="29">
        <f t="shared" si="18"/>
        <v>2</v>
      </c>
      <c r="AL69" s="62">
        <v>2</v>
      </c>
      <c r="AM69" s="33">
        <f t="shared" si="19"/>
        <v>17</v>
      </c>
      <c r="AN69" s="63">
        <f t="shared" si="20"/>
        <v>184</v>
      </c>
      <c r="AO69" s="63">
        <f t="shared" si="21"/>
        <v>0</v>
      </c>
      <c r="AP69" s="63">
        <f t="shared" si="22"/>
        <v>0</v>
      </c>
      <c r="AQ69" s="53">
        <f t="shared" si="23"/>
        <v>17</v>
      </c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</row>
    <row r="70" spans="1:56" ht="22" customHeight="1" x14ac:dyDescent="0.35">
      <c r="A70" s="8" t="s">
        <v>167</v>
      </c>
      <c r="B70" s="8" t="s">
        <v>168</v>
      </c>
      <c r="C70" s="8" t="s">
        <v>104</v>
      </c>
      <c r="D70" s="26" t="s">
        <v>3</v>
      </c>
      <c r="E70" s="26" t="s">
        <v>3</v>
      </c>
      <c r="F70" s="26" t="s">
        <v>3</v>
      </c>
      <c r="G70" s="26" t="s">
        <v>3</v>
      </c>
      <c r="H70" s="26" t="s">
        <v>3</v>
      </c>
      <c r="I70" s="27" t="s">
        <v>7</v>
      </c>
      <c r="J70" s="28" t="s">
        <v>11</v>
      </c>
      <c r="K70" s="26" t="s">
        <v>3</v>
      </c>
      <c r="L70" s="26" t="s">
        <v>3</v>
      </c>
      <c r="M70" s="26" t="s">
        <v>3</v>
      </c>
      <c r="N70" s="26" t="s">
        <v>3</v>
      </c>
      <c r="O70" s="26" t="s">
        <v>3</v>
      </c>
      <c r="P70" s="27" t="s">
        <v>7</v>
      </c>
      <c r="Q70" s="28" t="s">
        <v>11</v>
      </c>
      <c r="R70" s="26" t="s">
        <v>3</v>
      </c>
      <c r="S70" s="26" t="s">
        <v>3</v>
      </c>
      <c r="T70" s="22" t="s">
        <v>5</v>
      </c>
      <c r="U70" s="26" t="s">
        <v>3</v>
      </c>
      <c r="V70" s="22" t="s">
        <v>5</v>
      </c>
      <c r="W70" s="27" t="s">
        <v>7</v>
      </c>
      <c r="X70" s="24" t="s">
        <v>9</v>
      </c>
      <c r="Y70" s="22" t="s">
        <v>5</v>
      </c>
      <c r="Z70" s="22" t="s">
        <v>5</v>
      </c>
      <c r="AA70" s="22" t="s">
        <v>5</v>
      </c>
      <c r="AB70" s="22" t="s">
        <v>5</v>
      </c>
      <c r="AC70" s="22" t="s">
        <v>5</v>
      </c>
      <c r="AD70" s="23" t="s">
        <v>7</v>
      </c>
      <c r="AE70" s="24" t="s">
        <v>9</v>
      </c>
      <c r="AF70" s="22" t="s">
        <v>5</v>
      </c>
      <c r="AG70" s="22" t="s">
        <v>5</v>
      </c>
      <c r="AH70" s="26" t="s">
        <v>3</v>
      </c>
      <c r="AI70" s="8">
        <f t="shared" si="16"/>
        <v>14</v>
      </c>
      <c r="AJ70" s="8">
        <f t="shared" si="17"/>
        <v>9</v>
      </c>
      <c r="AK70" s="29">
        <f t="shared" si="18"/>
        <v>2</v>
      </c>
      <c r="AL70" s="62">
        <v>3</v>
      </c>
      <c r="AM70" s="33">
        <f t="shared" si="19"/>
        <v>17.5</v>
      </c>
      <c r="AN70" s="63">
        <f t="shared" si="20"/>
        <v>184</v>
      </c>
      <c r="AO70" s="63">
        <f t="shared" si="21"/>
        <v>0</v>
      </c>
      <c r="AP70" s="63">
        <f t="shared" si="22"/>
        <v>0</v>
      </c>
      <c r="AQ70" s="53">
        <f t="shared" si="23"/>
        <v>17.5</v>
      </c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</row>
    <row r="71" spans="1:56" ht="22" customHeight="1" x14ac:dyDescent="0.35">
      <c r="A71" s="8" t="s">
        <v>169</v>
      </c>
      <c r="B71" s="8" t="s">
        <v>170</v>
      </c>
      <c r="C71" s="8" t="s">
        <v>104</v>
      </c>
      <c r="D71" s="22" t="s">
        <v>5</v>
      </c>
      <c r="E71" s="22" t="s">
        <v>5</v>
      </c>
      <c r="F71" s="22" t="s">
        <v>5</v>
      </c>
      <c r="G71" s="22" t="s">
        <v>5</v>
      </c>
      <c r="H71" s="22" t="s">
        <v>5</v>
      </c>
      <c r="I71" s="23" t="s">
        <v>7</v>
      </c>
      <c r="J71" s="24" t="s">
        <v>9</v>
      </c>
      <c r="K71" s="26" t="s">
        <v>3</v>
      </c>
      <c r="L71" s="26" t="s">
        <v>3</v>
      </c>
      <c r="M71" s="26" t="s">
        <v>3</v>
      </c>
      <c r="N71" s="26" t="s">
        <v>3</v>
      </c>
      <c r="O71" s="22" t="s">
        <v>5</v>
      </c>
      <c r="P71" s="23" t="s">
        <v>7</v>
      </c>
      <c r="Q71" s="24" t="s">
        <v>9</v>
      </c>
      <c r="R71" s="26" t="s">
        <v>3</v>
      </c>
      <c r="S71" s="26" t="s">
        <v>3</v>
      </c>
      <c r="T71" s="26" t="s">
        <v>3</v>
      </c>
      <c r="U71" s="26" t="s">
        <v>3</v>
      </c>
      <c r="V71" s="26" t="s">
        <v>3</v>
      </c>
      <c r="W71" s="27" t="s">
        <v>7</v>
      </c>
      <c r="X71" s="28" t="s">
        <v>11</v>
      </c>
      <c r="Y71" s="26" t="s">
        <v>3</v>
      </c>
      <c r="Z71" s="26" t="s">
        <v>3</v>
      </c>
      <c r="AA71" s="26" t="s">
        <v>3</v>
      </c>
      <c r="AB71" s="26" t="s">
        <v>3</v>
      </c>
      <c r="AC71" s="26" t="s">
        <v>3</v>
      </c>
      <c r="AD71" s="27" t="s">
        <v>7</v>
      </c>
      <c r="AE71" s="28" t="s">
        <v>11</v>
      </c>
      <c r="AF71" s="26" t="s">
        <v>3</v>
      </c>
      <c r="AG71" s="22" t="s">
        <v>5</v>
      </c>
      <c r="AH71" s="22" t="s">
        <v>5</v>
      </c>
      <c r="AI71" s="8">
        <f t="shared" si="16"/>
        <v>15</v>
      </c>
      <c r="AJ71" s="8">
        <f t="shared" si="17"/>
        <v>8</v>
      </c>
      <c r="AK71" s="29">
        <f t="shared" si="18"/>
        <v>2</v>
      </c>
      <c r="AL71" s="62">
        <v>2</v>
      </c>
      <c r="AM71" s="33">
        <f t="shared" si="19"/>
        <v>18</v>
      </c>
      <c r="AN71" s="63">
        <f t="shared" si="20"/>
        <v>184</v>
      </c>
      <c r="AO71" s="63">
        <f t="shared" si="21"/>
        <v>0</v>
      </c>
      <c r="AP71" s="63">
        <f t="shared" si="22"/>
        <v>0</v>
      </c>
      <c r="AQ71" s="53">
        <f t="shared" si="23"/>
        <v>18</v>
      </c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</row>
    <row r="72" spans="1:56" ht="22" customHeight="1" x14ac:dyDescent="0.35">
      <c r="A72" s="8" t="s">
        <v>171</v>
      </c>
      <c r="B72" s="8" t="s">
        <v>172</v>
      </c>
      <c r="C72" s="8" t="s">
        <v>104</v>
      </c>
      <c r="D72" s="26" t="s">
        <v>3</v>
      </c>
      <c r="E72" s="26" t="s">
        <v>3</v>
      </c>
      <c r="F72" s="26" t="s">
        <v>3</v>
      </c>
      <c r="G72" s="26" t="s">
        <v>3</v>
      </c>
      <c r="H72" s="26" t="s">
        <v>3</v>
      </c>
      <c r="I72" s="27" t="s">
        <v>7</v>
      </c>
      <c r="J72" s="28" t="s">
        <v>11</v>
      </c>
      <c r="K72" s="22" t="s">
        <v>5</v>
      </c>
      <c r="L72" s="22" t="s">
        <v>5</v>
      </c>
      <c r="M72" s="22" t="s">
        <v>5</v>
      </c>
      <c r="N72" s="22" t="s">
        <v>5</v>
      </c>
      <c r="O72" s="22" t="s">
        <v>5</v>
      </c>
      <c r="P72" s="23" t="s">
        <v>7</v>
      </c>
      <c r="Q72" s="24" t="s">
        <v>9</v>
      </c>
      <c r="R72" s="22" t="s">
        <v>5</v>
      </c>
      <c r="S72" s="22" t="s">
        <v>5</v>
      </c>
      <c r="T72" s="22" t="s">
        <v>5</v>
      </c>
      <c r="U72" s="22" t="s">
        <v>5</v>
      </c>
      <c r="V72" s="22" t="s">
        <v>5</v>
      </c>
      <c r="W72" s="23" t="s">
        <v>7</v>
      </c>
      <c r="X72" s="24" t="s">
        <v>9</v>
      </c>
      <c r="Y72" s="22" t="s">
        <v>5</v>
      </c>
      <c r="Z72" s="22" t="s">
        <v>5</v>
      </c>
      <c r="AA72" s="22" t="s">
        <v>5</v>
      </c>
      <c r="AB72" s="22" t="s">
        <v>5</v>
      </c>
      <c r="AC72" s="22" t="s">
        <v>5</v>
      </c>
      <c r="AD72" s="23" t="s">
        <v>7</v>
      </c>
      <c r="AE72" s="24" t="s">
        <v>9</v>
      </c>
      <c r="AF72" s="22" t="s">
        <v>5</v>
      </c>
      <c r="AG72" s="22" t="s">
        <v>5</v>
      </c>
      <c r="AH72" s="22" t="s">
        <v>5</v>
      </c>
      <c r="AI72" s="8">
        <f t="shared" si="16"/>
        <v>5</v>
      </c>
      <c r="AJ72" s="25">
        <f t="shared" si="17"/>
        <v>18</v>
      </c>
      <c r="AK72" s="29">
        <f t="shared" si="18"/>
        <v>1</v>
      </c>
      <c r="AL72" s="62">
        <v>1</v>
      </c>
      <c r="AM72" s="33">
        <f t="shared" si="19"/>
        <v>6.5</v>
      </c>
      <c r="AN72" s="63">
        <f t="shared" si="20"/>
        <v>184</v>
      </c>
      <c r="AO72" s="63">
        <f t="shared" si="21"/>
        <v>0</v>
      </c>
      <c r="AP72" s="63">
        <f t="shared" si="22"/>
        <v>0</v>
      </c>
      <c r="AQ72" s="53">
        <f t="shared" si="23"/>
        <v>6.5</v>
      </c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</row>
    <row r="73" spans="1:56" ht="22" customHeight="1" x14ac:dyDescent="0.35">
      <c r="A73" s="8" t="s">
        <v>173</v>
      </c>
      <c r="B73" s="8" t="s">
        <v>174</v>
      </c>
      <c r="C73" s="8" t="s">
        <v>104</v>
      </c>
      <c r="D73" s="26" t="s">
        <v>3</v>
      </c>
      <c r="E73" s="26" t="s">
        <v>3</v>
      </c>
      <c r="F73" s="26" t="s">
        <v>3</v>
      </c>
      <c r="G73" s="26" t="s">
        <v>3</v>
      </c>
      <c r="H73" s="26" t="s">
        <v>3</v>
      </c>
      <c r="I73" s="27" t="s">
        <v>7</v>
      </c>
      <c r="J73" s="28" t="s">
        <v>11</v>
      </c>
      <c r="K73" s="26" t="s">
        <v>3</v>
      </c>
      <c r="L73" s="26" t="s">
        <v>3</v>
      </c>
      <c r="M73" s="26" t="s">
        <v>3</v>
      </c>
      <c r="N73" s="26" t="s">
        <v>3</v>
      </c>
      <c r="O73" s="26" t="s">
        <v>3</v>
      </c>
      <c r="P73" s="23" t="s">
        <v>7</v>
      </c>
      <c r="Q73" s="24" t="s">
        <v>9</v>
      </c>
      <c r="R73" s="22" t="s">
        <v>5</v>
      </c>
      <c r="S73" s="22" t="s">
        <v>5</v>
      </c>
      <c r="T73" s="26" t="s">
        <v>3</v>
      </c>
      <c r="U73" s="26" t="s">
        <v>3</v>
      </c>
      <c r="V73" s="26" t="s">
        <v>3</v>
      </c>
      <c r="W73" s="27" t="s">
        <v>7</v>
      </c>
      <c r="X73" s="28" t="s">
        <v>11</v>
      </c>
      <c r="Y73" s="26" t="s">
        <v>3</v>
      </c>
      <c r="Z73" s="26" t="s">
        <v>3</v>
      </c>
      <c r="AA73" s="26" t="s">
        <v>3</v>
      </c>
      <c r="AB73" s="26" t="s">
        <v>3</v>
      </c>
      <c r="AC73" s="26" t="s">
        <v>3</v>
      </c>
      <c r="AD73" s="27" t="s">
        <v>7</v>
      </c>
      <c r="AE73" s="28" t="s">
        <v>11</v>
      </c>
      <c r="AF73" s="26" t="s">
        <v>3</v>
      </c>
      <c r="AG73" s="26" t="s">
        <v>3</v>
      </c>
      <c r="AH73" s="26" t="s">
        <v>3</v>
      </c>
      <c r="AI73" s="8">
        <f t="shared" si="16"/>
        <v>21</v>
      </c>
      <c r="AJ73" s="8">
        <f t="shared" si="17"/>
        <v>2</v>
      </c>
      <c r="AK73" s="29">
        <f t="shared" si="18"/>
        <v>3</v>
      </c>
      <c r="AL73" s="62">
        <v>3</v>
      </c>
      <c r="AM73" s="33">
        <f t="shared" si="19"/>
        <v>25.5</v>
      </c>
      <c r="AN73" s="63">
        <f t="shared" si="20"/>
        <v>184</v>
      </c>
      <c r="AO73" s="63">
        <f t="shared" si="21"/>
        <v>1</v>
      </c>
      <c r="AP73" s="63">
        <f t="shared" si="22"/>
        <v>4</v>
      </c>
      <c r="AQ73" s="53">
        <f t="shared" si="23"/>
        <v>25</v>
      </c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</row>
    <row r="74" spans="1:56" ht="22" customHeight="1" x14ac:dyDescent="0.35">
      <c r="A74" s="8" t="s">
        <v>175</v>
      </c>
      <c r="B74" s="8" t="s">
        <v>176</v>
      </c>
      <c r="C74" s="8" t="s">
        <v>104</v>
      </c>
      <c r="D74" s="26" t="s">
        <v>3</v>
      </c>
      <c r="E74" s="26" t="s">
        <v>3</v>
      </c>
      <c r="F74" s="26" t="s">
        <v>3</v>
      </c>
      <c r="G74" s="26" t="s">
        <v>3</v>
      </c>
      <c r="H74" s="26" t="s">
        <v>3</v>
      </c>
      <c r="I74" s="27" t="s">
        <v>7</v>
      </c>
      <c r="J74" s="28" t="s">
        <v>11</v>
      </c>
      <c r="K74" s="26" t="s">
        <v>3</v>
      </c>
      <c r="L74" s="26" t="s">
        <v>3</v>
      </c>
      <c r="M74" s="26" t="s">
        <v>3</v>
      </c>
      <c r="N74" s="22" t="s">
        <v>5</v>
      </c>
      <c r="O74" s="22" t="s">
        <v>5</v>
      </c>
      <c r="P74" s="23" t="s">
        <v>7</v>
      </c>
      <c r="Q74" s="24" t="s">
        <v>9</v>
      </c>
      <c r="R74" s="26" t="s">
        <v>3</v>
      </c>
      <c r="S74" s="26" t="s">
        <v>3</v>
      </c>
      <c r="T74" s="26" t="s">
        <v>3</v>
      </c>
      <c r="U74" s="26" t="s">
        <v>3</v>
      </c>
      <c r="V74" s="22" t="s">
        <v>5</v>
      </c>
      <c r="W74" s="23" t="s">
        <v>7</v>
      </c>
      <c r="X74" s="28" t="s">
        <v>11</v>
      </c>
      <c r="Y74" s="26" t="s">
        <v>3</v>
      </c>
      <c r="Z74" s="26" t="s">
        <v>3</v>
      </c>
      <c r="AA74" s="22" t="s">
        <v>5</v>
      </c>
      <c r="AB74" s="22" t="s">
        <v>5</v>
      </c>
      <c r="AC74" s="22" t="s">
        <v>5</v>
      </c>
      <c r="AD74" s="23" t="s">
        <v>7</v>
      </c>
      <c r="AE74" s="24" t="s">
        <v>9</v>
      </c>
      <c r="AF74" s="22" t="s">
        <v>5</v>
      </c>
      <c r="AG74" s="22" t="s">
        <v>5</v>
      </c>
      <c r="AH74" s="26" t="s">
        <v>3</v>
      </c>
      <c r="AI74" s="8">
        <f t="shared" si="16"/>
        <v>15</v>
      </c>
      <c r="AJ74" s="8">
        <f t="shared" si="17"/>
        <v>8</v>
      </c>
      <c r="AK74" s="29">
        <f t="shared" si="18"/>
        <v>2</v>
      </c>
      <c r="AL74" s="62">
        <v>1</v>
      </c>
      <c r="AM74" s="33">
        <f t="shared" si="19"/>
        <v>17.5</v>
      </c>
      <c r="AN74" s="63">
        <f t="shared" si="20"/>
        <v>184</v>
      </c>
      <c r="AO74" s="63">
        <f t="shared" si="21"/>
        <v>0</v>
      </c>
      <c r="AP74" s="63">
        <f t="shared" si="22"/>
        <v>0</v>
      </c>
      <c r="AQ74" s="53">
        <f t="shared" si="23"/>
        <v>17.5</v>
      </c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</row>
    <row r="75" spans="1:56" x14ac:dyDescent="0.35"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</row>
    <row r="76" spans="1:56" ht="25" customHeight="1" x14ac:dyDescent="0.35">
      <c r="A76" s="74" t="s">
        <v>177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</row>
    <row r="77" spans="1:56" ht="22" customHeight="1" x14ac:dyDescent="0.35">
      <c r="A77" s="8" t="s">
        <v>178</v>
      </c>
      <c r="B77" s="8" t="s">
        <v>179</v>
      </c>
      <c r="C77" s="8" t="s">
        <v>180</v>
      </c>
      <c r="D77" s="26" t="s">
        <v>3</v>
      </c>
      <c r="E77" s="22" t="s">
        <v>5</v>
      </c>
      <c r="F77" s="22" t="s">
        <v>5</v>
      </c>
      <c r="G77" s="22" t="s">
        <v>5</v>
      </c>
      <c r="H77" s="26" t="s">
        <v>3</v>
      </c>
      <c r="I77" s="27" t="s">
        <v>7</v>
      </c>
      <c r="J77" s="28" t="s">
        <v>11</v>
      </c>
      <c r="K77" s="26" t="s">
        <v>3</v>
      </c>
      <c r="L77" s="26" t="s">
        <v>3</v>
      </c>
      <c r="M77" s="26" t="s">
        <v>3</v>
      </c>
      <c r="N77" s="26" t="s">
        <v>3</v>
      </c>
      <c r="O77" s="26" t="s">
        <v>3</v>
      </c>
      <c r="P77" s="23" t="s">
        <v>7</v>
      </c>
      <c r="Q77" s="24" t="s">
        <v>9</v>
      </c>
      <c r="R77" s="26" t="s">
        <v>3</v>
      </c>
      <c r="S77" s="22" t="s">
        <v>5</v>
      </c>
      <c r="T77" s="26" t="s">
        <v>3</v>
      </c>
      <c r="U77" s="26" t="s">
        <v>3</v>
      </c>
      <c r="V77" s="26" t="s">
        <v>3</v>
      </c>
      <c r="W77" s="27" t="s">
        <v>7</v>
      </c>
      <c r="X77" s="28" t="s">
        <v>11</v>
      </c>
      <c r="Y77" s="26" t="s">
        <v>3</v>
      </c>
      <c r="Z77" s="26" t="s">
        <v>3</v>
      </c>
      <c r="AA77" s="26" t="s">
        <v>3</v>
      </c>
      <c r="AB77" s="26" t="s">
        <v>3</v>
      </c>
      <c r="AC77" s="26" t="s">
        <v>3</v>
      </c>
      <c r="AD77" s="27" t="s">
        <v>7</v>
      </c>
      <c r="AE77" s="24" t="s">
        <v>9</v>
      </c>
      <c r="AF77" s="26" t="s">
        <v>3</v>
      </c>
      <c r="AG77" s="26" t="s">
        <v>3</v>
      </c>
      <c r="AH77" s="26" t="s">
        <v>3</v>
      </c>
      <c r="AI77" s="8">
        <f t="shared" ref="AI77:AI82" si="24">COUNTIF(D77:AH77,"ON")</f>
        <v>19</v>
      </c>
      <c r="AJ77" s="8">
        <f t="shared" ref="AJ77:AJ82" si="25">COUNTIF(D77:AH77,"OFF")</f>
        <v>4</v>
      </c>
      <c r="AK77" s="29">
        <f t="shared" ref="AK77:AK82" si="26">COUNTIF(D77:AH77,"OT")</f>
        <v>2</v>
      </c>
      <c r="AL77" s="62">
        <v>3</v>
      </c>
      <c r="AM77" s="33">
        <f t="shared" ref="AM77:AM82" si="27">AI77+AK77+AL77*0.5</f>
        <v>22.5</v>
      </c>
      <c r="AN77" s="63">
        <f t="shared" ref="AN77:AN82" si="28">NETWORKDAYS(DATE(2025,12,1),EOMONTH(DATE(2025,12,1),0))*8</f>
        <v>184</v>
      </c>
      <c r="AO77" s="63">
        <f t="shared" ref="AO77:AO82" si="29">MAX(0,COUNTIF(H77,"ON")+COUNTIF(O77,"ON")+COUNTIF(V77,"ON")+COUNTIF(AC77,"ON")-AL77)</f>
        <v>1</v>
      </c>
      <c r="AP77" s="63">
        <f t="shared" ref="AP77:AP82" si="30">AO77*$AP$2</f>
        <v>4</v>
      </c>
      <c r="AQ77" s="53">
        <f t="shared" ref="AQ77:AQ82" si="31">AM77-AP77/8</f>
        <v>22</v>
      </c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</row>
    <row r="78" spans="1:56" ht="22" customHeight="1" x14ac:dyDescent="0.35">
      <c r="A78" s="8" t="s">
        <v>181</v>
      </c>
      <c r="B78" s="8" t="s">
        <v>182</v>
      </c>
      <c r="C78" s="8" t="s">
        <v>180</v>
      </c>
      <c r="D78" s="22" t="s">
        <v>5</v>
      </c>
      <c r="E78" s="22" t="s">
        <v>5</v>
      </c>
      <c r="F78" s="22" t="s">
        <v>5</v>
      </c>
      <c r="G78" s="22" t="s">
        <v>5</v>
      </c>
      <c r="H78" s="22" t="s">
        <v>5</v>
      </c>
      <c r="I78" s="23" t="s">
        <v>7</v>
      </c>
      <c r="J78" s="24" t="s">
        <v>9</v>
      </c>
      <c r="K78" s="22" t="s">
        <v>5</v>
      </c>
      <c r="L78" s="22" t="s">
        <v>5</v>
      </c>
      <c r="M78" s="22" t="s">
        <v>5</v>
      </c>
      <c r="N78" s="22" t="s">
        <v>5</v>
      </c>
      <c r="O78" s="22" t="s">
        <v>5</v>
      </c>
      <c r="P78" s="23" t="s">
        <v>7</v>
      </c>
      <c r="Q78" s="24" t="s">
        <v>9</v>
      </c>
      <c r="R78" s="22" t="s">
        <v>5</v>
      </c>
      <c r="S78" s="22" t="s">
        <v>5</v>
      </c>
      <c r="T78" s="22" t="s">
        <v>5</v>
      </c>
      <c r="U78" s="22" t="s">
        <v>5</v>
      </c>
      <c r="V78" s="22" t="s">
        <v>5</v>
      </c>
      <c r="W78" s="23" t="s">
        <v>7</v>
      </c>
      <c r="X78" s="24" t="s">
        <v>9</v>
      </c>
      <c r="Y78" s="22" t="s">
        <v>5</v>
      </c>
      <c r="Z78" s="26" t="s">
        <v>3</v>
      </c>
      <c r="AA78" s="26" t="s">
        <v>3</v>
      </c>
      <c r="AB78" s="22" t="s">
        <v>5</v>
      </c>
      <c r="AC78" s="22" t="s">
        <v>5</v>
      </c>
      <c r="AD78" s="23" t="s">
        <v>7</v>
      </c>
      <c r="AE78" s="24" t="s">
        <v>9</v>
      </c>
      <c r="AF78" s="22" t="s">
        <v>5</v>
      </c>
      <c r="AG78" s="22" t="s">
        <v>5</v>
      </c>
      <c r="AH78" s="26" t="s">
        <v>3</v>
      </c>
      <c r="AI78" s="8">
        <f t="shared" si="24"/>
        <v>3</v>
      </c>
      <c r="AJ78" s="25">
        <f t="shared" si="25"/>
        <v>20</v>
      </c>
      <c r="AK78" s="8">
        <f t="shared" si="26"/>
        <v>0</v>
      </c>
      <c r="AL78" s="62">
        <v>0</v>
      </c>
      <c r="AM78" s="33">
        <f t="shared" si="27"/>
        <v>3</v>
      </c>
      <c r="AN78" s="63">
        <f t="shared" si="28"/>
        <v>184</v>
      </c>
      <c r="AO78" s="63">
        <f t="shared" si="29"/>
        <v>0</v>
      </c>
      <c r="AP78" s="63">
        <f t="shared" si="30"/>
        <v>0</v>
      </c>
      <c r="AQ78" s="53">
        <f t="shared" si="31"/>
        <v>3</v>
      </c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</row>
    <row r="79" spans="1:56" ht="22" customHeight="1" x14ac:dyDescent="0.35">
      <c r="A79" s="8" t="s">
        <v>183</v>
      </c>
      <c r="B79" s="8" t="s">
        <v>184</v>
      </c>
      <c r="C79" s="8" t="s">
        <v>180</v>
      </c>
      <c r="D79" s="26" t="s">
        <v>3</v>
      </c>
      <c r="E79" s="26" t="s">
        <v>3</v>
      </c>
      <c r="F79" s="26" t="s">
        <v>3</v>
      </c>
      <c r="G79" s="26" t="s">
        <v>3</v>
      </c>
      <c r="H79" s="26" t="s">
        <v>3</v>
      </c>
      <c r="I79" s="27" t="s">
        <v>7</v>
      </c>
      <c r="J79" s="28" t="s">
        <v>11</v>
      </c>
      <c r="K79" s="26" t="s">
        <v>3</v>
      </c>
      <c r="L79" s="26" t="s">
        <v>3</v>
      </c>
      <c r="M79" s="26" t="s">
        <v>3</v>
      </c>
      <c r="N79" s="26" t="s">
        <v>3</v>
      </c>
      <c r="O79" s="26" t="s">
        <v>3</v>
      </c>
      <c r="P79" s="23" t="s">
        <v>7</v>
      </c>
      <c r="Q79" s="24" t="s">
        <v>9</v>
      </c>
      <c r="R79" s="26" t="s">
        <v>3</v>
      </c>
      <c r="S79" s="26" t="s">
        <v>3</v>
      </c>
      <c r="T79" s="26" t="s">
        <v>3</v>
      </c>
      <c r="U79" s="26" t="s">
        <v>3</v>
      </c>
      <c r="V79" s="26" t="s">
        <v>3</v>
      </c>
      <c r="W79" s="27" t="s">
        <v>7</v>
      </c>
      <c r="X79" s="28" t="s">
        <v>11</v>
      </c>
      <c r="Y79" s="26" t="s">
        <v>3</v>
      </c>
      <c r="Z79" s="26" t="s">
        <v>3</v>
      </c>
      <c r="AA79" s="26" t="s">
        <v>3</v>
      </c>
      <c r="AB79" s="26" t="s">
        <v>3</v>
      </c>
      <c r="AC79" s="26" t="s">
        <v>3</v>
      </c>
      <c r="AD79" s="23" t="s">
        <v>7</v>
      </c>
      <c r="AE79" s="28" t="s">
        <v>11</v>
      </c>
      <c r="AF79" s="26" t="s">
        <v>3</v>
      </c>
      <c r="AG79" s="26" t="s">
        <v>3</v>
      </c>
      <c r="AH79" s="26" t="s">
        <v>3</v>
      </c>
      <c r="AI79" s="8">
        <f t="shared" si="24"/>
        <v>23</v>
      </c>
      <c r="AJ79" s="8">
        <f t="shared" si="25"/>
        <v>0</v>
      </c>
      <c r="AK79" s="29">
        <f t="shared" si="26"/>
        <v>3</v>
      </c>
      <c r="AL79" s="62">
        <v>2</v>
      </c>
      <c r="AM79" s="33">
        <f t="shared" si="27"/>
        <v>27</v>
      </c>
      <c r="AN79" s="63">
        <f t="shared" si="28"/>
        <v>184</v>
      </c>
      <c r="AO79" s="63">
        <f t="shared" si="29"/>
        <v>2</v>
      </c>
      <c r="AP79" s="63">
        <f t="shared" si="30"/>
        <v>8</v>
      </c>
      <c r="AQ79" s="53">
        <f t="shared" si="31"/>
        <v>26</v>
      </c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</row>
    <row r="80" spans="1:56" ht="22" customHeight="1" x14ac:dyDescent="0.35">
      <c r="A80" s="8" t="s">
        <v>185</v>
      </c>
      <c r="B80" s="8" t="s">
        <v>186</v>
      </c>
      <c r="C80" s="8" t="s">
        <v>180</v>
      </c>
      <c r="D80" s="26" t="s">
        <v>3</v>
      </c>
      <c r="E80" s="26" t="s">
        <v>3</v>
      </c>
      <c r="F80" s="26" t="s">
        <v>3</v>
      </c>
      <c r="G80" s="26" t="s">
        <v>3</v>
      </c>
      <c r="H80" s="22" t="s">
        <v>5</v>
      </c>
      <c r="I80" s="23" t="s">
        <v>7</v>
      </c>
      <c r="J80" s="24" t="s">
        <v>9</v>
      </c>
      <c r="K80" s="26" t="s">
        <v>3</v>
      </c>
      <c r="L80" s="26" t="s">
        <v>3</v>
      </c>
      <c r="M80" s="26" t="s">
        <v>3</v>
      </c>
      <c r="N80" s="26" t="s">
        <v>3</v>
      </c>
      <c r="O80" s="26" t="s">
        <v>3</v>
      </c>
      <c r="P80" s="27" t="s">
        <v>7</v>
      </c>
      <c r="Q80" s="28" t="s">
        <v>11</v>
      </c>
      <c r="R80" s="26" t="s">
        <v>3</v>
      </c>
      <c r="S80" s="26" t="s">
        <v>3</v>
      </c>
      <c r="T80" s="26" t="s">
        <v>3</v>
      </c>
      <c r="U80" s="26" t="s">
        <v>3</v>
      </c>
      <c r="V80" s="26" t="s">
        <v>3</v>
      </c>
      <c r="W80" s="27" t="s">
        <v>7</v>
      </c>
      <c r="X80" s="24" t="s">
        <v>9</v>
      </c>
      <c r="Y80" s="26" t="s">
        <v>3</v>
      </c>
      <c r="Z80" s="26" t="s">
        <v>3</v>
      </c>
      <c r="AA80" s="26" t="s">
        <v>3</v>
      </c>
      <c r="AB80" s="26" t="s">
        <v>3</v>
      </c>
      <c r="AC80" s="26" t="s">
        <v>3</v>
      </c>
      <c r="AD80" s="27" t="s">
        <v>7</v>
      </c>
      <c r="AE80" s="28" t="s">
        <v>11</v>
      </c>
      <c r="AF80" s="26" t="s">
        <v>3</v>
      </c>
      <c r="AG80" s="26" t="s">
        <v>3</v>
      </c>
      <c r="AH80" s="26" t="s">
        <v>3</v>
      </c>
      <c r="AI80" s="8">
        <f t="shared" si="24"/>
        <v>22</v>
      </c>
      <c r="AJ80" s="8">
        <f t="shared" si="25"/>
        <v>1</v>
      </c>
      <c r="AK80" s="29">
        <f t="shared" si="26"/>
        <v>2</v>
      </c>
      <c r="AL80" s="62">
        <v>3</v>
      </c>
      <c r="AM80" s="33">
        <f t="shared" si="27"/>
        <v>25.5</v>
      </c>
      <c r="AN80" s="63">
        <f t="shared" si="28"/>
        <v>184</v>
      </c>
      <c r="AO80" s="63">
        <f t="shared" si="29"/>
        <v>0</v>
      </c>
      <c r="AP80" s="63">
        <f t="shared" si="30"/>
        <v>0</v>
      </c>
      <c r="AQ80" s="53">
        <f t="shared" si="31"/>
        <v>25.5</v>
      </c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</row>
    <row r="81" spans="1:56" ht="22" customHeight="1" x14ac:dyDescent="0.35">
      <c r="A81" s="8" t="s">
        <v>187</v>
      </c>
      <c r="B81" s="8" t="s">
        <v>188</v>
      </c>
      <c r="C81" s="8" t="s">
        <v>180</v>
      </c>
      <c r="D81" s="26" t="s">
        <v>3</v>
      </c>
      <c r="E81" s="26" t="s">
        <v>3</v>
      </c>
      <c r="F81" s="26" t="s">
        <v>3</v>
      </c>
      <c r="G81" s="26" t="s">
        <v>3</v>
      </c>
      <c r="H81" s="26" t="s">
        <v>3</v>
      </c>
      <c r="I81" s="23" t="s">
        <v>7</v>
      </c>
      <c r="J81" s="24" t="s">
        <v>9</v>
      </c>
      <c r="K81" s="26" t="s">
        <v>3</v>
      </c>
      <c r="L81" s="26" t="s">
        <v>3</v>
      </c>
      <c r="M81" s="26" t="s">
        <v>3</v>
      </c>
      <c r="N81" s="26" t="s">
        <v>3</v>
      </c>
      <c r="O81" s="26" t="s">
        <v>3</v>
      </c>
      <c r="P81" s="27" t="s">
        <v>7</v>
      </c>
      <c r="Q81" s="28" t="s">
        <v>11</v>
      </c>
      <c r="R81" s="26" t="s">
        <v>3</v>
      </c>
      <c r="S81" s="26" t="s">
        <v>3</v>
      </c>
      <c r="T81" s="26" t="s">
        <v>3</v>
      </c>
      <c r="U81" s="26" t="s">
        <v>3</v>
      </c>
      <c r="V81" s="22" t="s">
        <v>5</v>
      </c>
      <c r="W81" s="27" t="s">
        <v>7</v>
      </c>
      <c r="X81" s="28" t="s">
        <v>11</v>
      </c>
      <c r="Y81" s="26" t="s">
        <v>3</v>
      </c>
      <c r="Z81" s="22" t="s">
        <v>5</v>
      </c>
      <c r="AA81" s="22" t="s">
        <v>5</v>
      </c>
      <c r="AB81" s="22" t="s">
        <v>5</v>
      </c>
      <c r="AC81" s="22" t="s">
        <v>5</v>
      </c>
      <c r="AD81" s="23" t="s">
        <v>7</v>
      </c>
      <c r="AE81" s="24" t="s">
        <v>9</v>
      </c>
      <c r="AF81" s="22" t="s">
        <v>5</v>
      </c>
      <c r="AG81" s="22" t="s">
        <v>5</v>
      </c>
      <c r="AH81" s="26" t="s">
        <v>3</v>
      </c>
      <c r="AI81" s="8">
        <f t="shared" si="24"/>
        <v>16</v>
      </c>
      <c r="AJ81" s="8">
        <f t="shared" si="25"/>
        <v>7</v>
      </c>
      <c r="AK81" s="29">
        <f t="shared" si="26"/>
        <v>2</v>
      </c>
      <c r="AL81" s="62">
        <v>2</v>
      </c>
      <c r="AM81" s="33">
        <f t="shared" si="27"/>
        <v>19</v>
      </c>
      <c r="AN81" s="63">
        <f t="shared" si="28"/>
        <v>184</v>
      </c>
      <c r="AO81" s="63">
        <f t="shared" si="29"/>
        <v>0</v>
      </c>
      <c r="AP81" s="63">
        <f t="shared" si="30"/>
        <v>0</v>
      </c>
      <c r="AQ81" s="53">
        <f t="shared" si="31"/>
        <v>19</v>
      </c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</row>
    <row r="82" spans="1:56" ht="22" customHeight="1" x14ac:dyDescent="0.35">
      <c r="A82" s="8" t="s">
        <v>189</v>
      </c>
      <c r="B82" s="8" t="s">
        <v>190</v>
      </c>
      <c r="C82" s="8" t="s">
        <v>180</v>
      </c>
      <c r="D82" s="26" t="s">
        <v>3</v>
      </c>
      <c r="E82" s="26" t="s">
        <v>3</v>
      </c>
      <c r="F82" s="26" t="s">
        <v>3</v>
      </c>
      <c r="G82" s="26" t="s">
        <v>3</v>
      </c>
      <c r="H82" s="26" t="s">
        <v>3</v>
      </c>
      <c r="I82" s="27" t="s">
        <v>7</v>
      </c>
      <c r="J82" s="28" t="s">
        <v>11</v>
      </c>
      <c r="K82" s="26" t="s">
        <v>3</v>
      </c>
      <c r="L82" s="22" t="s">
        <v>5</v>
      </c>
      <c r="M82" s="22" t="s">
        <v>5</v>
      </c>
      <c r="N82" s="26" t="s">
        <v>3</v>
      </c>
      <c r="O82" s="26" t="s">
        <v>3</v>
      </c>
      <c r="P82" s="27" t="s">
        <v>7</v>
      </c>
      <c r="Q82" s="28" t="s">
        <v>11</v>
      </c>
      <c r="R82" s="26" t="s">
        <v>3</v>
      </c>
      <c r="S82" s="26" t="s">
        <v>3</v>
      </c>
      <c r="T82" s="26" t="s">
        <v>3</v>
      </c>
      <c r="U82" s="26" t="s">
        <v>3</v>
      </c>
      <c r="V82" s="26" t="s">
        <v>3</v>
      </c>
      <c r="W82" s="23" t="s">
        <v>7</v>
      </c>
      <c r="X82" s="24" t="s">
        <v>9</v>
      </c>
      <c r="Y82" s="26" t="s">
        <v>3</v>
      </c>
      <c r="Z82" s="26" t="s">
        <v>3</v>
      </c>
      <c r="AA82" s="26" t="s">
        <v>3</v>
      </c>
      <c r="AB82" s="22" t="s">
        <v>5</v>
      </c>
      <c r="AC82" s="26" t="s">
        <v>3</v>
      </c>
      <c r="AD82" s="27" t="s">
        <v>7</v>
      </c>
      <c r="AE82" s="28" t="s">
        <v>11</v>
      </c>
      <c r="AF82" s="26" t="s">
        <v>3</v>
      </c>
      <c r="AG82" s="26" t="s">
        <v>3</v>
      </c>
      <c r="AH82" s="26" t="s">
        <v>3</v>
      </c>
      <c r="AI82" s="8">
        <f t="shared" si="24"/>
        <v>20</v>
      </c>
      <c r="AJ82" s="8">
        <f t="shared" si="25"/>
        <v>3</v>
      </c>
      <c r="AK82" s="29">
        <f t="shared" si="26"/>
        <v>3</v>
      </c>
      <c r="AL82" s="62">
        <v>3</v>
      </c>
      <c r="AM82" s="33">
        <f t="shared" si="27"/>
        <v>24.5</v>
      </c>
      <c r="AN82" s="63">
        <f t="shared" si="28"/>
        <v>184</v>
      </c>
      <c r="AO82" s="63">
        <f t="shared" si="29"/>
        <v>1</v>
      </c>
      <c r="AP82" s="63">
        <f t="shared" si="30"/>
        <v>4</v>
      </c>
      <c r="AQ82" s="53">
        <f t="shared" si="31"/>
        <v>24</v>
      </c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</row>
    <row r="83" spans="1:56" x14ac:dyDescent="0.35"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</row>
    <row r="84" spans="1:56" ht="25" customHeight="1" x14ac:dyDescent="0.35">
      <c r="A84" s="74" t="s">
        <v>191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</row>
    <row r="85" spans="1:56" ht="22" customHeight="1" x14ac:dyDescent="0.35">
      <c r="A85" s="8" t="s">
        <v>192</v>
      </c>
      <c r="B85" s="8" t="s">
        <v>193</v>
      </c>
      <c r="C85" s="8" t="s">
        <v>194</v>
      </c>
      <c r="D85" s="26" t="s">
        <v>3</v>
      </c>
      <c r="E85" s="26" t="s">
        <v>3</v>
      </c>
      <c r="F85" s="26" t="s">
        <v>3</v>
      </c>
      <c r="G85" s="26" t="s">
        <v>3</v>
      </c>
      <c r="H85" s="26" t="s">
        <v>3</v>
      </c>
      <c r="I85" s="23" t="s">
        <v>7</v>
      </c>
      <c r="J85" s="24" t="s">
        <v>9</v>
      </c>
      <c r="K85" s="26" t="s">
        <v>3</v>
      </c>
      <c r="L85" s="26" t="s">
        <v>3</v>
      </c>
      <c r="M85" s="26" t="s">
        <v>3</v>
      </c>
      <c r="N85" s="26" t="s">
        <v>3</v>
      </c>
      <c r="O85" s="22" t="s">
        <v>5</v>
      </c>
      <c r="P85" s="23" t="s">
        <v>7</v>
      </c>
      <c r="Q85" s="24" t="s">
        <v>9</v>
      </c>
      <c r="R85" s="22" t="s">
        <v>5</v>
      </c>
      <c r="S85" s="22" t="s">
        <v>5</v>
      </c>
      <c r="T85" s="22" t="s">
        <v>5</v>
      </c>
      <c r="U85" s="22" t="s">
        <v>5</v>
      </c>
      <c r="V85" s="22" t="s">
        <v>5</v>
      </c>
      <c r="W85" s="23" t="s">
        <v>7</v>
      </c>
      <c r="X85" s="24" t="s">
        <v>9</v>
      </c>
      <c r="Y85" s="22" t="s">
        <v>5</v>
      </c>
      <c r="Z85" s="22" t="s">
        <v>5</v>
      </c>
      <c r="AA85" s="22" t="s">
        <v>5</v>
      </c>
      <c r="AB85" s="22" t="s">
        <v>5</v>
      </c>
      <c r="AC85" s="22" t="s">
        <v>5</v>
      </c>
      <c r="AD85" s="23" t="s">
        <v>7</v>
      </c>
      <c r="AE85" s="24" t="s">
        <v>9</v>
      </c>
      <c r="AF85" s="22" t="s">
        <v>5</v>
      </c>
      <c r="AG85" s="22" t="s">
        <v>5</v>
      </c>
      <c r="AH85" s="22" t="s">
        <v>5</v>
      </c>
      <c r="AI85" s="8">
        <f>COUNTIF(D85:AH85,"ON")</f>
        <v>9</v>
      </c>
      <c r="AJ85" s="25">
        <f>COUNTIF(D85:AH85,"OFF")</f>
        <v>14</v>
      </c>
      <c r="AK85" s="8">
        <f>COUNTIF(D85:AH85,"OT")</f>
        <v>0</v>
      </c>
      <c r="AL85" s="62">
        <v>0</v>
      </c>
      <c r="AM85" s="33">
        <f>AI85+AK85+AL85*0.5</f>
        <v>9</v>
      </c>
      <c r="AN85" s="63">
        <f>NETWORKDAYS(DATE(2025,12,1),EOMONTH(DATE(2025,12,1),0))*8</f>
        <v>184</v>
      </c>
      <c r="AO85" s="63">
        <f>MAX(0,COUNTIF(H85,"ON")+COUNTIF(O85,"ON")+COUNTIF(V85,"ON")+COUNTIF(AC85,"ON")-AL85)</f>
        <v>1</v>
      </c>
      <c r="AP85" s="63">
        <f>AO85*$AP$2</f>
        <v>4</v>
      </c>
      <c r="AQ85" s="53">
        <f>AM85-AP85/8</f>
        <v>8.5</v>
      </c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</row>
    <row r="86" spans="1:56" ht="22" customHeight="1" x14ac:dyDescent="0.35">
      <c r="A86" s="8" t="s">
        <v>195</v>
      </c>
      <c r="B86" s="8" t="s">
        <v>196</v>
      </c>
      <c r="C86" s="8" t="s">
        <v>194</v>
      </c>
      <c r="D86" s="22" t="s">
        <v>5</v>
      </c>
      <c r="E86" s="22" t="s">
        <v>5</v>
      </c>
      <c r="F86" s="22" t="s">
        <v>5</v>
      </c>
      <c r="G86" s="22" t="s">
        <v>5</v>
      </c>
      <c r="H86" s="22" t="s">
        <v>5</v>
      </c>
      <c r="I86" s="23" t="s">
        <v>7</v>
      </c>
      <c r="J86" s="24" t="s">
        <v>9</v>
      </c>
      <c r="K86" s="22" t="s">
        <v>5</v>
      </c>
      <c r="L86" s="22" t="s">
        <v>5</v>
      </c>
      <c r="M86" s="22" t="s">
        <v>5</v>
      </c>
      <c r="N86" s="22" t="s">
        <v>5</v>
      </c>
      <c r="O86" s="22" t="s">
        <v>5</v>
      </c>
      <c r="P86" s="23" t="s">
        <v>7</v>
      </c>
      <c r="Q86" s="24" t="s">
        <v>9</v>
      </c>
      <c r="R86" s="22" t="s">
        <v>5</v>
      </c>
      <c r="S86" s="22" t="s">
        <v>5</v>
      </c>
      <c r="T86" s="22" t="s">
        <v>5</v>
      </c>
      <c r="U86" s="22" t="s">
        <v>5</v>
      </c>
      <c r="V86" s="22" t="s">
        <v>5</v>
      </c>
      <c r="W86" s="23" t="s">
        <v>7</v>
      </c>
      <c r="X86" s="24" t="s">
        <v>9</v>
      </c>
      <c r="Y86" s="22" t="s">
        <v>5</v>
      </c>
      <c r="Z86" s="22" t="s">
        <v>5</v>
      </c>
      <c r="AA86" s="22" t="s">
        <v>5</v>
      </c>
      <c r="AB86" s="22" t="s">
        <v>5</v>
      </c>
      <c r="AC86" s="22" t="s">
        <v>5</v>
      </c>
      <c r="AD86" s="23" t="s">
        <v>7</v>
      </c>
      <c r="AE86" s="24" t="s">
        <v>9</v>
      </c>
      <c r="AF86" s="22" t="s">
        <v>5</v>
      </c>
      <c r="AG86" s="22" t="s">
        <v>5</v>
      </c>
      <c r="AH86" s="22" t="s">
        <v>5</v>
      </c>
      <c r="AI86" s="8">
        <f>COUNTIF(D86:AH86,"ON")</f>
        <v>0</v>
      </c>
      <c r="AJ86" s="25">
        <f>COUNTIF(D86:AH86,"OFF")</f>
        <v>23</v>
      </c>
      <c r="AK86" s="8">
        <f>COUNTIF(D86:AH86,"OT")</f>
        <v>0</v>
      </c>
      <c r="AL86" s="62">
        <v>0</v>
      </c>
      <c r="AM86" s="33">
        <f>AI86+AK86+AL86*0.5</f>
        <v>0</v>
      </c>
      <c r="AN86" s="63">
        <f>NETWORKDAYS(DATE(2025,12,1),EOMONTH(DATE(2025,12,1),0))*8</f>
        <v>184</v>
      </c>
      <c r="AO86" s="63">
        <f>MAX(0,COUNTIF(H86,"ON")+COUNTIF(O86,"ON")+COUNTIF(V86,"ON")+COUNTIF(AC86,"ON")-AL86)</f>
        <v>0</v>
      </c>
      <c r="AP86" s="63">
        <f>AO86*$AP$2</f>
        <v>0</v>
      </c>
      <c r="AQ86" s="53">
        <f>AM86-AP86/8</f>
        <v>0</v>
      </c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</row>
    <row r="87" spans="1:56" ht="22" customHeight="1" x14ac:dyDescent="0.35">
      <c r="A87" s="8" t="s">
        <v>197</v>
      </c>
      <c r="B87" s="8" t="s">
        <v>198</v>
      </c>
      <c r="C87" s="8" t="s">
        <v>194</v>
      </c>
      <c r="D87" s="22" t="s">
        <v>5</v>
      </c>
      <c r="E87" s="22" t="s">
        <v>5</v>
      </c>
      <c r="F87" s="22" t="s">
        <v>5</v>
      </c>
      <c r="G87" s="22" t="s">
        <v>5</v>
      </c>
      <c r="H87" s="22" t="s">
        <v>5</v>
      </c>
      <c r="I87" s="23" t="s">
        <v>7</v>
      </c>
      <c r="J87" s="24" t="s">
        <v>9</v>
      </c>
      <c r="K87" s="22" t="s">
        <v>5</v>
      </c>
      <c r="L87" s="22" t="s">
        <v>5</v>
      </c>
      <c r="M87" s="22" t="s">
        <v>5</v>
      </c>
      <c r="N87" s="22" t="s">
        <v>5</v>
      </c>
      <c r="O87" s="22" t="s">
        <v>5</v>
      </c>
      <c r="P87" s="23" t="s">
        <v>7</v>
      </c>
      <c r="Q87" s="24" t="s">
        <v>9</v>
      </c>
      <c r="R87" s="22" t="s">
        <v>5</v>
      </c>
      <c r="S87" s="22" t="s">
        <v>5</v>
      </c>
      <c r="T87" s="22" t="s">
        <v>5</v>
      </c>
      <c r="U87" s="22" t="s">
        <v>5</v>
      </c>
      <c r="V87" s="22" t="s">
        <v>5</v>
      </c>
      <c r="W87" s="23" t="s">
        <v>7</v>
      </c>
      <c r="X87" s="24" t="s">
        <v>9</v>
      </c>
      <c r="Y87" s="22" t="s">
        <v>5</v>
      </c>
      <c r="Z87" s="22" t="s">
        <v>5</v>
      </c>
      <c r="AA87" s="22" t="s">
        <v>5</v>
      </c>
      <c r="AB87" s="22" t="s">
        <v>5</v>
      </c>
      <c r="AC87" s="22" t="s">
        <v>5</v>
      </c>
      <c r="AD87" s="23" t="s">
        <v>7</v>
      </c>
      <c r="AE87" s="24" t="s">
        <v>9</v>
      </c>
      <c r="AF87" s="22" t="s">
        <v>5</v>
      </c>
      <c r="AG87" s="22" t="s">
        <v>5</v>
      </c>
      <c r="AH87" s="22" t="s">
        <v>5</v>
      </c>
      <c r="AI87" s="8">
        <f>COUNTIF(D87:AH87,"ON")</f>
        <v>0</v>
      </c>
      <c r="AJ87" s="25">
        <f>COUNTIF(D87:AH87,"OFF")</f>
        <v>23</v>
      </c>
      <c r="AK87" s="8">
        <f>COUNTIF(D87:AH87,"OT")</f>
        <v>0</v>
      </c>
      <c r="AL87" s="62">
        <v>0</v>
      </c>
      <c r="AM87" s="33">
        <f>AI87+AK87+AL87*0.5</f>
        <v>0</v>
      </c>
      <c r="AN87" s="63">
        <f>NETWORKDAYS(DATE(2025,12,1),EOMONTH(DATE(2025,12,1),0))*8</f>
        <v>184</v>
      </c>
      <c r="AO87" s="63">
        <f>MAX(0,COUNTIF(H87,"ON")+COUNTIF(O87,"ON")+COUNTIF(V87,"ON")+COUNTIF(AC87,"ON")-AL87)</f>
        <v>0</v>
      </c>
      <c r="AP87" s="63">
        <f>AO87*$AP$2</f>
        <v>0</v>
      </c>
      <c r="AQ87" s="53">
        <f>AM87-AP87/8</f>
        <v>0</v>
      </c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</row>
    <row r="88" spans="1:56" ht="22" customHeight="1" x14ac:dyDescent="0.35">
      <c r="A88" s="8" t="s">
        <v>199</v>
      </c>
      <c r="B88" s="8" t="s">
        <v>200</v>
      </c>
      <c r="C88" s="8" t="s">
        <v>194</v>
      </c>
      <c r="D88" s="26" t="s">
        <v>3</v>
      </c>
      <c r="E88" s="26" t="s">
        <v>3</v>
      </c>
      <c r="F88" s="26" t="s">
        <v>3</v>
      </c>
      <c r="G88" s="26" t="s">
        <v>3</v>
      </c>
      <c r="H88" s="26" t="s">
        <v>3</v>
      </c>
      <c r="I88" s="27" t="s">
        <v>7</v>
      </c>
      <c r="J88" s="28" t="s">
        <v>11</v>
      </c>
      <c r="K88" s="26" t="s">
        <v>3</v>
      </c>
      <c r="L88" s="26" t="s">
        <v>3</v>
      </c>
      <c r="M88" s="26" t="s">
        <v>3</v>
      </c>
      <c r="N88" s="26" t="s">
        <v>3</v>
      </c>
      <c r="O88" s="26" t="s">
        <v>3</v>
      </c>
      <c r="P88" s="23" t="s">
        <v>7</v>
      </c>
      <c r="Q88" s="24" t="s">
        <v>9</v>
      </c>
      <c r="R88" s="26" t="s">
        <v>3</v>
      </c>
      <c r="S88" s="26" t="s">
        <v>3</v>
      </c>
      <c r="T88" s="26" t="s">
        <v>3</v>
      </c>
      <c r="U88" s="26" t="s">
        <v>3</v>
      </c>
      <c r="V88" s="26" t="s">
        <v>3</v>
      </c>
      <c r="W88" s="27" t="s">
        <v>7</v>
      </c>
      <c r="X88" s="28" t="s">
        <v>11</v>
      </c>
      <c r="Y88" s="26" t="s">
        <v>3</v>
      </c>
      <c r="Z88" s="26" t="s">
        <v>3</v>
      </c>
      <c r="AA88" s="26" t="s">
        <v>3</v>
      </c>
      <c r="AB88" s="22" t="s">
        <v>5</v>
      </c>
      <c r="AC88" s="22" t="s">
        <v>5</v>
      </c>
      <c r="AD88" s="23" t="s">
        <v>7</v>
      </c>
      <c r="AE88" s="24" t="s">
        <v>9</v>
      </c>
      <c r="AF88" s="26" t="s">
        <v>3</v>
      </c>
      <c r="AG88" s="26" t="s">
        <v>3</v>
      </c>
      <c r="AH88" s="26" t="s">
        <v>3</v>
      </c>
      <c r="AI88" s="8">
        <f>COUNTIF(D88:AH88,"ON")</f>
        <v>21</v>
      </c>
      <c r="AJ88" s="8">
        <f>COUNTIF(D88:AH88,"OFF")</f>
        <v>2</v>
      </c>
      <c r="AK88" s="29">
        <f>COUNTIF(D88:AH88,"OT")</f>
        <v>2</v>
      </c>
      <c r="AL88" s="62">
        <v>2</v>
      </c>
      <c r="AM88" s="33">
        <f>AI88+AK88+AL88*0.5</f>
        <v>24</v>
      </c>
      <c r="AN88" s="63">
        <f>NETWORKDAYS(DATE(2025,12,1),EOMONTH(DATE(2025,12,1),0))*8</f>
        <v>184</v>
      </c>
      <c r="AO88" s="63">
        <f>MAX(0,COUNTIF(H88,"ON")+COUNTIF(O88,"ON")+COUNTIF(V88,"ON")+COUNTIF(AC88,"ON")-AL88)</f>
        <v>1</v>
      </c>
      <c r="AP88" s="63">
        <f>AO88*$AP$2</f>
        <v>4</v>
      </c>
      <c r="AQ88" s="53">
        <f>AM88-AP88/8</f>
        <v>23.5</v>
      </c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</row>
    <row r="89" spans="1:56" ht="22" customHeight="1" x14ac:dyDescent="0.35">
      <c r="A89" s="8" t="s">
        <v>201</v>
      </c>
      <c r="B89" s="8" t="s">
        <v>202</v>
      </c>
      <c r="C89" s="8" t="s">
        <v>194</v>
      </c>
      <c r="D89" s="22" t="s">
        <v>5</v>
      </c>
      <c r="E89" s="26" t="s">
        <v>3</v>
      </c>
      <c r="F89" s="26" t="s">
        <v>3</v>
      </c>
      <c r="G89" s="26" t="s">
        <v>3</v>
      </c>
      <c r="H89" s="22" t="s">
        <v>5</v>
      </c>
      <c r="I89" s="23" t="s">
        <v>7</v>
      </c>
      <c r="J89" s="24" t="s">
        <v>9</v>
      </c>
      <c r="K89" s="22" t="s">
        <v>5</v>
      </c>
      <c r="L89" s="22" t="s">
        <v>5</v>
      </c>
      <c r="M89" s="22" t="s">
        <v>5</v>
      </c>
      <c r="N89" s="22" t="s">
        <v>5</v>
      </c>
      <c r="O89" s="22" t="s">
        <v>5</v>
      </c>
      <c r="P89" s="27" t="s">
        <v>7</v>
      </c>
      <c r="Q89" s="28" t="s">
        <v>11</v>
      </c>
      <c r="R89" s="26" t="s">
        <v>3</v>
      </c>
      <c r="S89" s="26" t="s">
        <v>3</v>
      </c>
      <c r="T89" s="26" t="s">
        <v>3</v>
      </c>
      <c r="U89" s="26" t="s">
        <v>3</v>
      </c>
      <c r="V89" s="26" t="s">
        <v>3</v>
      </c>
      <c r="W89" s="23" t="s">
        <v>7</v>
      </c>
      <c r="X89" s="24" t="s">
        <v>9</v>
      </c>
      <c r="Y89" s="26" t="s">
        <v>3</v>
      </c>
      <c r="Z89" s="26" t="s">
        <v>3</v>
      </c>
      <c r="AA89" s="26" t="s">
        <v>3</v>
      </c>
      <c r="AB89" s="26" t="s">
        <v>3</v>
      </c>
      <c r="AC89" s="26" t="s">
        <v>3</v>
      </c>
      <c r="AD89" s="27" t="s">
        <v>7</v>
      </c>
      <c r="AE89" s="28" t="s">
        <v>11</v>
      </c>
      <c r="AF89" s="26" t="s">
        <v>3</v>
      </c>
      <c r="AG89" s="26" t="s">
        <v>3</v>
      </c>
      <c r="AH89" s="26" t="s">
        <v>3</v>
      </c>
      <c r="AI89" s="8">
        <f>COUNTIF(D89:AH89,"ON")</f>
        <v>16</v>
      </c>
      <c r="AJ89" s="8">
        <f>COUNTIF(D89:AH89,"OFF")</f>
        <v>7</v>
      </c>
      <c r="AK89" s="29">
        <f>COUNTIF(D89:AH89,"OT")</f>
        <v>2</v>
      </c>
      <c r="AL89" s="62">
        <v>2</v>
      </c>
      <c r="AM89" s="33">
        <f>AI89+AK89+AL89*0.5</f>
        <v>19</v>
      </c>
      <c r="AN89" s="63">
        <f>NETWORKDAYS(DATE(2025,12,1),EOMONTH(DATE(2025,12,1),0))*8</f>
        <v>184</v>
      </c>
      <c r="AO89" s="63">
        <f>MAX(0,COUNTIF(H89,"ON")+COUNTIF(O89,"ON")+COUNTIF(V89,"ON")+COUNTIF(AC89,"ON")-AL89)</f>
        <v>0</v>
      </c>
      <c r="AP89" s="63">
        <f>AO89*$AP$2</f>
        <v>0</v>
      </c>
      <c r="AQ89" s="53">
        <f>AM89-AP89/8</f>
        <v>19</v>
      </c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</row>
    <row r="90" spans="1:56" x14ac:dyDescent="0.35"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</row>
    <row r="91" spans="1:56" ht="25" customHeight="1" x14ac:dyDescent="0.35">
      <c r="A91" s="74" t="s">
        <v>203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</row>
    <row r="92" spans="1:56" ht="22" customHeight="1" x14ac:dyDescent="0.35">
      <c r="A92" s="8" t="s">
        <v>204</v>
      </c>
      <c r="B92" s="8" t="s">
        <v>205</v>
      </c>
      <c r="C92" s="8" t="s">
        <v>206</v>
      </c>
      <c r="D92" s="26" t="s">
        <v>3</v>
      </c>
      <c r="E92" s="26" t="s">
        <v>3</v>
      </c>
      <c r="F92" s="26" t="s">
        <v>3</v>
      </c>
      <c r="G92" s="26" t="s">
        <v>3</v>
      </c>
      <c r="H92" s="26" t="s">
        <v>3</v>
      </c>
      <c r="I92" s="23" t="s">
        <v>7</v>
      </c>
      <c r="J92" s="24" t="s">
        <v>9</v>
      </c>
      <c r="K92" s="22" t="s">
        <v>5</v>
      </c>
      <c r="L92" s="22" t="s">
        <v>5</v>
      </c>
      <c r="M92" s="22" t="s">
        <v>5</v>
      </c>
      <c r="N92" s="22" t="s">
        <v>5</v>
      </c>
      <c r="O92" s="22" t="s">
        <v>5</v>
      </c>
      <c r="P92" s="23" t="s">
        <v>7</v>
      </c>
      <c r="Q92" s="24" t="s">
        <v>9</v>
      </c>
      <c r="R92" s="22" t="s">
        <v>5</v>
      </c>
      <c r="S92" s="22" t="s">
        <v>5</v>
      </c>
      <c r="T92" s="22" t="s">
        <v>5</v>
      </c>
      <c r="U92" s="22" t="s">
        <v>5</v>
      </c>
      <c r="V92" s="22" t="s">
        <v>5</v>
      </c>
      <c r="W92" s="23" t="s">
        <v>7</v>
      </c>
      <c r="X92" s="24" t="s">
        <v>9</v>
      </c>
      <c r="Y92" s="26" t="s">
        <v>3</v>
      </c>
      <c r="Z92" s="26" t="s">
        <v>3</v>
      </c>
      <c r="AA92" s="26" t="s">
        <v>3</v>
      </c>
      <c r="AB92" s="22" t="s">
        <v>5</v>
      </c>
      <c r="AC92" s="22" t="s">
        <v>5</v>
      </c>
      <c r="AD92" s="23" t="s">
        <v>7</v>
      </c>
      <c r="AE92" s="24" t="s">
        <v>9</v>
      </c>
      <c r="AF92" s="22" t="s">
        <v>5</v>
      </c>
      <c r="AG92" s="22" t="s">
        <v>5</v>
      </c>
      <c r="AH92" s="22" t="s">
        <v>5</v>
      </c>
      <c r="AI92" s="8">
        <f>COUNTIF(D92:AH92,"ON")</f>
        <v>8</v>
      </c>
      <c r="AJ92" s="25">
        <f>COUNTIF(D92:AH92,"OFF")</f>
        <v>15</v>
      </c>
      <c r="AK92" s="8">
        <f>COUNTIF(D92:AH92,"OT")</f>
        <v>0</v>
      </c>
      <c r="AL92" s="62">
        <v>0</v>
      </c>
      <c r="AM92" s="33">
        <f>AI92+AK92+AL92*0.5</f>
        <v>8</v>
      </c>
      <c r="AN92" s="63">
        <f>NETWORKDAYS(DATE(2025,12,1),EOMONTH(DATE(2025,12,1),0))*8</f>
        <v>184</v>
      </c>
      <c r="AO92" s="63">
        <f>MAX(0,COUNTIF(H92,"ON")+COUNTIF(O92,"ON")+COUNTIF(V92,"ON")+COUNTIF(AC92,"ON")-AL92)</f>
        <v>1</v>
      </c>
      <c r="AP92" s="63">
        <f>AO92*$AP$2</f>
        <v>4</v>
      </c>
      <c r="AQ92" s="53">
        <f>AM92-AP92/8</f>
        <v>7.5</v>
      </c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</row>
    <row r="93" spans="1:56" ht="22" customHeight="1" x14ac:dyDescent="0.35">
      <c r="A93" s="8" t="s">
        <v>207</v>
      </c>
      <c r="B93" s="8" t="s">
        <v>208</v>
      </c>
      <c r="C93" s="8" t="s">
        <v>206</v>
      </c>
      <c r="D93" s="26" t="s">
        <v>3</v>
      </c>
      <c r="E93" s="26" t="s">
        <v>3</v>
      </c>
      <c r="F93" s="26" t="s">
        <v>3</v>
      </c>
      <c r="G93" s="26" t="s">
        <v>3</v>
      </c>
      <c r="H93" s="26" t="s">
        <v>3</v>
      </c>
      <c r="I93" s="23" t="s">
        <v>7</v>
      </c>
      <c r="J93" s="24" t="s">
        <v>9</v>
      </c>
      <c r="K93" s="26" t="s">
        <v>3</v>
      </c>
      <c r="L93" s="26" t="s">
        <v>3</v>
      </c>
      <c r="M93" s="26" t="s">
        <v>3</v>
      </c>
      <c r="N93" s="26" t="s">
        <v>3</v>
      </c>
      <c r="O93" s="26" t="s">
        <v>3</v>
      </c>
      <c r="P93" s="23" t="s">
        <v>7</v>
      </c>
      <c r="Q93" s="24" t="s">
        <v>9</v>
      </c>
      <c r="R93" s="26" t="s">
        <v>3</v>
      </c>
      <c r="S93" s="26" t="s">
        <v>3</v>
      </c>
      <c r="T93" s="26" t="s">
        <v>3</v>
      </c>
      <c r="U93" s="26" t="s">
        <v>3</v>
      </c>
      <c r="V93" s="26" t="s">
        <v>3</v>
      </c>
      <c r="W93" s="27" t="s">
        <v>7</v>
      </c>
      <c r="X93" s="24" t="s">
        <v>9</v>
      </c>
      <c r="Y93" s="26" t="s">
        <v>3</v>
      </c>
      <c r="Z93" s="26" t="s">
        <v>3</v>
      </c>
      <c r="AA93" s="22" t="s">
        <v>5</v>
      </c>
      <c r="AB93" s="22" t="s">
        <v>5</v>
      </c>
      <c r="AC93" s="22" t="s">
        <v>5</v>
      </c>
      <c r="AD93" s="23" t="s">
        <v>7</v>
      </c>
      <c r="AE93" s="24" t="s">
        <v>9</v>
      </c>
      <c r="AF93" s="22" t="s">
        <v>5</v>
      </c>
      <c r="AG93" s="22" t="s">
        <v>5</v>
      </c>
      <c r="AH93" s="22" t="s">
        <v>5</v>
      </c>
      <c r="AI93" s="8">
        <f>COUNTIF(D93:AH93,"ON")</f>
        <v>17</v>
      </c>
      <c r="AJ93" s="8">
        <f>COUNTIF(D93:AH93,"OFF")</f>
        <v>6</v>
      </c>
      <c r="AK93" s="8">
        <f>COUNTIF(D93:AH93,"OT")</f>
        <v>0</v>
      </c>
      <c r="AL93" s="62">
        <v>1</v>
      </c>
      <c r="AM93" s="33">
        <f>AI93+AK93+AL93*0.5</f>
        <v>17.5</v>
      </c>
      <c r="AN93" s="63">
        <f>NETWORKDAYS(DATE(2025,12,1),EOMONTH(DATE(2025,12,1),0))*8</f>
        <v>184</v>
      </c>
      <c r="AO93" s="63">
        <f>MAX(0,COUNTIF(H93,"ON")+COUNTIF(O93,"ON")+COUNTIF(V93,"ON")+COUNTIF(AC93,"ON")-AL93)</f>
        <v>2</v>
      </c>
      <c r="AP93" s="63">
        <f>AO93*$AP$2</f>
        <v>8</v>
      </c>
      <c r="AQ93" s="53">
        <f>AM93-AP93/8</f>
        <v>16.5</v>
      </c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</row>
    <row r="94" spans="1:56" ht="22" customHeight="1" x14ac:dyDescent="0.35">
      <c r="A94" s="8" t="s">
        <v>209</v>
      </c>
      <c r="B94" s="8" t="s">
        <v>210</v>
      </c>
      <c r="C94" s="8" t="s">
        <v>206</v>
      </c>
      <c r="D94" s="26" t="s">
        <v>3</v>
      </c>
      <c r="E94" s="26" t="s">
        <v>3</v>
      </c>
      <c r="F94" s="26" t="s">
        <v>3</v>
      </c>
      <c r="G94" s="26" t="s">
        <v>3</v>
      </c>
      <c r="H94" s="26" t="s">
        <v>3</v>
      </c>
      <c r="I94" s="23" t="s">
        <v>7</v>
      </c>
      <c r="J94" s="24" t="s">
        <v>9</v>
      </c>
      <c r="K94" s="26" t="s">
        <v>3</v>
      </c>
      <c r="L94" s="26" t="s">
        <v>3</v>
      </c>
      <c r="M94" s="26" t="s">
        <v>3</v>
      </c>
      <c r="N94" s="26" t="s">
        <v>3</v>
      </c>
      <c r="O94" s="26" t="s">
        <v>3</v>
      </c>
      <c r="P94" s="23" t="s">
        <v>7</v>
      </c>
      <c r="Q94" s="24" t="s">
        <v>9</v>
      </c>
      <c r="R94" s="22" t="s">
        <v>5</v>
      </c>
      <c r="S94" s="22" t="s">
        <v>5</v>
      </c>
      <c r="T94" s="22" t="s">
        <v>5</v>
      </c>
      <c r="U94" s="22" t="s">
        <v>5</v>
      </c>
      <c r="V94" s="22" t="s">
        <v>5</v>
      </c>
      <c r="W94" s="23" t="s">
        <v>7</v>
      </c>
      <c r="X94" s="24" t="s">
        <v>9</v>
      </c>
      <c r="Y94" s="22" t="s">
        <v>5</v>
      </c>
      <c r="Z94" s="22" t="s">
        <v>5</v>
      </c>
      <c r="AA94" s="22" t="s">
        <v>5</v>
      </c>
      <c r="AB94" s="22" t="s">
        <v>5</v>
      </c>
      <c r="AC94" s="22" t="s">
        <v>5</v>
      </c>
      <c r="AD94" s="23" t="s">
        <v>7</v>
      </c>
      <c r="AE94" s="24" t="s">
        <v>9</v>
      </c>
      <c r="AF94" s="22" t="s">
        <v>5</v>
      </c>
      <c r="AG94" s="22" t="s">
        <v>5</v>
      </c>
      <c r="AH94" s="22" t="s">
        <v>5</v>
      </c>
      <c r="AI94" s="8">
        <f>COUNTIF(D94:AH94,"ON")</f>
        <v>10</v>
      </c>
      <c r="AJ94" s="25">
        <f>COUNTIF(D94:AH94,"OFF")</f>
        <v>13</v>
      </c>
      <c r="AK94" s="8">
        <f>COUNTIF(D94:AH94,"OT")</f>
        <v>0</v>
      </c>
      <c r="AL94" s="62">
        <v>0</v>
      </c>
      <c r="AM94" s="33">
        <f>AI94+AK94+AL94*0.5</f>
        <v>10</v>
      </c>
      <c r="AN94" s="63">
        <f>NETWORKDAYS(DATE(2025,12,1),EOMONTH(DATE(2025,12,1),0))*8</f>
        <v>184</v>
      </c>
      <c r="AO94" s="63">
        <f>MAX(0,COUNTIF(H94,"ON")+COUNTIF(O94,"ON")+COUNTIF(V94,"ON")+COUNTIF(AC94,"ON")-AL94)</f>
        <v>2</v>
      </c>
      <c r="AP94" s="63">
        <f>AO94*$AP$2</f>
        <v>8</v>
      </c>
      <c r="AQ94" s="53">
        <f>AM94-AP94/8</f>
        <v>9</v>
      </c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</row>
    <row r="95" spans="1:56" ht="22" customHeight="1" x14ac:dyDescent="0.35">
      <c r="A95" s="8" t="s">
        <v>211</v>
      </c>
      <c r="B95" s="8" t="s">
        <v>212</v>
      </c>
      <c r="C95" s="8" t="s">
        <v>206</v>
      </c>
      <c r="D95" s="22" t="s">
        <v>5</v>
      </c>
      <c r="E95" s="22" t="s">
        <v>5</v>
      </c>
      <c r="F95" s="26" t="s">
        <v>3</v>
      </c>
      <c r="G95" s="26" t="s">
        <v>3</v>
      </c>
      <c r="H95" s="26" t="s">
        <v>3</v>
      </c>
      <c r="I95" s="23" t="s">
        <v>7</v>
      </c>
      <c r="J95" s="24" t="s">
        <v>9</v>
      </c>
      <c r="K95" s="26" t="s">
        <v>3</v>
      </c>
      <c r="L95" s="26" t="s">
        <v>3</v>
      </c>
      <c r="M95" s="26" t="s">
        <v>3</v>
      </c>
      <c r="N95" s="26" t="s">
        <v>3</v>
      </c>
      <c r="O95" s="26" t="s">
        <v>3</v>
      </c>
      <c r="P95" s="23" t="s">
        <v>7</v>
      </c>
      <c r="Q95" s="24" t="s">
        <v>9</v>
      </c>
      <c r="R95" s="26" t="s">
        <v>3</v>
      </c>
      <c r="S95" s="26" t="s">
        <v>3</v>
      </c>
      <c r="T95" s="26" t="s">
        <v>3</v>
      </c>
      <c r="U95" s="26" t="s">
        <v>3</v>
      </c>
      <c r="V95" s="26" t="s">
        <v>3</v>
      </c>
      <c r="W95" s="23" t="s">
        <v>7</v>
      </c>
      <c r="X95" s="24" t="s">
        <v>9</v>
      </c>
      <c r="Y95" s="26" t="s">
        <v>3</v>
      </c>
      <c r="Z95" s="26" t="s">
        <v>3</v>
      </c>
      <c r="AA95" s="26" t="s">
        <v>3</v>
      </c>
      <c r="AB95" s="22" t="s">
        <v>5</v>
      </c>
      <c r="AC95" s="22" t="s">
        <v>5</v>
      </c>
      <c r="AD95" s="23" t="s">
        <v>7</v>
      </c>
      <c r="AE95" s="24" t="s">
        <v>9</v>
      </c>
      <c r="AF95" s="22" t="s">
        <v>5</v>
      </c>
      <c r="AG95" s="22" t="s">
        <v>5</v>
      </c>
      <c r="AH95" s="22" t="s">
        <v>5</v>
      </c>
      <c r="AI95" s="8">
        <f>COUNTIF(D95:AH95,"ON")</f>
        <v>16</v>
      </c>
      <c r="AJ95" s="8">
        <f>COUNTIF(D95:AH95,"OFF")</f>
        <v>7</v>
      </c>
      <c r="AK95" s="8">
        <f>COUNTIF(D95:AH95,"OT")</f>
        <v>0</v>
      </c>
      <c r="AL95" s="62">
        <v>0</v>
      </c>
      <c r="AM95" s="33">
        <f>AI95+AK95+AL95*0.5</f>
        <v>16</v>
      </c>
      <c r="AN95" s="63">
        <f>NETWORKDAYS(DATE(2025,12,1),EOMONTH(DATE(2025,12,1),0))*8</f>
        <v>184</v>
      </c>
      <c r="AO95" s="63">
        <f>MAX(0,COUNTIF(H95,"ON")+COUNTIF(O95,"ON")+COUNTIF(V95,"ON")+COUNTIF(AC95,"ON")-AL95)</f>
        <v>3</v>
      </c>
      <c r="AP95" s="63">
        <f>AO95*$AP$2</f>
        <v>12</v>
      </c>
      <c r="AQ95" s="53">
        <f>AM95-AP95/8</f>
        <v>14.5</v>
      </c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</row>
    <row r="96" spans="1:56" x14ac:dyDescent="0.35"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</row>
    <row r="97" spans="1:56" ht="25" customHeight="1" x14ac:dyDescent="0.35">
      <c r="A97" s="74" t="s">
        <v>213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</row>
    <row r="98" spans="1:56" ht="22" customHeight="1" x14ac:dyDescent="0.35">
      <c r="A98" s="8" t="s">
        <v>214</v>
      </c>
      <c r="B98" s="8" t="s">
        <v>215</v>
      </c>
      <c r="C98" s="8" t="s">
        <v>216</v>
      </c>
      <c r="D98" s="22" t="s">
        <v>5</v>
      </c>
      <c r="E98" s="22" t="s">
        <v>5</v>
      </c>
      <c r="F98" s="26" t="s">
        <v>3</v>
      </c>
      <c r="G98" s="26" t="s">
        <v>3</v>
      </c>
      <c r="H98" s="26" t="s">
        <v>3</v>
      </c>
      <c r="I98" s="23" t="s">
        <v>7</v>
      </c>
      <c r="J98" s="24" t="s">
        <v>9</v>
      </c>
      <c r="K98" s="26" t="s">
        <v>3</v>
      </c>
      <c r="L98" s="26" t="s">
        <v>3</v>
      </c>
      <c r="M98" s="26" t="s">
        <v>3</v>
      </c>
      <c r="N98" s="26" t="s">
        <v>3</v>
      </c>
      <c r="O98" s="26" t="s">
        <v>3</v>
      </c>
      <c r="P98" s="23" t="s">
        <v>7</v>
      </c>
      <c r="Q98" s="24" t="s">
        <v>9</v>
      </c>
      <c r="R98" s="26" t="s">
        <v>3</v>
      </c>
      <c r="S98" s="26" t="s">
        <v>3</v>
      </c>
      <c r="T98" s="26" t="s">
        <v>3</v>
      </c>
      <c r="U98" s="26" t="s">
        <v>3</v>
      </c>
      <c r="V98" s="22" t="s">
        <v>5</v>
      </c>
      <c r="W98" s="23" t="s">
        <v>7</v>
      </c>
      <c r="X98" s="24" t="s">
        <v>9</v>
      </c>
      <c r="Y98" s="22" t="s">
        <v>5</v>
      </c>
      <c r="Z98" s="22" t="s">
        <v>5</v>
      </c>
      <c r="AA98" s="22" t="s">
        <v>5</v>
      </c>
      <c r="AB98" s="22" t="s">
        <v>5</v>
      </c>
      <c r="AC98" s="22" t="s">
        <v>5</v>
      </c>
      <c r="AD98" s="23" t="s">
        <v>7</v>
      </c>
      <c r="AE98" s="24" t="s">
        <v>9</v>
      </c>
      <c r="AF98" s="22" t="s">
        <v>5</v>
      </c>
      <c r="AG98" s="22" t="s">
        <v>5</v>
      </c>
      <c r="AH98" s="22" t="s">
        <v>5</v>
      </c>
      <c r="AI98" s="8">
        <f t="shared" ref="AI98:AI111" si="32">COUNTIF(D98:AH98,"ON")</f>
        <v>12</v>
      </c>
      <c r="AJ98" s="25">
        <f t="shared" ref="AJ98:AJ111" si="33">COUNTIF(D98:AH98,"OFF")</f>
        <v>11</v>
      </c>
      <c r="AK98" s="8">
        <f t="shared" ref="AK98:AK111" si="34">COUNTIF(D98:AH98,"OT")</f>
        <v>0</v>
      </c>
      <c r="AL98" s="62">
        <v>0</v>
      </c>
      <c r="AM98" s="33">
        <f t="shared" ref="AM98:AM111" si="35">AI98+AK98+AL98*0.5</f>
        <v>12</v>
      </c>
      <c r="AN98" s="63">
        <f t="shared" ref="AN98:AN111" si="36">NETWORKDAYS(DATE(2025,12,1),EOMONTH(DATE(2025,12,1),0))*8</f>
        <v>184</v>
      </c>
      <c r="AO98" s="63">
        <f t="shared" ref="AO98:AO111" si="37">MAX(0,COUNTIF(H98,"ON")+COUNTIF(O98,"ON")+COUNTIF(V98,"ON")+COUNTIF(AC98,"ON")-AL98)</f>
        <v>2</v>
      </c>
      <c r="AP98" s="63">
        <f t="shared" ref="AP98:AP111" si="38">AO98*$AP$2</f>
        <v>8</v>
      </c>
      <c r="AQ98" s="53">
        <f t="shared" ref="AQ98:AQ111" si="39">AM98-AP98/8</f>
        <v>11</v>
      </c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</row>
    <row r="99" spans="1:56" ht="22" customHeight="1" x14ac:dyDescent="0.35">
      <c r="A99" s="8" t="s">
        <v>217</v>
      </c>
      <c r="B99" s="8" t="s">
        <v>218</v>
      </c>
      <c r="C99" s="8" t="s">
        <v>216</v>
      </c>
      <c r="D99" s="26" t="s">
        <v>3</v>
      </c>
      <c r="E99" s="26" t="s">
        <v>3</v>
      </c>
      <c r="F99" s="26" t="s">
        <v>3</v>
      </c>
      <c r="G99" s="26" t="s">
        <v>3</v>
      </c>
      <c r="H99" s="26" t="s">
        <v>3</v>
      </c>
      <c r="I99" s="23" t="s">
        <v>7</v>
      </c>
      <c r="J99" s="24" t="s">
        <v>9</v>
      </c>
      <c r="K99" s="26" t="s">
        <v>3</v>
      </c>
      <c r="L99" s="26" t="s">
        <v>3</v>
      </c>
      <c r="M99" s="26" t="s">
        <v>3</v>
      </c>
      <c r="N99" s="26" t="s">
        <v>3</v>
      </c>
      <c r="O99" s="26" t="s">
        <v>3</v>
      </c>
      <c r="P99" s="23" t="s">
        <v>7</v>
      </c>
      <c r="Q99" s="24" t="s">
        <v>9</v>
      </c>
      <c r="R99" s="26" t="s">
        <v>3</v>
      </c>
      <c r="S99" s="26" t="s">
        <v>3</v>
      </c>
      <c r="T99" s="26" t="s">
        <v>3</v>
      </c>
      <c r="U99" s="22" t="s">
        <v>5</v>
      </c>
      <c r="V99" s="22" t="s">
        <v>5</v>
      </c>
      <c r="W99" s="23" t="s">
        <v>7</v>
      </c>
      <c r="X99" s="24" t="s">
        <v>9</v>
      </c>
      <c r="Y99" s="26" t="s">
        <v>3</v>
      </c>
      <c r="Z99" s="26" t="s">
        <v>3</v>
      </c>
      <c r="AA99" s="26" t="s">
        <v>3</v>
      </c>
      <c r="AB99" s="22" t="s">
        <v>5</v>
      </c>
      <c r="AC99" s="22" t="s">
        <v>5</v>
      </c>
      <c r="AD99" s="23" t="s">
        <v>7</v>
      </c>
      <c r="AE99" s="24" t="s">
        <v>9</v>
      </c>
      <c r="AF99" s="22" t="s">
        <v>5</v>
      </c>
      <c r="AG99" s="22" t="s">
        <v>5</v>
      </c>
      <c r="AH99" s="22" t="s">
        <v>5</v>
      </c>
      <c r="AI99" s="8">
        <f t="shared" si="32"/>
        <v>16</v>
      </c>
      <c r="AJ99" s="8">
        <f t="shared" si="33"/>
        <v>7</v>
      </c>
      <c r="AK99" s="8">
        <f t="shared" si="34"/>
        <v>0</v>
      </c>
      <c r="AL99" s="62">
        <v>0</v>
      </c>
      <c r="AM99" s="33">
        <f t="shared" si="35"/>
        <v>16</v>
      </c>
      <c r="AN99" s="63">
        <f t="shared" si="36"/>
        <v>184</v>
      </c>
      <c r="AO99" s="63">
        <f t="shared" si="37"/>
        <v>2</v>
      </c>
      <c r="AP99" s="63">
        <f t="shared" si="38"/>
        <v>8</v>
      </c>
      <c r="AQ99" s="53">
        <f t="shared" si="39"/>
        <v>15</v>
      </c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</row>
    <row r="100" spans="1:56" ht="22" customHeight="1" x14ac:dyDescent="0.35">
      <c r="A100" s="8" t="s">
        <v>219</v>
      </c>
      <c r="B100" s="8" t="s">
        <v>220</v>
      </c>
      <c r="C100" s="8" t="s">
        <v>216</v>
      </c>
      <c r="D100" s="26" t="s">
        <v>3</v>
      </c>
      <c r="E100" s="26" t="s">
        <v>3</v>
      </c>
      <c r="F100" s="26" t="s">
        <v>3</v>
      </c>
      <c r="G100" s="26" t="s">
        <v>3</v>
      </c>
      <c r="H100" s="26" t="s">
        <v>3</v>
      </c>
      <c r="I100" s="23" t="s">
        <v>7</v>
      </c>
      <c r="J100" s="24" t="s">
        <v>9</v>
      </c>
      <c r="K100" s="26" t="s">
        <v>3</v>
      </c>
      <c r="L100" s="26" t="s">
        <v>3</v>
      </c>
      <c r="M100" s="26" t="s">
        <v>3</v>
      </c>
      <c r="N100" s="26" t="s">
        <v>3</v>
      </c>
      <c r="O100" s="26" t="s">
        <v>3</v>
      </c>
      <c r="P100" s="23" t="s">
        <v>7</v>
      </c>
      <c r="Q100" s="24" t="s">
        <v>9</v>
      </c>
      <c r="R100" s="26" t="s">
        <v>3</v>
      </c>
      <c r="S100" s="26" t="s">
        <v>3</v>
      </c>
      <c r="T100" s="26" t="s">
        <v>3</v>
      </c>
      <c r="U100" s="26" t="s">
        <v>3</v>
      </c>
      <c r="V100" s="26" t="s">
        <v>3</v>
      </c>
      <c r="W100" s="23" t="s">
        <v>7</v>
      </c>
      <c r="X100" s="24" t="s">
        <v>9</v>
      </c>
      <c r="Y100" s="26" t="s">
        <v>3</v>
      </c>
      <c r="Z100" s="26" t="s">
        <v>3</v>
      </c>
      <c r="AA100" s="26" t="s">
        <v>3</v>
      </c>
      <c r="AB100" s="22" t="s">
        <v>5</v>
      </c>
      <c r="AC100" s="22" t="s">
        <v>5</v>
      </c>
      <c r="AD100" s="23" t="s">
        <v>7</v>
      </c>
      <c r="AE100" s="24" t="s">
        <v>9</v>
      </c>
      <c r="AF100" s="22" t="s">
        <v>5</v>
      </c>
      <c r="AG100" s="26" t="s">
        <v>3</v>
      </c>
      <c r="AH100" s="22" t="s">
        <v>5</v>
      </c>
      <c r="AI100" s="8">
        <f t="shared" si="32"/>
        <v>19</v>
      </c>
      <c r="AJ100" s="8">
        <f t="shared" si="33"/>
        <v>4</v>
      </c>
      <c r="AK100" s="8">
        <f t="shared" si="34"/>
        <v>0</v>
      </c>
      <c r="AL100" s="62">
        <v>0</v>
      </c>
      <c r="AM100" s="33">
        <f t="shared" si="35"/>
        <v>19</v>
      </c>
      <c r="AN100" s="63">
        <f t="shared" si="36"/>
        <v>184</v>
      </c>
      <c r="AO100" s="63">
        <f t="shared" si="37"/>
        <v>3</v>
      </c>
      <c r="AP100" s="63">
        <f t="shared" si="38"/>
        <v>12</v>
      </c>
      <c r="AQ100" s="53">
        <f t="shared" si="39"/>
        <v>17.5</v>
      </c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</row>
    <row r="101" spans="1:56" ht="22" customHeight="1" x14ac:dyDescent="0.35">
      <c r="A101" s="8" t="s">
        <v>221</v>
      </c>
      <c r="B101" s="8" t="s">
        <v>222</v>
      </c>
      <c r="C101" s="8" t="s">
        <v>216</v>
      </c>
      <c r="D101" s="26" t="s">
        <v>3</v>
      </c>
      <c r="E101" s="26" t="s">
        <v>3</v>
      </c>
      <c r="F101" s="26" t="s">
        <v>3</v>
      </c>
      <c r="G101" s="26" t="s">
        <v>3</v>
      </c>
      <c r="H101" s="26" t="s">
        <v>3</v>
      </c>
      <c r="I101" s="23" t="s">
        <v>7</v>
      </c>
      <c r="J101" s="24" t="s">
        <v>9</v>
      </c>
      <c r="K101" s="26" t="s">
        <v>3</v>
      </c>
      <c r="L101" s="26" t="s">
        <v>3</v>
      </c>
      <c r="M101" s="26" t="s">
        <v>3</v>
      </c>
      <c r="N101" s="26" t="s">
        <v>3</v>
      </c>
      <c r="O101" s="26" t="s">
        <v>3</v>
      </c>
      <c r="P101" s="23" t="s">
        <v>7</v>
      </c>
      <c r="Q101" s="24" t="s">
        <v>9</v>
      </c>
      <c r="R101" s="26" t="s">
        <v>3</v>
      </c>
      <c r="S101" s="26" t="s">
        <v>3</v>
      </c>
      <c r="T101" s="26" t="s">
        <v>3</v>
      </c>
      <c r="U101" s="26" t="s">
        <v>3</v>
      </c>
      <c r="V101" s="26" t="s">
        <v>3</v>
      </c>
      <c r="W101" s="23" t="s">
        <v>7</v>
      </c>
      <c r="X101" s="24" t="s">
        <v>9</v>
      </c>
      <c r="Y101" s="26" t="s">
        <v>3</v>
      </c>
      <c r="Z101" s="22" t="s">
        <v>5</v>
      </c>
      <c r="AA101" s="26" t="s">
        <v>3</v>
      </c>
      <c r="AB101" s="22" t="s">
        <v>5</v>
      </c>
      <c r="AC101" s="22" t="s">
        <v>5</v>
      </c>
      <c r="AD101" s="23" t="s">
        <v>7</v>
      </c>
      <c r="AE101" s="24" t="s">
        <v>9</v>
      </c>
      <c r="AF101" s="22" t="s">
        <v>5</v>
      </c>
      <c r="AG101" s="22" t="s">
        <v>5</v>
      </c>
      <c r="AH101" s="22" t="s">
        <v>5</v>
      </c>
      <c r="AI101" s="8">
        <f t="shared" si="32"/>
        <v>17</v>
      </c>
      <c r="AJ101" s="8">
        <f t="shared" si="33"/>
        <v>6</v>
      </c>
      <c r="AK101" s="8">
        <f t="shared" si="34"/>
        <v>0</v>
      </c>
      <c r="AL101" s="62">
        <v>0</v>
      </c>
      <c r="AM101" s="33">
        <f t="shared" si="35"/>
        <v>17</v>
      </c>
      <c r="AN101" s="63">
        <f t="shared" si="36"/>
        <v>184</v>
      </c>
      <c r="AO101" s="63">
        <f t="shared" si="37"/>
        <v>3</v>
      </c>
      <c r="AP101" s="63">
        <f t="shared" si="38"/>
        <v>12</v>
      </c>
      <c r="AQ101" s="53">
        <f t="shared" si="39"/>
        <v>15.5</v>
      </c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</row>
    <row r="102" spans="1:56" ht="22" customHeight="1" x14ac:dyDescent="0.35">
      <c r="A102" s="8" t="s">
        <v>223</v>
      </c>
      <c r="B102" s="8" t="s">
        <v>224</v>
      </c>
      <c r="C102" s="8" t="s">
        <v>216</v>
      </c>
      <c r="D102" s="26" t="s">
        <v>3</v>
      </c>
      <c r="E102" s="26" t="s">
        <v>3</v>
      </c>
      <c r="F102" s="26" t="s">
        <v>3</v>
      </c>
      <c r="G102" s="26" t="s">
        <v>3</v>
      </c>
      <c r="H102" s="22" t="s">
        <v>5</v>
      </c>
      <c r="I102" s="23" t="s">
        <v>7</v>
      </c>
      <c r="J102" s="24" t="s">
        <v>9</v>
      </c>
      <c r="K102" s="26" t="s">
        <v>3</v>
      </c>
      <c r="L102" s="26" t="s">
        <v>3</v>
      </c>
      <c r="M102" s="26" t="s">
        <v>3</v>
      </c>
      <c r="N102" s="26" t="s">
        <v>3</v>
      </c>
      <c r="O102" s="26" t="s">
        <v>3</v>
      </c>
      <c r="P102" s="23" t="s">
        <v>7</v>
      </c>
      <c r="Q102" s="24" t="s">
        <v>9</v>
      </c>
      <c r="R102" s="26" t="s">
        <v>3</v>
      </c>
      <c r="S102" s="26" t="s">
        <v>3</v>
      </c>
      <c r="T102" s="22" t="s">
        <v>5</v>
      </c>
      <c r="U102" s="26" t="s">
        <v>3</v>
      </c>
      <c r="V102" s="26" t="s">
        <v>3</v>
      </c>
      <c r="W102" s="23" t="s">
        <v>7</v>
      </c>
      <c r="X102" s="24" t="s">
        <v>9</v>
      </c>
      <c r="Y102" s="26" t="s">
        <v>3</v>
      </c>
      <c r="Z102" s="26" t="s">
        <v>3</v>
      </c>
      <c r="AA102" s="22" t="s">
        <v>5</v>
      </c>
      <c r="AB102" s="22" t="s">
        <v>5</v>
      </c>
      <c r="AC102" s="22" t="s">
        <v>5</v>
      </c>
      <c r="AD102" s="23" t="s">
        <v>7</v>
      </c>
      <c r="AE102" s="24" t="s">
        <v>9</v>
      </c>
      <c r="AF102" s="22" t="s">
        <v>5</v>
      </c>
      <c r="AG102" s="22" t="s">
        <v>5</v>
      </c>
      <c r="AH102" s="22" t="s">
        <v>5</v>
      </c>
      <c r="AI102" s="8">
        <f t="shared" si="32"/>
        <v>15</v>
      </c>
      <c r="AJ102" s="8">
        <f t="shared" si="33"/>
        <v>8</v>
      </c>
      <c r="AK102" s="8">
        <f t="shared" si="34"/>
        <v>0</v>
      </c>
      <c r="AL102" s="62">
        <v>0</v>
      </c>
      <c r="AM102" s="33">
        <f t="shared" si="35"/>
        <v>15</v>
      </c>
      <c r="AN102" s="63">
        <f t="shared" si="36"/>
        <v>184</v>
      </c>
      <c r="AO102" s="63">
        <f t="shared" si="37"/>
        <v>2</v>
      </c>
      <c r="AP102" s="63">
        <f t="shared" si="38"/>
        <v>8</v>
      </c>
      <c r="AQ102" s="53">
        <f t="shared" si="39"/>
        <v>14</v>
      </c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</row>
    <row r="103" spans="1:56" ht="22" customHeight="1" x14ac:dyDescent="0.35">
      <c r="A103" s="8" t="s">
        <v>225</v>
      </c>
      <c r="B103" s="8" t="s">
        <v>226</v>
      </c>
      <c r="C103" s="8" t="s">
        <v>216</v>
      </c>
      <c r="D103" s="26" t="s">
        <v>3</v>
      </c>
      <c r="E103" s="26" t="s">
        <v>3</v>
      </c>
      <c r="F103" s="26" t="s">
        <v>3</v>
      </c>
      <c r="G103" s="26" t="s">
        <v>3</v>
      </c>
      <c r="H103" s="26" t="s">
        <v>3</v>
      </c>
      <c r="I103" s="23" t="s">
        <v>7</v>
      </c>
      <c r="J103" s="24" t="s">
        <v>9</v>
      </c>
      <c r="K103" s="26" t="s">
        <v>3</v>
      </c>
      <c r="L103" s="26" t="s">
        <v>3</v>
      </c>
      <c r="M103" s="26" t="s">
        <v>3</v>
      </c>
      <c r="N103" s="26" t="s">
        <v>3</v>
      </c>
      <c r="O103" s="26" t="s">
        <v>3</v>
      </c>
      <c r="P103" s="23" t="s">
        <v>7</v>
      </c>
      <c r="Q103" s="24" t="s">
        <v>9</v>
      </c>
      <c r="R103" s="26" t="s">
        <v>3</v>
      </c>
      <c r="S103" s="26" t="s">
        <v>3</v>
      </c>
      <c r="T103" s="26" t="s">
        <v>3</v>
      </c>
      <c r="U103" s="26" t="s">
        <v>3</v>
      </c>
      <c r="V103" s="26" t="s">
        <v>3</v>
      </c>
      <c r="W103" s="23" t="s">
        <v>7</v>
      </c>
      <c r="X103" s="24" t="s">
        <v>9</v>
      </c>
      <c r="Y103" s="22" t="s">
        <v>5</v>
      </c>
      <c r="Z103" s="26" t="s">
        <v>3</v>
      </c>
      <c r="AA103" s="26" t="s">
        <v>3</v>
      </c>
      <c r="AB103" s="22" t="s">
        <v>5</v>
      </c>
      <c r="AC103" s="26" t="s">
        <v>3</v>
      </c>
      <c r="AD103" s="23" t="s">
        <v>7</v>
      </c>
      <c r="AE103" s="24" t="s">
        <v>9</v>
      </c>
      <c r="AF103" s="22" t="s">
        <v>5</v>
      </c>
      <c r="AG103" s="22" t="s">
        <v>5</v>
      </c>
      <c r="AH103" s="22" t="s">
        <v>5</v>
      </c>
      <c r="AI103" s="8">
        <f t="shared" si="32"/>
        <v>18</v>
      </c>
      <c r="AJ103" s="8">
        <f t="shared" si="33"/>
        <v>5</v>
      </c>
      <c r="AK103" s="8">
        <f t="shared" si="34"/>
        <v>0</v>
      </c>
      <c r="AL103" s="62">
        <v>0</v>
      </c>
      <c r="AM103" s="33">
        <f t="shared" si="35"/>
        <v>18</v>
      </c>
      <c r="AN103" s="63">
        <f t="shared" si="36"/>
        <v>184</v>
      </c>
      <c r="AO103" s="63">
        <f t="shared" si="37"/>
        <v>4</v>
      </c>
      <c r="AP103" s="63">
        <f t="shared" si="38"/>
        <v>16</v>
      </c>
      <c r="AQ103" s="53">
        <f t="shared" si="39"/>
        <v>16</v>
      </c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</row>
    <row r="104" spans="1:56" ht="22" customHeight="1" x14ac:dyDescent="0.35">
      <c r="A104" s="8" t="s">
        <v>227</v>
      </c>
      <c r="B104" s="8" t="s">
        <v>228</v>
      </c>
      <c r="C104" s="8" t="s">
        <v>216</v>
      </c>
      <c r="D104" s="26" t="s">
        <v>3</v>
      </c>
      <c r="E104" s="26" t="s">
        <v>3</v>
      </c>
      <c r="F104" s="26" t="s">
        <v>3</v>
      </c>
      <c r="G104" s="26" t="s">
        <v>3</v>
      </c>
      <c r="H104" s="26" t="s">
        <v>3</v>
      </c>
      <c r="I104" s="23" t="s">
        <v>7</v>
      </c>
      <c r="J104" s="24" t="s">
        <v>9</v>
      </c>
      <c r="K104" s="26" t="s">
        <v>3</v>
      </c>
      <c r="L104" s="26" t="s">
        <v>3</v>
      </c>
      <c r="M104" s="26" t="s">
        <v>3</v>
      </c>
      <c r="N104" s="26" t="s">
        <v>3</v>
      </c>
      <c r="O104" s="26" t="s">
        <v>3</v>
      </c>
      <c r="P104" s="23" t="s">
        <v>7</v>
      </c>
      <c r="Q104" s="24" t="s">
        <v>9</v>
      </c>
      <c r="R104" s="26" t="s">
        <v>3</v>
      </c>
      <c r="S104" s="26" t="s">
        <v>3</v>
      </c>
      <c r="T104" s="26" t="s">
        <v>3</v>
      </c>
      <c r="U104" s="26" t="s">
        <v>3</v>
      </c>
      <c r="V104" s="26" t="s">
        <v>3</v>
      </c>
      <c r="W104" s="23" t="s">
        <v>7</v>
      </c>
      <c r="X104" s="24" t="s">
        <v>9</v>
      </c>
      <c r="Y104" s="26" t="s">
        <v>3</v>
      </c>
      <c r="Z104" s="26" t="s">
        <v>3</v>
      </c>
      <c r="AA104" s="26" t="s">
        <v>3</v>
      </c>
      <c r="AB104" s="22" t="s">
        <v>5</v>
      </c>
      <c r="AC104" s="22" t="s">
        <v>5</v>
      </c>
      <c r="AD104" s="23" t="s">
        <v>7</v>
      </c>
      <c r="AE104" s="24" t="s">
        <v>9</v>
      </c>
      <c r="AF104" s="22" t="s">
        <v>5</v>
      </c>
      <c r="AG104" s="22" t="s">
        <v>5</v>
      </c>
      <c r="AH104" s="22" t="s">
        <v>5</v>
      </c>
      <c r="AI104" s="8">
        <f t="shared" si="32"/>
        <v>18</v>
      </c>
      <c r="AJ104" s="8">
        <f t="shared" si="33"/>
        <v>5</v>
      </c>
      <c r="AK104" s="8">
        <f t="shared" si="34"/>
        <v>0</v>
      </c>
      <c r="AL104" s="62">
        <v>0</v>
      </c>
      <c r="AM104" s="33">
        <f t="shared" si="35"/>
        <v>18</v>
      </c>
      <c r="AN104" s="63">
        <f t="shared" si="36"/>
        <v>184</v>
      </c>
      <c r="AO104" s="63">
        <f t="shared" si="37"/>
        <v>3</v>
      </c>
      <c r="AP104" s="63">
        <f t="shared" si="38"/>
        <v>12</v>
      </c>
      <c r="AQ104" s="53">
        <f t="shared" si="39"/>
        <v>16.5</v>
      </c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</row>
    <row r="105" spans="1:56" ht="22" customHeight="1" x14ac:dyDescent="0.35">
      <c r="A105" s="8" t="s">
        <v>229</v>
      </c>
      <c r="B105" s="8" t="s">
        <v>230</v>
      </c>
      <c r="C105" s="8" t="s">
        <v>216</v>
      </c>
      <c r="D105" s="22" t="s">
        <v>5</v>
      </c>
      <c r="E105" s="22" t="s">
        <v>5</v>
      </c>
      <c r="F105" s="22" t="s">
        <v>5</v>
      </c>
      <c r="G105" s="22" t="s">
        <v>5</v>
      </c>
      <c r="H105" s="22" t="s">
        <v>5</v>
      </c>
      <c r="I105" s="23" t="s">
        <v>7</v>
      </c>
      <c r="J105" s="24" t="s">
        <v>9</v>
      </c>
      <c r="K105" s="22" t="s">
        <v>5</v>
      </c>
      <c r="L105" s="22" t="s">
        <v>5</v>
      </c>
      <c r="M105" s="22" t="s">
        <v>5</v>
      </c>
      <c r="N105" s="22" t="s">
        <v>5</v>
      </c>
      <c r="O105" s="22" t="s">
        <v>5</v>
      </c>
      <c r="P105" s="23" t="s">
        <v>7</v>
      </c>
      <c r="Q105" s="24" t="s">
        <v>9</v>
      </c>
      <c r="R105" s="22" t="s">
        <v>5</v>
      </c>
      <c r="S105" s="22" t="s">
        <v>5</v>
      </c>
      <c r="T105" s="22" t="s">
        <v>5</v>
      </c>
      <c r="U105" s="22" t="s">
        <v>5</v>
      </c>
      <c r="V105" s="22" t="s">
        <v>5</v>
      </c>
      <c r="W105" s="23" t="s">
        <v>7</v>
      </c>
      <c r="X105" s="24" t="s">
        <v>9</v>
      </c>
      <c r="Y105" s="22" t="s">
        <v>5</v>
      </c>
      <c r="Z105" s="22" t="s">
        <v>5</v>
      </c>
      <c r="AA105" s="22" t="s">
        <v>5</v>
      </c>
      <c r="AB105" s="22" t="s">
        <v>5</v>
      </c>
      <c r="AC105" s="22" t="s">
        <v>5</v>
      </c>
      <c r="AD105" s="23" t="s">
        <v>7</v>
      </c>
      <c r="AE105" s="24" t="s">
        <v>9</v>
      </c>
      <c r="AF105" s="22" t="s">
        <v>5</v>
      </c>
      <c r="AG105" s="22" t="s">
        <v>5</v>
      </c>
      <c r="AH105" s="22" t="s">
        <v>5</v>
      </c>
      <c r="AI105" s="8">
        <f t="shared" si="32"/>
        <v>0</v>
      </c>
      <c r="AJ105" s="25">
        <f t="shared" si="33"/>
        <v>23</v>
      </c>
      <c r="AK105" s="8">
        <f t="shared" si="34"/>
        <v>0</v>
      </c>
      <c r="AL105" s="62">
        <v>0</v>
      </c>
      <c r="AM105" s="33">
        <f t="shared" si="35"/>
        <v>0</v>
      </c>
      <c r="AN105" s="63">
        <f t="shared" si="36"/>
        <v>184</v>
      </c>
      <c r="AO105" s="63">
        <f t="shared" si="37"/>
        <v>0</v>
      </c>
      <c r="AP105" s="63">
        <f t="shared" si="38"/>
        <v>0</v>
      </c>
      <c r="AQ105" s="53">
        <f t="shared" si="39"/>
        <v>0</v>
      </c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</row>
    <row r="106" spans="1:56" ht="22" customHeight="1" x14ac:dyDescent="0.35">
      <c r="A106" s="8" t="s">
        <v>231</v>
      </c>
      <c r="B106" s="8" t="s">
        <v>232</v>
      </c>
      <c r="C106" s="8" t="s">
        <v>216</v>
      </c>
      <c r="D106" s="26" t="s">
        <v>3</v>
      </c>
      <c r="E106" s="26" t="s">
        <v>3</v>
      </c>
      <c r="F106" s="26" t="s">
        <v>3</v>
      </c>
      <c r="G106" s="26" t="s">
        <v>3</v>
      </c>
      <c r="H106" s="22" t="s">
        <v>5</v>
      </c>
      <c r="I106" s="23" t="s">
        <v>7</v>
      </c>
      <c r="J106" s="24" t="s">
        <v>9</v>
      </c>
      <c r="K106" s="26" t="s">
        <v>3</v>
      </c>
      <c r="L106" s="26" t="s">
        <v>3</v>
      </c>
      <c r="M106" s="26" t="s">
        <v>3</v>
      </c>
      <c r="N106" s="26" t="s">
        <v>3</v>
      </c>
      <c r="O106" s="26" t="s">
        <v>3</v>
      </c>
      <c r="P106" s="23" t="s">
        <v>7</v>
      </c>
      <c r="Q106" s="24" t="s">
        <v>9</v>
      </c>
      <c r="R106" s="26" t="s">
        <v>3</v>
      </c>
      <c r="S106" s="26" t="s">
        <v>3</v>
      </c>
      <c r="T106" s="26" t="s">
        <v>3</v>
      </c>
      <c r="U106" s="26" t="s">
        <v>3</v>
      </c>
      <c r="V106" s="22" t="s">
        <v>5</v>
      </c>
      <c r="W106" s="23" t="s">
        <v>7</v>
      </c>
      <c r="X106" s="24" t="s">
        <v>9</v>
      </c>
      <c r="Y106" s="22" t="s">
        <v>5</v>
      </c>
      <c r="Z106" s="22" t="s">
        <v>5</v>
      </c>
      <c r="AA106" s="22" t="s">
        <v>5</v>
      </c>
      <c r="AB106" s="22" t="s">
        <v>5</v>
      </c>
      <c r="AC106" s="22" t="s">
        <v>5</v>
      </c>
      <c r="AD106" s="23" t="s">
        <v>7</v>
      </c>
      <c r="AE106" s="24" t="s">
        <v>9</v>
      </c>
      <c r="AF106" s="22" t="s">
        <v>5</v>
      </c>
      <c r="AG106" s="22" t="s">
        <v>5</v>
      </c>
      <c r="AH106" s="22" t="s">
        <v>5</v>
      </c>
      <c r="AI106" s="8">
        <f t="shared" si="32"/>
        <v>13</v>
      </c>
      <c r="AJ106" s="8">
        <f t="shared" si="33"/>
        <v>10</v>
      </c>
      <c r="AK106" s="8">
        <f t="shared" si="34"/>
        <v>0</v>
      </c>
      <c r="AL106" s="62">
        <v>0</v>
      </c>
      <c r="AM106" s="33">
        <f t="shared" si="35"/>
        <v>13</v>
      </c>
      <c r="AN106" s="63">
        <f t="shared" si="36"/>
        <v>184</v>
      </c>
      <c r="AO106" s="63">
        <f t="shared" si="37"/>
        <v>1</v>
      </c>
      <c r="AP106" s="63">
        <f t="shared" si="38"/>
        <v>4</v>
      </c>
      <c r="AQ106" s="53">
        <f t="shared" si="39"/>
        <v>12.5</v>
      </c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</row>
    <row r="107" spans="1:56" ht="22" customHeight="1" x14ac:dyDescent="0.35">
      <c r="A107" s="8" t="s">
        <v>233</v>
      </c>
      <c r="B107" s="8" t="s">
        <v>234</v>
      </c>
      <c r="C107" s="8" t="s">
        <v>216</v>
      </c>
      <c r="D107" s="26" t="s">
        <v>3</v>
      </c>
      <c r="E107" s="26" t="s">
        <v>3</v>
      </c>
      <c r="F107" s="26" t="s">
        <v>3</v>
      </c>
      <c r="G107" s="22" t="s">
        <v>5</v>
      </c>
      <c r="H107" s="26" t="s">
        <v>3</v>
      </c>
      <c r="I107" s="23" t="s">
        <v>7</v>
      </c>
      <c r="J107" s="24" t="s">
        <v>9</v>
      </c>
      <c r="K107" s="26" t="s">
        <v>3</v>
      </c>
      <c r="L107" s="26" t="s">
        <v>3</v>
      </c>
      <c r="M107" s="26" t="s">
        <v>3</v>
      </c>
      <c r="N107" s="26" t="s">
        <v>3</v>
      </c>
      <c r="O107" s="26" t="s">
        <v>3</v>
      </c>
      <c r="P107" s="23" t="s">
        <v>7</v>
      </c>
      <c r="Q107" s="24" t="s">
        <v>9</v>
      </c>
      <c r="R107" s="26" t="s">
        <v>3</v>
      </c>
      <c r="S107" s="26" t="s">
        <v>3</v>
      </c>
      <c r="T107" s="26" t="s">
        <v>3</v>
      </c>
      <c r="U107" s="26" t="s">
        <v>3</v>
      </c>
      <c r="V107" s="26" t="s">
        <v>3</v>
      </c>
      <c r="W107" s="23" t="s">
        <v>7</v>
      </c>
      <c r="X107" s="24" t="s">
        <v>9</v>
      </c>
      <c r="Y107" s="26" t="s">
        <v>3</v>
      </c>
      <c r="Z107" s="26" t="s">
        <v>3</v>
      </c>
      <c r="AA107" s="26" t="s">
        <v>3</v>
      </c>
      <c r="AB107" s="22" t="s">
        <v>5</v>
      </c>
      <c r="AC107" s="22" t="s">
        <v>5</v>
      </c>
      <c r="AD107" s="23" t="s">
        <v>7</v>
      </c>
      <c r="AE107" s="24" t="s">
        <v>9</v>
      </c>
      <c r="AF107" s="22" t="s">
        <v>5</v>
      </c>
      <c r="AG107" s="22" t="s">
        <v>5</v>
      </c>
      <c r="AH107" s="22" t="s">
        <v>5</v>
      </c>
      <c r="AI107" s="8">
        <f t="shared" si="32"/>
        <v>17</v>
      </c>
      <c r="AJ107" s="8">
        <f t="shared" si="33"/>
        <v>6</v>
      </c>
      <c r="AK107" s="8">
        <f t="shared" si="34"/>
        <v>0</v>
      </c>
      <c r="AL107" s="62">
        <v>0</v>
      </c>
      <c r="AM107" s="33">
        <f t="shared" si="35"/>
        <v>17</v>
      </c>
      <c r="AN107" s="63">
        <f t="shared" si="36"/>
        <v>184</v>
      </c>
      <c r="AO107" s="63">
        <f t="shared" si="37"/>
        <v>3</v>
      </c>
      <c r="AP107" s="63">
        <f t="shared" si="38"/>
        <v>12</v>
      </c>
      <c r="AQ107" s="53">
        <f t="shared" si="39"/>
        <v>15.5</v>
      </c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</row>
    <row r="108" spans="1:56" ht="22" customHeight="1" x14ac:dyDescent="0.35">
      <c r="A108" s="8" t="s">
        <v>235</v>
      </c>
      <c r="B108" s="8" t="s">
        <v>236</v>
      </c>
      <c r="C108" s="8" t="s">
        <v>216</v>
      </c>
      <c r="D108" s="26" t="s">
        <v>3</v>
      </c>
      <c r="E108" s="26" t="s">
        <v>3</v>
      </c>
      <c r="F108" s="26" t="s">
        <v>3</v>
      </c>
      <c r="G108" s="26" t="s">
        <v>3</v>
      </c>
      <c r="H108" s="26" t="s">
        <v>3</v>
      </c>
      <c r="I108" s="23" t="s">
        <v>7</v>
      </c>
      <c r="J108" s="24" t="s">
        <v>9</v>
      </c>
      <c r="K108" s="26" t="s">
        <v>3</v>
      </c>
      <c r="L108" s="26" t="s">
        <v>3</v>
      </c>
      <c r="M108" s="26" t="s">
        <v>3</v>
      </c>
      <c r="N108" s="26" t="s">
        <v>3</v>
      </c>
      <c r="O108" s="22" t="s">
        <v>5</v>
      </c>
      <c r="P108" s="23" t="s">
        <v>7</v>
      </c>
      <c r="Q108" s="24" t="s">
        <v>9</v>
      </c>
      <c r="R108" s="22" t="s">
        <v>5</v>
      </c>
      <c r="S108" s="26" t="s">
        <v>3</v>
      </c>
      <c r="T108" s="26" t="s">
        <v>3</v>
      </c>
      <c r="U108" s="26" t="s">
        <v>3</v>
      </c>
      <c r="V108" s="22" t="s">
        <v>5</v>
      </c>
      <c r="W108" s="23" t="s">
        <v>7</v>
      </c>
      <c r="X108" s="24" t="s">
        <v>9</v>
      </c>
      <c r="Y108" s="26" t="s">
        <v>3</v>
      </c>
      <c r="Z108" s="26" t="s">
        <v>3</v>
      </c>
      <c r="AA108" s="22" t="s">
        <v>5</v>
      </c>
      <c r="AB108" s="22" t="s">
        <v>5</v>
      </c>
      <c r="AC108" s="22" t="s">
        <v>5</v>
      </c>
      <c r="AD108" s="23" t="s">
        <v>7</v>
      </c>
      <c r="AE108" s="24" t="s">
        <v>9</v>
      </c>
      <c r="AF108" s="22" t="s">
        <v>5</v>
      </c>
      <c r="AG108" s="22" t="s">
        <v>5</v>
      </c>
      <c r="AH108" s="22" t="s">
        <v>5</v>
      </c>
      <c r="AI108" s="8">
        <f t="shared" si="32"/>
        <v>14</v>
      </c>
      <c r="AJ108" s="8">
        <f t="shared" si="33"/>
        <v>9</v>
      </c>
      <c r="AK108" s="8">
        <f t="shared" si="34"/>
        <v>0</v>
      </c>
      <c r="AL108" s="62">
        <v>0</v>
      </c>
      <c r="AM108" s="33">
        <f t="shared" si="35"/>
        <v>14</v>
      </c>
      <c r="AN108" s="63">
        <f t="shared" si="36"/>
        <v>184</v>
      </c>
      <c r="AO108" s="63">
        <f t="shared" si="37"/>
        <v>1</v>
      </c>
      <c r="AP108" s="63">
        <f t="shared" si="38"/>
        <v>4</v>
      </c>
      <c r="AQ108" s="53">
        <f t="shared" si="39"/>
        <v>13.5</v>
      </c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</row>
    <row r="109" spans="1:56" ht="22" customHeight="1" x14ac:dyDescent="0.35">
      <c r="A109" s="8" t="s">
        <v>237</v>
      </c>
      <c r="B109" s="8" t="s">
        <v>238</v>
      </c>
      <c r="C109" s="8" t="s">
        <v>216</v>
      </c>
      <c r="D109" s="26" t="s">
        <v>3</v>
      </c>
      <c r="E109" s="26" t="s">
        <v>3</v>
      </c>
      <c r="F109" s="26" t="s">
        <v>3</v>
      </c>
      <c r="G109" s="26" t="s">
        <v>3</v>
      </c>
      <c r="H109" s="22" t="s">
        <v>5</v>
      </c>
      <c r="I109" s="23" t="s">
        <v>7</v>
      </c>
      <c r="J109" s="24" t="s">
        <v>9</v>
      </c>
      <c r="K109" s="22" t="s">
        <v>5</v>
      </c>
      <c r="L109" s="22" t="s">
        <v>5</v>
      </c>
      <c r="M109" s="26" t="s">
        <v>3</v>
      </c>
      <c r="N109" s="26" t="s">
        <v>3</v>
      </c>
      <c r="O109" s="22" t="s">
        <v>5</v>
      </c>
      <c r="P109" s="23" t="s">
        <v>7</v>
      </c>
      <c r="Q109" s="24" t="s">
        <v>9</v>
      </c>
      <c r="R109" s="26" t="s">
        <v>3</v>
      </c>
      <c r="S109" s="26" t="s">
        <v>3</v>
      </c>
      <c r="T109" s="26" t="s">
        <v>3</v>
      </c>
      <c r="U109" s="26" t="s">
        <v>3</v>
      </c>
      <c r="V109" s="22" t="s">
        <v>5</v>
      </c>
      <c r="W109" s="23" t="s">
        <v>7</v>
      </c>
      <c r="X109" s="24" t="s">
        <v>9</v>
      </c>
      <c r="Y109" s="26" t="s">
        <v>3</v>
      </c>
      <c r="Z109" s="26" t="s">
        <v>3</v>
      </c>
      <c r="AA109" s="26" t="s">
        <v>3</v>
      </c>
      <c r="AB109" s="22" t="s">
        <v>5</v>
      </c>
      <c r="AC109" s="22" t="s">
        <v>5</v>
      </c>
      <c r="AD109" s="23" t="s">
        <v>7</v>
      </c>
      <c r="AE109" s="24" t="s">
        <v>9</v>
      </c>
      <c r="AF109" s="22" t="s">
        <v>5</v>
      </c>
      <c r="AG109" s="22" t="s">
        <v>5</v>
      </c>
      <c r="AH109" s="22" t="s">
        <v>5</v>
      </c>
      <c r="AI109" s="8">
        <f t="shared" si="32"/>
        <v>13</v>
      </c>
      <c r="AJ109" s="8">
        <f t="shared" si="33"/>
        <v>10</v>
      </c>
      <c r="AK109" s="8">
        <f t="shared" si="34"/>
        <v>0</v>
      </c>
      <c r="AL109" s="62">
        <v>0</v>
      </c>
      <c r="AM109" s="33">
        <f t="shared" si="35"/>
        <v>13</v>
      </c>
      <c r="AN109" s="63">
        <f t="shared" si="36"/>
        <v>184</v>
      </c>
      <c r="AO109" s="63">
        <f t="shared" si="37"/>
        <v>0</v>
      </c>
      <c r="AP109" s="63">
        <f t="shared" si="38"/>
        <v>0</v>
      </c>
      <c r="AQ109" s="53">
        <f t="shared" si="39"/>
        <v>13</v>
      </c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</row>
    <row r="110" spans="1:56" ht="22" customHeight="1" x14ac:dyDescent="0.35">
      <c r="A110" s="8" t="s">
        <v>239</v>
      </c>
      <c r="B110" s="8" t="s">
        <v>240</v>
      </c>
      <c r="C110" s="8" t="s">
        <v>216</v>
      </c>
      <c r="D110" s="22" t="s">
        <v>5</v>
      </c>
      <c r="E110" s="22" t="s">
        <v>5</v>
      </c>
      <c r="F110" s="22" t="s">
        <v>5</v>
      </c>
      <c r="G110" s="26" t="s">
        <v>3</v>
      </c>
      <c r="H110" s="26" t="s">
        <v>3</v>
      </c>
      <c r="I110" s="23" t="s">
        <v>7</v>
      </c>
      <c r="J110" s="24" t="s">
        <v>9</v>
      </c>
      <c r="K110" s="22" t="s">
        <v>5</v>
      </c>
      <c r="L110" s="26" t="s">
        <v>3</v>
      </c>
      <c r="M110" s="22" t="s">
        <v>5</v>
      </c>
      <c r="N110" s="26" t="s">
        <v>3</v>
      </c>
      <c r="O110" s="26" t="s">
        <v>3</v>
      </c>
      <c r="P110" s="23" t="s">
        <v>7</v>
      </c>
      <c r="Q110" s="24" t="s">
        <v>9</v>
      </c>
      <c r="R110" s="26" t="s">
        <v>3</v>
      </c>
      <c r="S110" s="26" t="s">
        <v>3</v>
      </c>
      <c r="T110" s="26" t="s">
        <v>3</v>
      </c>
      <c r="U110" s="26" t="s">
        <v>3</v>
      </c>
      <c r="V110" s="26" t="s">
        <v>3</v>
      </c>
      <c r="W110" s="23" t="s">
        <v>7</v>
      </c>
      <c r="X110" s="24" t="s">
        <v>9</v>
      </c>
      <c r="Y110" s="26" t="s">
        <v>3</v>
      </c>
      <c r="Z110" s="26" t="s">
        <v>3</v>
      </c>
      <c r="AA110" s="26" t="s">
        <v>3</v>
      </c>
      <c r="AB110" s="22" t="s">
        <v>5</v>
      </c>
      <c r="AC110" s="22" t="s">
        <v>5</v>
      </c>
      <c r="AD110" s="23" t="s">
        <v>7</v>
      </c>
      <c r="AE110" s="24" t="s">
        <v>9</v>
      </c>
      <c r="AF110" s="26" t="s">
        <v>3</v>
      </c>
      <c r="AG110" s="22" t="s">
        <v>5</v>
      </c>
      <c r="AH110" s="22" t="s">
        <v>5</v>
      </c>
      <c r="AI110" s="8">
        <f t="shared" si="32"/>
        <v>14</v>
      </c>
      <c r="AJ110" s="8">
        <f t="shared" si="33"/>
        <v>9</v>
      </c>
      <c r="AK110" s="8">
        <f t="shared" si="34"/>
        <v>0</v>
      </c>
      <c r="AL110" s="62">
        <v>0</v>
      </c>
      <c r="AM110" s="33">
        <f t="shared" si="35"/>
        <v>14</v>
      </c>
      <c r="AN110" s="63">
        <f t="shared" si="36"/>
        <v>184</v>
      </c>
      <c r="AO110" s="63">
        <f t="shared" si="37"/>
        <v>3</v>
      </c>
      <c r="AP110" s="63">
        <f t="shared" si="38"/>
        <v>12</v>
      </c>
      <c r="AQ110" s="53">
        <f t="shared" si="39"/>
        <v>12.5</v>
      </c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</row>
    <row r="111" spans="1:56" ht="22" customHeight="1" x14ac:dyDescent="0.35">
      <c r="A111" s="8" t="s">
        <v>241</v>
      </c>
      <c r="B111" s="8" t="s">
        <v>242</v>
      </c>
      <c r="C111" s="8" t="s">
        <v>216</v>
      </c>
      <c r="D111" s="26" t="s">
        <v>3</v>
      </c>
      <c r="E111" s="26" t="s">
        <v>3</v>
      </c>
      <c r="F111" s="26" t="s">
        <v>3</v>
      </c>
      <c r="G111" s="26" t="s">
        <v>3</v>
      </c>
      <c r="H111" s="26" t="s">
        <v>3</v>
      </c>
      <c r="I111" s="23" t="s">
        <v>7</v>
      </c>
      <c r="J111" s="24" t="s">
        <v>9</v>
      </c>
      <c r="K111" s="26" t="s">
        <v>3</v>
      </c>
      <c r="L111" s="26" t="s">
        <v>3</v>
      </c>
      <c r="M111" s="26" t="s">
        <v>3</v>
      </c>
      <c r="N111" s="26" t="s">
        <v>3</v>
      </c>
      <c r="O111" s="26" t="s">
        <v>3</v>
      </c>
      <c r="P111" s="23" t="s">
        <v>7</v>
      </c>
      <c r="Q111" s="24" t="s">
        <v>9</v>
      </c>
      <c r="R111" s="26" t="s">
        <v>3</v>
      </c>
      <c r="S111" s="26" t="s">
        <v>3</v>
      </c>
      <c r="T111" s="26" t="s">
        <v>3</v>
      </c>
      <c r="U111" s="26" t="s">
        <v>3</v>
      </c>
      <c r="V111" s="26" t="s">
        <v>3</v>
      </c>
      <c r="W111" s="23" t="s">
        <v>7</v>
      </c>
      <c r="X111" s="24" t="s">
        <v>9</v>
      </c>
      <c r="Y111" s="26" t="s">
        <v>3</v>
      </c>
      <c r="Z111" s="26" t="s">
        <v>3</v>
      </c>
      <c r="AA111" s="26" t="s">
        <v>3</v>
      </c>
      <c r="AB111" s="22" t="s">
        <v>5</v>
      </c>
      <c r="AC111" s="22" t="s">
        <v>5</v>
      </c>
      <c r="AD111" s="23" t="s">
        <v>7</v>
      </c>
      <c r="AE111" s="24" t="s">
        <v>9</v>
      </c>
      <c r="AF111" s="22" t="s">
        <v>5</v>
      </c>
      <c r="AG111" s="22" t="s">
        <v>5</v>
      </c>
      <c r="AH111" s="22" t="s">
        <v>5</v>
      </c>
      <c r="AI111" s="8">
        <f t="shared" si="32"/>
        <v>18</v>
      </c>
      <c r="AJ111" s="8">
        <f t="shared" si="33"/>
        <v>5</v>
      </c>
      <c r="AK111" s="8">
        <f t="shared" si="34"/>
        <v>0</v>
      </c>
      <c r="AL111" s="62">
        <v>0</v>
      </c>
      <c r="AM111" s="33">
        <f t="shared" si="35"/>
        <v>18</v>
      </c>
      <c r="AN111" s="63">
        <f t="shared" si="36"/>
        <v>184</v>
      </c>
      <c r="AO111" s="63">
        <f t="shared" si="37"/>
        <v>3</v>
      </c>
      <c r="AP111" s="63">
        <f t="shared" si="38"/>
        <v>12</v>
      </c>
      <c r="AQ111" s="53">
        <f t="shared" si="39"/>
        <v>16.5</v>
      </c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</row>
    <row r="112" spans="1:56" x14ac:dyDescent="0.35"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</row>
    <row r="113" spans="1:56" ht="25" customHeight="1" x14ac:dyDescent="0.35">
      <c r="A113" s="74" t="s">
        <v>243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</row>
    <row r="114" spans="1:56" ht="22" customHeight="1" x14ac:dyDescent="0.35">
      <c r="A114" s="8" t="s">
        <v>244</v>
      </c>
      <c r="B114" s="8" t="s">
        <v>245</v>
      </c>
      <c r="C114" s="8" t="s">
        <v>354</v>
      </c>
      <c r="D114" s="22" t="s">
        <v>5</v>
      </c>
      <c r="E114" s="22" t="s">
        <v>5</v>
      </c>
      <c r="F114" s="22" t="s">
        <v>5</v>
      </c>
      <c r="G114" s="22" t="s">
        <v>5</v>
      </c>
      <c r="H114" s="22" t="s">
        <v>5</v>
      </c>
      <c r="I114" s="23" t="s">
        <v>7</v>
      </c>
      <c r="J114" s="24" t="s">
        <v>9</v>
      </c>
      <c r="K114" s="22" t="s">
        <v>5</v>
      </c>
      <c r="L114" s="22" t="s">
        <v>5</v>
      </c>
      <c r="M114" s="22" t="s">
        <v>5</v>
      </c>
      <c r="N114" s="22" t="s">
        <v>5</v>
      </c>
      <c r="O114" s="22" t="s">
        <v>5</v>
      </c>
      <c r="P114" s="23" t="s">
        <v>7</v>
      </c>
      <c r="Q114" s="24" t="s">
        <v>9</v>
      </c>
      <c r="R114" s="22" t="s">
        <v>5</v>
      </c>
      <c r="S114" s="22" t="s">
        <v>5</v>
      </c>
      <c r="T114" s="22" t="s">
        <v>5</v>
      </c>
      <c r="U114" s="22" t="s">
        <v>5</v>
      </c>
      <c r="V114" s="22" t="s">
        <v>5</v>
      </c>
      <c r="W114" s="23" t="s">
        <v>7</v>
      </c>
      <c r="X114" s="24" t="s">
        <v>9</v>
      </c>
      <c r="Y114" s="26" t="s">
        <v>3</v>
      </c>
      <c r="Z114" s="26" t="s">
        <v>3</v>
      </c>
      <c r="AA114" s="26" t="s">
        <v>3</v>
      </c>
      <c r="AB114" s="26" t="s">
        <v>3</v>
      </c>
      <c r="AC114" s="26" t="s">
        <v>3</v>
      </c>
      <c r="AD114" s="27" t="s">
        <v>7</v>
      </c>
      <c r="AE114" s="28" t="s">
        <v>11</v>
      </c>
      <c r="AF114" s="26" t="s">
        <v>3</v>
      </c>
      <c r="AG114" s="26" t="s">
        <v>3</v>
      </c>
      <c r="AH114" s="26" t="s">
        <v>3</v>
      </c>
      <c r="AI114" s="8">
        <f>COUNTIF(D114:AH114,"ON")</f>
        <v>8</v>
      </c>
      <c r="AJ114" s="25">
        <f>COUNTIF(D114:AH114,"OFF")</f>
        <v>15</v>
      </c>
      <c r="AK114" s="29">
        <f>COUNTIF(D114:AH114,"OT")</f>
        <v>1</v>
      </c>
      <c r="AL114" s="62">
        <v>1</v>
      </c>
      <c r="AM114" s="33">
        <f>AI114+AK114+AL114*0.5</f>
        <v>9.5</v>
      </c>
      <c r="AN114" s="63">
        <f>NETWORKDAYS(DATE(2025,12,1),EOMONTH(DATE(2025,12,1),0))*8</f>
        <v>184</v>
      </c>
      <c r="AO114" s="63">
        <f>MAX(0,COUNTIF(H114,"ON")+COUNTIF(O114,"ON")+COUNTIF(V114,"ON")+COUNTIF(AC114,"ON")-AL114)</f>
        <v>0</v>
      </c>
      <c r="AP114" s="63">
        <f>AO114*$AP$2</f>
        <v>0</v>
      </c>
      <c r="AQ114" s="53">
        <f>AM114-AP114/8</f>
        <v>9.5</v>
      </c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</row>
    <row r="115" spans="1:56" ht="22" customHeight="1" x14ac:dyDescent="0.35">
      <c r="A115" s="8" t="s">
        <v>247</v>
      </c>
      <c r="B115" s="8" t="s">
        <v>248</v>
      </c>
      <c r="C115" s="8" t="s">
        <v>354</v>
      </c>
      <c r="D115" s="22" t="s">
        <v>5</v>
      </c>
      <c r="E115" s="22" t="s">
        <v>5</v>
      </c>
      <c r="F115" s="22" t="s">
        <v>5</v>
      </c>
      <c r="G115" s="22" t="s">
        <v>5</v>
      </c>
      <c r="H115" s="22" t="s">
        <v>5</v>
      </c>
      <c r="I115" s="23" t="s">
        <v>7</v>
      </c>
      <c r="J115" s="24" t="s">
        <v>9</v>
      </c>
      <c r="K115" s="22" t="s">
        <v>5</v>
      </c>
      <c r="L115" s="22" t="s">
        <v>5</v>
      </c>
      <c r="M115" s="22" t="s">
        <v>5</v>
      </c>
      <c r="N115" s="22" t="s">
        <v>5</v>
      </c>
      <c r="O115" s="22" t="s">
        <v>5</v>
      </c>
      <c r="P115" s="23" t="s">
        <v>7</v>
      </c>
      <c r="Q115" s="24" t="s">
        <v>9</v>
      </c>
      <c r="R115" s="22" t="s">
        <v>5</v>
      </c>
      <c r="S115" s="22" t="s">
        <v>5</v>
      </c>
      <c r="T115" s="22" t="s">
        <v>5</v>
      </c>
      <c r="U115" s="22" t="s">
        <v>5</v>
      </c>
      <c r="V115" s="22" t="s">
        <v>5</v>
      </c>
      <c r="W115" s="23" t="s">
        <v>7</v>
      </c>
      <c r="X115" s="24" t="s">
        <v>9</v>
      </c>
      <c r="Y115" s="26" t="s">
        <v>3</v>
      </c>
      <c r="Z115" s="26" t="s">
        <v>3</v>
      </c>
      <c r="AA115" s="26" t="s">
        <v>3</v>
      </c>
      <c r="AB115" s="26" t="s">
        <v>3</v>
      </c>
      <c r="AC115" s="26" t="s">
        <v>3</v>
      </c>
      <c r="AD115" s="27" t="s">
        <v>7</v>
      </c>
      <c r="AE115" s="28" t="s">
        <v>11</v>
      </c>
      <c r="AF115" s="26" t="s">
        <v>3</v>
      </c>
      <c r="AG115" s="26" t="s">
        <v>3</v>
      </c>
      <c r="AH115" s="26" t="s">
        <v>3</v>
      </c>
      <c r="AI115" s="8">
        <f>COUNTIF(D115:AH115,"ON")</f>
        <v>8</v>
      </c>
      <c r="AJ115" s="25">
        <f>COUNTIF(D115:AH115,"OFF")</f>
        <v>15</v>
      </c>
      <c r="AK115" s="29">
        <f>COUNTIF(D115:AH115,"OT")</f>
        <v>1</v>
      </c>
      <c r="AL115" s="62">
        <v>1</v>
      </c>
      <c r="AM115" s="33">
        <f>AI115+AK115+AL115*0.5</f>
        <v>9.5</v>
      </c>
      <c r="AN115" s="63">
        <f>NETWORKDAYS(DATE(2025,12,1),EOMONTH(DATE(2025,12,1),0))*8</f>
        <v>184</v>
      </c>
      <c r="AO115" s="63">
        <f>MAX(0,COUNTIF(H115,"ON")+COUNTIF(O115,"ON")+COUNTIF(V115,"ON")+COUNTIF(AC115,"ON")-AL115)</f>
        <v>0</v>
      </c>
      <c r="AP115" s="63">
        <f>AO115*$AP$2</f>
        <v>0</v>
      </c>
      <c r="AQ115" s="53">
        <f>AM115-AP115/8</f>
        <v>9.5</v>
      </c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</row>
    <row r="116" spans="1:56" ht="22" customHeight="1" x14ac:dyDescent="0.35">
      <c r="A116" s="8" t="s">
        <v>249</v>
      </c>
      <c r="B116" s="8" t="s">
        <v>250</v>
      </c>
      <c r="C116" s="8" t="s">
        <v>354</v>
      </c>
      <c r="D116" s="26" t="s">
        <v>3</v>
      </c>
      <c r="E116" s="26" t="s">
        <v>3</v>
      </c>
      <c r="F116" s="26" t="s">
        <v>3</v>
      </c>
      <c r="G116" s="26" t="s">
        <v>3</v>
      </c>
      <c r="H116" s="26" t="s">
        <v>3</v>
      </c>
      <c r="I116" s="27" t="s">
        <v>7</v>
      </c>
      <c r="J116" s="28" t="s">
        <v>11</v>
      </c>
      <c r="K116" s="26" t="s">
        <v>3</v>
      </c>
      <c r="L116" s="26" t="s">
        <v>3</v>
      </c>
      <c r="M116" s="26" t="s">
        <v>3</v>
      </c>
      <c r="N116" s="26" t="s">
        <v>3</v>
      </c>
      <c r="O116" s="26" t="s">
        <v>3</v>
      </c>
      <c r="P116" s="27" t="s">
        <v>7</v>
      </c>
      <c r="Q116" s="28" t="s">
        <v>11</v>
      </c>
      <c r="R116" s="26" t="s">
        <v>3</v>
      </c>
      <c r="S116" s="26" t="s">
        <v>3</v>
      </c>
      <c r="T116" s="26" t="s">
        <v>3</v>
      </c>
      <c r="U116" s="26" t="s">
        <v>3</v>
      </c>
      <c r="V116" s="26" t="s">
        <v>3</v>
      </c>
      <c r="W116" s="27" t="s">
        <v>7</v>
      </c>
      <c r="X116" s="28" t="s">
        <v>11</v>
      </c>
      <c r="Y116" s="22" t="s">
        <v>5</v>
      </c>
      <c r="Z116" s="22" t="s">
        <v>5</v>
      </c>
      <c r="AA116" s="22" t="s">
        <v>5</v>
      </c>
      <c r="AB116" s="22" t="s">
        <v>5</v>
      </c>
      <c r="AC116" s="22" t="s">
        <v>5</v>
      </c>
      <c r="AD116" s="23" t="s">
        <v>7</v>
      </c>
      <c r="AE116" s="24" t="s">
        <v>9</v>
      </c>
      <c r="AF116" s="22" t="s">
        <v>5</v>
      </c>
      <c r="AG116" s="22" t="s">
        <v>5</v>
      </c>
      <c r="AH116" s="22" t="s">
        <v>5</v>
      </c>
      <c r="AI116" s="8">
        <f>COUNTIF(D116:AH116,"ON")</f>
        <v>15</v>
      </c>
      <c r="AJ116" s="8">
        <f>COUNTIF(D116:AH116,"OFF")</f>
        <v>8</v>
      </c>
      <c r="AK116" s="29">
        <f>COUNTIF(D116:AH116,"OT")</f>
        <v>3</v>
      </c>
      <c r="AL116" s="62">
        <v>3</v>
      </c>
      <c r="AM116" s="33">
        <f>AI116+AK116+AL116*0.5</f>
        <v>19.5</v>
      </c>
      <c r="AN116" s="63">
        <f>NETWORKDAYS(DATE(2025,12,1),EOMONTH(DATE(2025,12,1),0))*8</f>
        <v>184</v>
      </c>
      <c r="AO116" s="63">
        <f>MAX(0,COUNTIF(H116,"ON")+COUNTIF(O116,"ON")+COUNTIF(V116,"ON")+COUNTIF(AC116,"ON")-AL116)</f>
        <v>0</v>
      </c>
      <c r="AP116" s="63">
        <f>AO116*$AP$2</f>
        <v>0</v>
      </c>
      <c r="AQ116" s="53">
        <f>AM116-AP116/8</f>
        <v>19.5</v>
      </c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</row>
    <row r="117" spans="1:56" x14ac:dyDescent="0.35"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</row>
    <row r="118" spans="1:56" ht="25" customHeight="1" x14ac:dyDescent="0.35">
      <c r="A118" s="74" t="s">
        <v>251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</row>
    <row r="119" spans="1:56" ht="22" customHeight="1" x14ac:dyDescent="0.35">
      <c r="A119" s="8" t="s">
        <v>252</v>
      </c>
      <c r="B119" s="8" t="s">
        <v>253</v>
      </c>
      <c r="C119" s="8" t="s">
        <v>254</v>
      </c>
      <c r="D119" s="22" t="s">
        <v>5</v>
      </c>
      <c r="E119" s="22" t="s">
        <v>5</v>
      </c>
      <c r="F119" s="22" t="s">
        <v>5</v>
      </c>
      <c r="G119" s="22" t="s">
        <v>5</v>
      </c>
      <c r="H119" s="22" t="s">
        <v>5</v>
      </c>
      <c r="I119" s="23" t="s">
        <v>7</v>
      </c>
      <c r="J119" s="24" t="s">
        <v>9</v>
      </c>
      <c r="K119" s="26" t="s">
        <v>3</v>
      </c>
      <c r="L119" s="26" t="s">
        <v>3</v>
      </c>
      <c r="M119" s="26" t="s">
        <v>3</v>
      </c>
      <c r="N119" s="26" t="s">
        <v>3</v>
      </c>
      <c r="O119" s="26" t="s">
        <v>3</v>
      </c>
      <c r="P119" s="27" t="s">
        <v>7</v>
      </c>
      <c r="Q119" s="28" t="s">
        <v>11</v>
      </c>
      <c r="R119" s="22" t="s">
        <v>5</v>
      </c>
      <c r="S119" s="22" t="s">
        <v>5</v>
      </c>
      <c r="T119" s="22" t="s">
        <v>5</v>
      </c>
      <c r="U119" s="22" t="s">
        <v>5</v>
      </c>
      <c r="V119" s="22" t="s">
        <v>5</v>
      </c>
      <c r="W119" s="23" t="s">
        <v>7</v>
      </c>
      <c r="X119" s="24" t="s">
        <v>9</v>
      </c>
      <c r="Y119" s="22" t="s">
        <v>5</v>
      </c>
      <c r="Z119" s="22" t="s">
        <v>5</v>
      </c>
      <c r="AA119" s="22" t="s">
        <v>5</v>
      </c>
      <c r="AB119" s="22" t="s">
        <v>5</v>
      </c>
      <c r="AC119" s="22" t="s">
        <v>5</v>
      </c>
      <c r="AD119" s="23" t="s">
        <v>7</v>
      </c>
      <c r="AE119" s="24" t="s">
        <v>9</v>
      </c>
      <c r="AF119" s="22" t="s">
        <v>5</v>
      </c>
      <c r="AG119" s="22" t="s">
        <v>5</v>
      </c>
      <c r="AH119" s="22" t="s">
        <v>5</v>
      </c>
      <c r="AI119" s="8">
        <f t="shared" ref="AI119:AI129" si="40">COUNTIF(D119:AH119,"ON")</f>
        <v>5</v>
      </c>
      <c r="AJ119" s="25">
        <f t="shared" ref="AJ119:AJ129" si="41">COUNTIF(D119:AH119,"OFF")</f>
        <v>18</v>
      </c>
      <c r="AK119" s="29">
        <f t="shared" ref="AK119:AK129" si="42">COUNTIF(D119:AH119,"OT")</f>
        <v>1</v>
      </c>
      <c r="AL119" s="62">
        <v>1</v>
      </c>
      <c r="AM119" s="33">
        <f t="shared" ref="AM119:AM129" si="43">AI119+AK119+AL119*0.5</f>
        <v>6.5</v>
      </c>
      <c r="AN119" s="63">
        <f t="shared" ref="AN119:AN129" si="44">NETWORKDAYS(DATE(2025,12,1),EOMONTH(DATE(2025,12,1),0))*8</f>
        <v>184</v>
      </c>
      <c r="AO119" s="63">
        <f t="shared" ref="AO119:AO129" si="45">MAX(0,COUNTIF(H119,"ON")+COUNTIF(O119,"ON")+COUNTIF(V119,"ON")+COUNTIF(AC119,"ON")-AL119)</f>
        <v>0</v>
      </c>
      <c r="AP119" s="63">
        <f t="shared" ref="AP119:AP129" si="46">AO119*$AP$2</f>
        <v>0</v>
      </c>
      <c r="AQ119" s="53">
        <f t="shared" ref="AQ119:AQ129" si="47">AM119-AP119/8</f>
        <v>6.5</v>
      </c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</row>
    <row r="120" spans="1:56" ht="22" customHeight="1" x14ac:dyDescent="0.35">
      <c r="A120" s="8" t="s">
        <v>255</v>
      </c>
      <c r="B120" s="8" t="s">
        <v>256</v>
      </c>
      <c r="C120" s="8" t="s">
        <v>254</v>
      </c>
      <c r="D120" s="26" t="s">
        <v>3</v>
      </c>
      <c r="E120" s="26" t="s">
        <v>3</v>
      </c>
      <c r="F120" s="26" t="s">
        <v>3</v>
      </c>
      <c r="G120" s="26" t="s">
        <v>3</v>
      </c>
      <c r="H120" s="26" t="s">
        <v>3</v>
      </c>
      <c r="I120" s="27" t="s">
        <v>7</v>
      </c>
      <c r="J120" s="28" t="s">
        <v>11</v>
      </c>
      <c r="K120" s="26" t="s">
        <v>3</v>
      </c>
      <c r="L120" s="26" t="s">
        <v>3</v>
      </c>
      <c r="M120" s="26" t="s">
        <v>3</v>
      </c>
      <c r="N120" s="22" t="s">
        <v>5</v>
      </c>
      <c r="O120" s="26" t="s">
        <v>3</v>
      </c>
      <c r="P120" s="27" t="s">
        <v>7</v>
      </c>
      <c r="Q120" s="24" t="s">
        <v>9</v>
      </c>
      <c r="R120" s="22" t="s">
        <v>5</v>
      </c>
      <c r="S120" s="22" t="s">
        <v>5</v>
      </c>
      <c r="T120" s="22" t="s">
        <v>5</v>
      </c>
      <c r="U120" s="22" t="s">
        <v>5</v>
      </c>
      <c r="V120" s="22" t="s">
        <v>5</v>
      </c>
      <c r="W120" s="23" t="s">
        <v>7</v>
      </c>
      <c r="X120" s="24" t="s">
        <v>9</v>
      </c>
      <c r="Y120" s="22" t="s">
        <v>5</v>
      </c>
      <c r="Z120" s="22" t="s">
        <v>5</v>
      </c>
      <c r="AA120" s="22" t="s">
        <v>5</v>
      </c>
      <c r="AB120" s="22" t="s">
        <v>5</v>
      </c>
      <c r="AC120" s="22" t="s">
        <v>5</v>
      </c>
      <c r="AD120" s="23" t="s">
        <v>7</v>
      </c>
      <c r="AE120" s="24" t="s">
        <v>9</v>
      </c>
      <c r="AF120" s="26" t="s">
        <v>3</v>
      </c>
      <c r="AG120" s="26" t="s">
        <v>3</v>
      </c>
      <c r="AH120" s="22" t="s">
        <v>5</v>
      </c>
      <c r="AI120" s="8">
        <f t="shared" si="40"/>
        <v>11</v>
      </c>
      <c r="AJ120" s="25">
        <f t="shared" si="41"/>
        <v>12</v>
      </c>
      <c r="AK120" s="29">
        <f t="shared" si="42"/>
        <v>1</v>
      </c>
      <c r="AL120" s="62">
        <v>2</v>
      </c>
      <c r="AM120" s="33">
        <f t="shared" si="43"/>
        <v>13</v>
      </c>
      <c r="AN120" s="63">
        <f t="shared" si="44"/>
        <v>184</v>
      </c>
      <c r="AO120" s="63">
        <f t="shared" si="45"/>
        <v>0</v>
      </c>
      <c r="AP120" s="63">
        <f t="shared" si="46"/>
        <v>0</v>
      </c>
      <c r="AQ120" s="53">
        <f t="shared" si="47"/>
        <v>13</v>
      </c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</row>
    <row r="121" spans="1:56" ht="22" customHeight="1" x14ac:dyDescent="0.35">
      <c r="A121" s="8" t="s">
        <v>257</v>
      </c>
      <c r="B121" s="8" t="s">
        <v>258</v>
      </c>
      <c r="C121" s="8" t="s">
        <v>254</v>
      </c>
      <c r="D121" s="26" t="s">
        <v>3</v>
      </c>
      <c r="E121" s="26" t="s">
        <v>3</v>
      </c>
      <c r="F121" s="26" t="s">
        <v>3</v>
      </c>
      <c r="G121" s="26" t="s">
        <v>3</v>
      </c>
      <c r="H121" s="26" t="s">
        <v>3</v>
      </c>
      <c r="I121" s="27" t="s">
        <v>7</v>
      </c>
      <c r="J121" s="28" t="s">
        <v>11</v>
      </c>
      <c r="K121" s="22" t="s">
        <v>5</v>
      </c>
      <c r="L121" s="22" t="s">
        <v>5</v>
      </c>
      <c r="M121" s="22" t="s">
        <v>5</v>
      </c>
      <c r="N121" s="22" t="s">
        <v>5</v>
      </c>
      <c r="O121" s="22" t="s">
        <v>5</v>
      </c>
      <c r="P121" s="23" t="s">
        <v>7</v>
      </c>
      <c r="Q121" s="24" t="s">
        <v>9</v>
      </c>
      <c r="R121" s="22" t="s">
        <v>5</v>
      </c>
      <c r="S121" s="22" t="s">
        <v>5</v>
      </c>
      <c r="T121" s="22" t="s">
        <v>5</v>
      </c>
      <c r="U121" s="22" t="s">
        <v>5</v>
      </c>
      <c r="V121" s="22" t="s">
        <v>5</v>
      </c>
      <c r="W121" s="23" t="s">
        <v>7</v>
      </c>
      <c r="X121" s="24" t="s">
        <v>9</v>
      </c>
      <c r="Y121" s="22" t="s">
        <v>5</v>
      </c>
      <c r="Z121" s="22" t="s">
        <v>5</v>
      </c>
      <c r="AA121" s="22" t="s">
        <v>5</v>
      </c>
      <c r="AB121" s="22" t="s">
        <v>5</v>
      </c>
      <c r="AC121" s="22" t="s">
        <v>5</v>
      </c>
      <c r="AD121" s="23" t="s">
        <v>7</v>
      </c>
      <c r="AE121" s="24" t="s">
        <v>9</v>
      </c>
      <c r="AF121" s="22" t="s">
        <v>5</v>
      </c>
      <c r="AG121" s="22" t="s">
        <v>5</v>
      </c>
      <c r="AH121" s="22" t="s">
        <v>5</v>
      </c>
      <c r="AI121" s="8">
        <f t="shared" si="40"/>
        <v>5</v>
      </c>
      <c r="AJ121" s="25">
        <f t="shared" si="41"/>
        <v>18</v>
      </c>
      <c r="AK121" s="29">
        <f t="shared" si="42"/>
        <v>1</v>
      </c>
      <c r="AL121" s="62">
        <v>1</v>
      </c>
      <c r="AM121" s="33">
        <f t="shared" si="43"/>
        <v>6.5</v>
      </c>
      <c r="AN121" s="63">
        <f t="shared" si="44"/>
        <v>184</v>
      </c>
      <c r="AO121" s="63">
        <f t="shared" si="45"/>
        <v>0</v>
      </c>
      <c r="AP121" s="63">
        <f t="shared" si="46"/>
        <v>0</v>
      </c>
      <c r="AQ121" s="53">
        <f t="shared" si="47"/>
        <v>6.5</v>
      </c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</row>
    <row r="122" spans="1:56" ht="22" customHeight="1" x14ac:dyDescent="0.35">
      <c r="A122" s="8" t="s">
        <v>259</v>
      </c>
      <c r="B122" s="8" t="s">
        <v>260</v>
      </c>
      <c r="C122" s="8" t="s">
        <v>254</v>
      </c>
      <c r="D122" s="26" t="s">
        <v>3</v>
      </c>
      <c r="E122" s="26" t="s">
        <v>3</v>
      </c>
      <c r="F122" s="26" t="s">
        <v>3</v>
      </c>
      <c r="G122" s="26" t="s">
        <v>3</v>
      </c>
      <c r="H122" s="26" t="s">
        <v>3</v>
      </c>
      <c r="I122" s="27" t="s">
        <v>7</v>
      </c>
      <c r="J122" s="28" t="s">
        <v>11</v>
      </c>
      <c r="K122" s="22" t="s">
        <v>5</v>
      </c>
      <c r="L122" s="26" t="s">
        <v>3</v>
      </c>
      <c r="M122" s="22" t="s">
        <v>5</v>
      </c>
      <c r="N122" s="22" t="s">
        <v>5</v>
      </c>
      <c r="O122" s="22" t="s">
        <v>5</v>
      </c>
      <c r="P122" s="23" t="s">
        <v>7</v>
      </c>
      <c r="Q122" s="28" t="s">
        <v>11</v>
      </c>
      <c r="R122" s="26" t="s">
        <v>3</v>
      </c>
      <c r="S122" s="26" t="s">
        <v>3</v>
      </c>
      <c r="T122" s="26" t="s">
        <v>3</v>
      </c>
      <c r="U122" s="26" t="s">
        <v>3</v>
      </c>
      <c r="V122" s="26" t="s">
        <v>3</v>
      </c>
      <c r="W122" s="27" t="s">
        <v>7</v>
      </c>
      <c r="X122" s="28" t="s">
        <v>11</v>
      </c>
      <c r="Y122" s="26" t="s">
        <v>3</v>
      </c>
      <c r="Z122" s="26" t="s">
        <v>3</v>
      </c>
      <c r="AA122" s="26" t="s">
        <v>3</v>
      </c>
      <c r="AB122" s="22" t="s">
        <v>5</v>
      </c>
      <c r="AC122" s="22" t="s">
        <v>5</v>
      </c>
      <c r="AD122" s="23" t="s">
        <v>7</v>
      </c>
      <c r="AE122" s="24" t="s">
        <v>9</v>
      </c>
      <c r="AF122" s="22" t="s">
        <v>5</v>
      </c>
      <c r="AG122" s="22" t="s">
        <v>5</v>
      </c>
      <c r="AH122" s="22" t="s">
        <v>5</v>
      </c>
      <c r="AI122" s="8">
        <f t="shared" si="40"/>
        <v>14</v>
      </c>
      <c r="AJ122" s="8">
        <f t="shared" si="41"/>
        <v>9</v>
      </c>
      <c r="AK122" s="29">
        <f t="shared" si="42"/>
        <v>3</v>
      </c>
      <c r="AL122" s="62">
        <v>2</v>
      </c>
      <c r="AM122" s="33">
        <f t="shared" si="43"/>
        <v>18</v>
      </c>
      <c r="AN122" s="63">
        <f t="shared" si="44"/>
        <v>184</v>
      </c>
      <c r="AO122" s="63">
        <f t="shared" si="45"/>
        <v>0</v>
      </c>
      <c r="AP122" s="63">
        <f t="shared" si="46"/>
        <v>0</v>
      </c>
      <c r="AQ122" s="53">
        <f t="shared" si="47"/>
        <v>18</v>
      </c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</row>
    <row r="123" spans="1:56" ht="22" customHeight="1" x14ac:dyDescent="0.35">
      <c r="A123" s="8" t="s">
        <v>261</v>
      </c>
      <c r="B123" s="8" t="s">
        <v>262</v>
      </c>
      <c r="C123" s="8" t="s">
        <v>254</v>
      </c>
      <c r="D123" s="26" t="s">
        <v>3</v>
      </c>
      <c r="E123" s="26" t="s">
        <v>3</v>
      </c>
      <c r="F123" s="26" t="s">
        <v>3</v>
      </c>
      <c r="G123" s="26" t="s">
        <v>3</v>
      </c>
      <c r="H123" s="26" t="s">
        <v>3</v>
      </c>
      <c r="I123" s="27" t="s">
        <v>7</v>
      </c>
      <c r="J123" s="28" t="s">
        <v>11</v>
      </c>
      <c r="K123" s="26" t="s">
        <v>3</v>
      </c>
      <c r="L123" s="26" t="s">
        <v>3</v>
      </c>
      <c r="M123" s="26" t="s">
        <v>3</v>
      </c>
      <c r="N123" s="26" t="s">
        <v>3</v>
      </c>
      <c r="O123" s="26" t="s">
        <v>3</v>
      </c>
      <c r="P123" s="27" t="s">
        <v>7</v>
      </c>
      <c r="Q123" s="28" t="s">
        <v>11</v>
      </c>
      <c r="R123" s="26" t="s">
        <v>3</v>
      </c>
      <c r="S123" s="26" t="s">
        <v>3</v>
      </c>
      <c r="T123" s="26" t="s">
        <v>3</v>
      </c>
      <c r="U123" s="26" t="s">
        <v>3</v>
      </c>
      <c r="V123" s="22" t="s">
        <v>5</v>
      </c>
      <c r="W123" s="23" t="s">
        <v>7</v>
      </c>
      <c r="X123" s="28" t="s">
        <v>11</v>
      </c>
      <c r="Y123" s="26" t="s">
        <v>3</v>
      </c>
      <c r="Z123" s="26" t="s">
        <v>3</v>
      </c>
      <c r="AA123" s="26" t="s">
        <v>3</v>
      </c>
      <c r="AB123" s="26" t="s">
        <v>3</v>
      </c>
      <c r="AC123" s="26" t="s">
        <v>3</v>
      </c>
      <c r="AD123" s="27" t="s">
        <v>7</v>
      </c>
      <c r="AE123" s="28" t="s">
        <v>11</v>
      </c>
      <c r="AF123" s="26" t="s">
        <v>3</v>
      </c>
      <c r="AG123" s="26" t="s">
        <v>3</v>
      </c>
      <c r="AH123" s="26" t="s">
        <v>3</v>
      </c>
      <c r="AI123" s="8">
        <f t="shared" si="40"/>
        <v>22</v>
      </c>
      <c r="AJ123" s="8">
        <f t="shared" si="41"/>
        <v>1</v>
      </c>
      <c r="AK123" s="29">
        <f t="shared" si="42"/>
        <v>4</v>
      </c>
      <c r="AL123" s="62">
        <v>3</v>
      </c>
      <c r="AM123" s="33">
        <f t="shared" si="43"/>
        <v>27.5</v>
      </c>
      <c r="AN123" s="63">
        <f t="shared" si="44"/>
        <v>184</v>
      </c>
      <c r="AO123" s="63">
        <f t="shared" si="45"/>
        <v>0</v>
      </c>
      <c r="AP123" s="63">
        <f t="shared" si="46"/>
        <v>0</v>
      </c>
      <c r="AQ123" s="53">
        <f t="shared" si="47"/>
        <v>27.5</v>
      </c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</row>
    <row r="124" spans="1:56" ht="22" customHeight="1" x14ac:dyDescent="0.35">
      <c r="A124" s="8" t="s">
        <v>263</v>
      </c>
      <c r="B124" s="8" t="s">
        <v>264</v>
      </c>
      <c r="C124" s="8" t="s">
        <v>254</v>
      </c>
      <c r="D124" s="26" t="s">
        <v>3</v>
      </c>
      <c r="E124" s="26" t="s">
        <v>3</v>
      </c>
      <c r="F124" s="26" t="s">
        <v>3</v>
      </c>
      <c r="G124" s="26" t="s">
        <v>3</v>
      </c>
      <c r="H124" s="26" t="s">
        <v>3</v>
      </c>
      <c r="I124" s="27" t="s">
        <v>7</v>
      </c>
      <c r="J124" s="28" t="s">
        <v>11</v>
      </c>
      <c r="K124" s="26" t="s">
        <v>3</v>
      </c>
      <c r="L124" s="26" t="s">
        <v>3</v>
      </c>
      <c r="M124" s="26" t="s">
        <v>3</v>
      </c>
      <c r="N124" s="26" t="s">
        <v>3</v>
      </c>
      <c r="O124" s="26" t="s">
        <v>3</v>
      </c>
      <c r="P124" s="27" t="s">
        <v>7</v>
      </c>
      <c r="Q124" s="28" t="s">
        <v>11</v>
      </c>
      <c r="R124" s="26" t="s">
        <v>3</v>
      </c>
      <c r="S124" s="26" t="s">
        <v>3</v>
      </c>
      <c r="T124" s="26" t="s">
        <v>3</v>
      </c>
      <c r="U124" s="26" t="s">
        <v>3</v>
      </c>
      <c r="V124" s="26" t="s">
        <v>3</v>
      </c>
      <c r="W124" s="27" t="s">
        <v>7</v>
      </c>
      <c r="X124" s="24" t="s">
        <v>9</v>
      </c>
      <c r="Y124" s="22" t="s">
        <v>5</v>
      </c>
      <c r="Z124" s="26" t="s">
        <v>3</v>
      </c>
      <c r="AA124" s="26" t="s">
        <v>3</v>
      </c>
      <c r="AB124" s="26" t="s">
        <v>3</v>
      </c>
      <c r="AC124" s="26" t="s">
        <v>3</v>
      </c>
      <c r="AD124" s="27" t="s">
        <v>7</v>
      </c>
      <c r="AE124" s="28" t="s">
        <v>11</v>
      </c>
      <c r="AF124" s="26" t="s">
        <v>3</v>
      </c>
      <c r="AG124" s="26" t="s">
        <v>3</v>
      </c>
      <c r="AH124" s="26" t="s">
        <v>3</v>
      </c>
      <c r="AI124" s="8">
        <f t="shared" si="40"/>
        <v>22</v>
      </c>
      <c r="AJ124" s="8">
        <f t="shared" si="41"/>
        <v>1</v>
      </c>
      <c r="AK124" s="29">
        <f t="shared" si="42"/>
        <v>3</v>
      </c>
      <c r="AL124" s="62">
        <v>4</v>
      </c>
      <c r="AM124" s="33">
        <f t="shared" si="43"/>
        <v>27</v>
      </c>
      <c r="AN124" s="63">
        <f t="shared" si="44"/>
        <v>184</v>
      </c>
      <c r="AO124" s="63">
        <f t="shared" si="45"/>
        <v>0</v>
      </c>
      <c r="AP124" s="63">
        <f t="shared" si="46"/>
        <v>0</v>
      </c>
      <c r="AQ124" s="53">
        <f t="shared" si="47"/>
        <v>27</v>
      </c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</row>
    <row r="125" spans="1:56" ht="22" customHeight="1" x14ac:dyDescent="0.35">
      <c r="A125" s="8" t="s">
        <v>265</v>
      </c>
      <c r="B125" s="8" t="s">
        <v>266</v>
      </c>
      <c r="C125" s="8" t="s">
        <v>254</v>
      </c>
      <c r="D125" s="26" t="s">
        <v>3</v>
      </c>
      <c r="E125" s="26" t="s">
        <v>3</v>
      </c>
      <c r="F125" s="26" t="s">
        <v>3</v>
      </c>
      <c r="G125" s="26" t="s">
        <v>3</v>
      </c>
      <c r="H125" s="26" t="s">
        <v>3</v>
      </c>
      <c r="I125" s="23" t="s">
        <v>7</v>
      </c>
      <c r="J125" s="28" t="s">
        <v>11</v>
      </c>
      <c r="K125" s="26" t="s">
        <v>3</v>
      </c>
      <c r="L125" s="26" t="s">
        <v>3</v>
      </c>
      <c r="M125" s="26" t="s">
        <v>3</v>
      </c>
      <c r="N125" s="26" t="s">
        <v>3</v>
      </c>
      <c r="O125" s="26" t="s">
        <v>3</v>
      </c>
      <c r="P125" s="27" t="s">
        <v>7</v>
      </c>
      <c r="Q125" s="28" t="s">
        <v>11</v>
      </c>
      <c r="R125" s="26" t="s">
        <v>3</v>
      </c>
      <c r="S125" s="26" t="s">
        <v>3</v>
      </c>
      <c r="T125" s="26" t="s">
        <v>3</v>
      </c>
      <c r="U125" s="26" t="s">
        <v>3</v>
      </c>
      <c r="V125" s="26" t="s">
        <v>3</v>
      </c>
      <c r="W125" s="27" t="s">
        <v>7</v>
      </c>
      <c r="X125" s="28" t="s">
        <v>11</v>
      </c>
      <c r="Y125" s="26" t="s">
        <v>3</v>
      </c>
      <c r="Z125" s="26" t="s">
        <v>3</v>
      </c>
      <c r="AA125" s="26" t="s">
        <v>3</v>
      </c>
      <c r="AB125" s="26" t="s">
        <v>3</v>
      </c>
      <c r="AC125" s="26" t="s">
        <v>3</v>
      </c>
      <c r="AD125" s="27" t="s">
        <v>7</v>
      </c>
      <c r="AE125" s="24" t="s">
        <v>9</v>
      </c>
      <c r="AF125" s="26" t="s">
        <v>3</v>
      </c>
      <c r="AG125" s="26" t="s">
        <v>3</v>
      </c>
      <c r="AH125" s="26" t="s">
        <v>3</v>
      </c>
      <c r="AI125" s="8">
        <f t="shared" si="40"/>
        <v>23</v>
      </c>
      <c r="AJ125" s="8">
        <f t="shared" si="41"/>
        <v>0</v>
      </c>
      <c r="AK125" s="29">
        <f t="shared" si="42"/>
        <v>3</v>
      </c>
      <c r="AL125" s="62">
        <v>3</v>
      </c>
      <c r="AM125" s="33">
        <f t="shared" si="43"/>
        <v>27.5</v>
      </c>
      <c r="AN125" s="63">
        <f t="shared" si="44"/>
        <v>184</v>
      </c>
      <c r="AO125" s="63">
        <f t="shared" si="45"/>
        <v>1</v>
      </c>
      <c r="AP125" s="63">
        <f t="shared" si="46"/>
        <v>4</v>
      </c>
      <c r="AQ125" s="53">
        <f t="shared" si="47"/>
        <v>27</v>
      </c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</row>
    <row r="126" spans="1:56" ht="22" customHeight="1" x14ac:dyDescent="0.35">
      <c r="A126" s="8" t="s">
        <v>267</v>
      </c>
      <c r="B126" s="8" t="s">
        <v>268</v>
      </c>
      <c r="C126" s="8" t="s">
        <v>254</v>
      </c>
      <c r="D126" s="26" t="s">
        <v>3</v>
      </c>
      <c r="E126" s="26" t="s">
        <v>3</v>
      </c>
      <c r="F126" s="26" t="s">
        <v>3</v>
      </c>
      <c r="G126" s="26" t="s">
        <v>3</v>
      </c>
      <c r="H126" s="26" t="s">
        <v>3</v>
      </c>
      <c r="I126" s="27" t="s">
        <v>7</v>
      </c>
      <c r="J126" s="28" t="s">
        <v>11</v>
      </c>
      <c r="K126" s="22" t="s">
        <v>5</v>
      </c>
      <c r="L126" s="26" t="s">
        <v>3</v>
      </c>
      <c r="M126" s="26" t="s">
        <v>3</v>
      </c>
      <c r="N126" s="26" t="s">
        <v>3</v>
      </c>
      <c r="O126" s="22" t="s">
        <v>5</v>
      </c>
      <c r="P126" s="23" t="s">
        <v>7</v>
      </c>
      <c r="Q126" s="28" t="s">
        <v>11</v>
      </c>
      <c r="R126" s="26" t="s">
        <v>3</v>
      </c>
      <c r="S126" s="26" t="s">
        <v>3</v>
      </c>
      <c r="T126" s="22" t="s">
        <v>5</v>
      </c>
      <c r="U126" s="26" t="s">
        <v>3</v>
      </c>
      <c r="V126" s="26" t="s">
        <v>3</v>
      </c>
      <c r="W126" s="27" t="s">
        <v>7</v>
      </c>
      <c r="X126" s="28" t="s">
        <v>11</v>
      </c>
      <c r="Y126" s="22" t="s">
        <v>5</v>
      </c>
      <c r="Z126" s="26" t="s">
        <v>3</v>
      </c>
      <c r="AA126" s="26" t="s">
        <v>3</v>
      </c>
      <c r="AB126" s="22" t="s">
        <v>5</v>
      </c>
      <c r="AC126" s="22" t="s">
        <v>5</v>
      </c>
      <c r="AD126" s="23" t="s">
        <v>7</v>
      </c>
      <c r="AE126" s="24" t="s">
        <v>9</v>
      </c>
      <c r="AF126" s="22" t="s">
        <v>5</v>
      </c>
      <c r="AG126" s="22" t="s">
        <v>5</v>
      </c>
      <c r="AH126" s="26" t="s">
        <v>3</v>
      </c>
      <c r="AI126" s="8">
        <f t="shared" si="40"/>
        <v>15</v>
      </c>
      <c r="AJ126" s="8">
        <f t="shared" si="41"/>
        <v>8</v>
      </c>
      <c r="AK126" s="29">
        <f t="shared" si="42"/>
        <v>3</v>
      </c>
      <c r="AL126" s="62">
        <v>2</v>
      </c>
      <c r="AM126" s="33">
        <f t="shared" si="43"/>
        <v>19</v>
      </c>
      <c r="AN126" s="63">
        <f t="shared" si="44"/>
        <v>184</v>
      </c>
      <c r="AO126" s="63">
        <f t="shared" si="45"/>
        <v>0</v>
      </c>
      <c r="AP126" s="63">
        <f t="shared" si="46"/>
        <v>0</v>
      </c>
      <c r="AQ126" s="53">
        <f t="shared" si="47"/>
        <v>19</v>
      </c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</row>
    <row r="127" spans="1:56" ht="22" customHeight="1" x14ac:dyDescent="0.35">
      <c r="A127" s="8" t="s">
        <v>269</v>
      </c>
      <c r="B127" s="8" t="s">
        <v>270</v>
      </c>
      <c r="C127" s="8" t="s">
        <v>254</v>
      </c>
      <c r="D127" s="22" t="s">
        <v>5</v>
      </c>
      <c r="E127" s="22" t="s">
        <v>5</v>
      </c>
      <c r="F127" s="22" t="s">
        <v>5</v>
      </c>
      <c r="G127" s="22" t="s">
        <v>5</v>
      </c>
      <c r="H127" s="22" t="s">
        <v>5</v>
      </c>
      <c r="I127" s="23" t="s">
        <v>7</v>
      </c>
      <c r="J127" s="24" t="s">
        <v>9</v>
      </c>
      <c r="K127" s="22" t="s">
        <v>5</v>
      </c>
      <c r="L127" s="26" t="s">
        <v>3</v>
      </c>
      <c r="M127" s="22" t="s">
        <v>5</v>
      </c>
      <c r="N127" s="22" t="s">
        <v>5</v>
      </c>
      <c r="O127" s="22" t="s">
        <v>5</v>
      </c>
      <c r="P127" s="23" t="s">
        <v>7</v>
      </c>
      <c r="Q127" s="24" t="s">
        <v>9</v>
      </c>
      <c r="R127" s="22" t="s">
        <v>5</v>
      </c>
      <c r="S127" s="26" t="s">
        <v>3</v>
      </c>
      <c r="T127" s="22" t="s">
        <v>5</v>
      </c>
      <c r="U127" s="22" t="s">
        <v>5</v>
      </c>
      <c r="V127" s="22" t="s">
        <v>5</v>
      </c>
      <c r="W127" s="23" t="s">
        <v>7</v>
      </c>
      <c r="X127" s="24" t="s">
        <v>9</v>
      </c>
      <c r="Y127" s="22" t="s">
        <v>5</v>
      </c>
      <c r="Z127" s="22" t="s">
        <v>5</v>
      </c>
      <c r="AA127" s="22" t="s">
        <v>5</v>
      </c>
      <c r="AB127" s="22" t="s">
        <v>5</v>
      </c>
      <c r="AC127" s="22" t="s">
        <v>5</v>
      </c>
      <c r="AD127" s="23" t="s">
        <v>7</v>
      </c>
      <c r="AE127" s="24" t="s">
        <v>9</v>
      </c>
      <c r="AF127" s="22" t="s">
        <v>5</v>
      </c>
      <c r="AG127" s="22" t="s">
        <v>5</v>
      </c>
      <c r="AH127" s="22" t="s">
        <v>5</v>
      </c>
      <c r="AI127" s="8">
        <f t="shared" si="40"/>
        <v>2</v>
      </c>
      <c r="AJ127" s="25">
        <f t="shared" si="41"/>
        <v>21</v>
      </c>
      <c r="AK127" s="8">
        <f t="shared" si="42"/>
        <v>0</v>
      </c>
      <c r="AL127" s="62">
        <v>0</v>
      </c>
      <c r="AM127" s="33">
        <f t="shared" si="43"/>
        <v>2</v>
      </c>
      <c r="AN127" s="63">
        <f t="shared" si="44"/>
        <v>184</v>
      </c>
      <c r="AO127" s="63">
        <f t="shared" si="45"/>
        <v>0</v>
      </c>
      <c r="AP127" s="63">
        <f t="shared" si="46"/>
        <v>0</v>
      </c>
      <c r="AQ127" s="53">
        <f t="shared" si="47"/>
        <v>2</v>
      </c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</row>
    <row r="128" spans="1:56" ht="22" customHeight="1" x14ac:dyDescent="0.35">
      <c r="A128" s="8" t="s">
        <v>271</v>
      </c>
      <c r="B128" s="8" t="s">
        <v>272</v>
      </c>
      <c r="C128" s="8" t="s">
        <v>254</v>
      </c>
      <c r="D128" s="22" t="s">
        <v>5</v>
      </c>
      <c r="E128" s="22" t="s">
        <v>5</v>
      </c>
      <c r="F128" s="22" t="s">
        <v>5</v>
      </c>
      <c r="G128" s="22" t="s">
        <v>5</v>
      </c>
      <c r="H128" s="22" t="s">
        <v>5</v>
      </c>
      <c r="I128" s="23" t="s">
        <v>7</v>
      </c>
      <c r="J128" s="24" t="s">
        <v>9</v>
      </c>
      <c r="K128" s="22" t="s">
        <v>5</v>
      </c>
      <c r="L128" s="26" t="s">
        <v>3</v>
      </c>
      <c r="M128" s="26" t="s">
        <v>3</v>
      </c>
      <c r="N128" s="22" t="s">
        <v>5</v>
      </c>
      <c r="O128" s="22" t="s">
        <v>5</v>
      </c>
      <c r="P128" s="23" t="s">
        <v>7</v>
      </c>
      <c r="Q128" s="24" t="s">
        <v>9</v>
      </c>
      <c r="R128" s="22" t="s">
        <v>5</v>
      </c>
      <c r="S128" s="22" t="s">
        <v>5</v>
      </c>
      <c r="T128" s="22" t="s">
        <v>5</v>
      </c>
      <c r="U128" s="22" t="s">
        <v>5</v>
      </c>
      <c r="V128" s="22" t="s">
        <v>5</v>
      </c>
      <c r="W128" s="23" t="s">
        <v>7</v>
      </c>
      <c r="X128" s="24" t="s">
        <v>9</v>
      </c>
      <c r="Y128" s="22" t="s">
        <v>5</v>
      </c>
      <c r="Z128" s="22" t="s">
        <v>5</v>
      </c>
      <c r="AA128" s="22" t="s">
        <v>5</v>
      </c>
      <c r="AB128" s="22" t="s">
        <v>5</v>
      </c>
      <c r="AC128" s="22" t="s">
        <v>5</v>
      </c>
      <c r="AD128" s="23" t="s">
        <v>7</v>
      </c>
      <c r="AE128" s="24" t="s">
        <v>9</v>
      </c>
      <c r="AF128" s="22" t="s">
        <v>5</v>
      </c>
      <c r="AG128" s="22" t="s">
        <v>5</v>
      </c>
      <c r="AH128" s="22" t="s">
        <v>5</v>
      </c>
      <c r="AI128" s="8">
        <f t="shared" si="40"/>
        <v>2</v>
      </c>
      <c r="AJ128" s="25">
        <f t="shared" si="41"/>
        <v>21</v>
      </c>
      <c r="AK128" s="8">
        <f t="shared" si="42"/>
        <v>0</v>
      </c>
      <c r="AL128" s="62">
        <v>0</v>
      </c>
      <c r="AM128" s="33">
        <f t="shared" si="43"/>
        <v>2</v>
      </c>
      <c r="AN128" s="63">
        <f t="shared" si="44"/>
        <v>184</v>
      </c>
      <c r="AO128" s="63">
        <f t="shared" si="45"/>
        <v>0</v>
      </c>
      <c r="AP128" s="63">
        <f t="shared" si="46"/>
        <v>0</v>
      </c>
      <c r="AQ128" s="53">
        <f t="shared" si="47"/>
        <v>2</v>
      </c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</row>
    <row r="129" spans="1:56" ht="22" customHeight="1" x14ac:dyDescent="0.35">
      <c r="A129" s="8" t="s">
        <v>273</v>
      </c>
      <c r="B129" s="8" t="s">
        <v>274</v>
      </c>
      <c r="C129" s="8" t="s">
        <v>254</v>
      </c>
      <c r="D129" s="26" t="s">
        <v>3</v>
      </c>
      <c r="E129" s="26" t="s">
        <v>3</v>
      </c>
      <c r="F129" s="26" t="s">
        <v>3</v>
      </c>
      <c r="G129" s="26" t="s">
        <v>3</v>
      </c>
      <c r="H129" s="26" t="s">
        <v>3</v>
      </c>
      <c r="I129" s="27" t="s">
        <v>7</v>
      </c>
      <c r="J129" s="28" t="s">
        <v>11</v>
      </c>
      <c r="K129" s="26" t="s">
        <v>3</v>
      </c>
      <c r="L129" s="22" t="s">
        <v>5</v>
      </c>
      <c r="M129" s="22" t="s">
        <v>5</v>
      </c>
      <c r="N129" s="22" t="s">
        <v>5</v>
      </c>
      <c r="O129" s="22" t="s">
        <v>5</v>
      </c>
      <c r="P129" s="23" t="s">
        <v>7</v>
      </c>
      <c r="Q129" s="28" t="s">
        <v>11</v>
      </c>
      <c r="R129" s="26" t="s">
        <v>3</v>
      </c>
      <c r="S129" s="26" t="s">
        <v>3</v>
      </c>
      <c r="T129" s="22" t="s">
        <v>5</v>
      </c>
      <c r="U129" s="22" t="s">
        <v>5</v>
      </c>
      <c r="V129" s="26" t="s">
        <v>3</v>
      </c>
      <c r="W129" s="27" t="s">
        <v>7</v>
      </c>
      <c r="X129" s="28" t="s">
        <v>11</v>
      </c>
      <c r="Y129" s="26" t="s">
        <v>3</v>
      </c>
      <c r="Z129" s="22" t="s">
        <v>5</v>
      </c>
      <c r="AA129" s="26" t="s">
        <v>3</v>
      </c>
      <c r="AB129" s="26" t="s">
        <v>3</v>
      </c>
      <c r="AC129" s="26" t="s">
        <v>3</v>
      </c>
      <c r="AD129" s="23" t="s">
        <v>7</v>
      </c>
      <c r="AE129" s="28" t="s">
        <v>11</v>
      </c>
      <c r="AF129" s="26" t="s">
        <v>3</v>
      </c>
      <c r="AG129" s="26" t="s">
        <v>3</v>
      </c>
      <c r="AH129" s="22" t="s">
        <v>5</v>
      </c>
      <c r="AI129" s="8">
        <f t="shared" si="40"/>
        <v>15</v>
      </c>
      <c r="AJ129" s="8">
        <f t="shared" si="41"/>
        <v>8</v>
      </c>
      <c r="AK129" s="29">
        <f t="shared" si="42"/>
        <v>4</v>
      </c>
      <c r="AL129" s="62">
        <v>2</v>
      </c>
      <c r="AM129" s="33">
        <f t="shared" si="43"/>
        <v>20</v>
      </c>
      <c r="AN129" s="63">
        <f t="shared" si="44"/>
        <v>184</v>
      </c>
      <c r="AO129" s="63">
        <f t="shared" si="45"/>
        <v>1</v>
      </c>
      <c r="AP129" s="63">
        <f t="shared" si="46"/>
        <v>4</v>
      </c>
      <c r="AQ129" s="53">
        <f t="shared" si="47"/>
        <v>19.5</v>
      </c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</row>
  </sheetData>
  <mergeCells count="11">
    <mergeCell ref="A118:AK118"/>
    <mergeCell ref="A37:AK37"/>
    <mergeCell ref="A1:AK1"/>
    <mergeCell ref="A91:AK91"/>
    <mergeCell ref="A4:AK4"/>
    <mergeCell ref="A97:AK97"/>
    <mergeCell ref="A21:AK21"/>
    <mergeCell ref="A113:AK113"/>
    <mergeCell ref="A2:AK2"/>
    <mergeCell ref="A76:AK76"/>
    <mergeCell ref="A84:AK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Quick Calculator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Dusabamahoro</cp:lastModifiedBy>
  <dcterms:created xsi:type="dcterms:W3CDTF">2026-02-10T13:48:23Z</dcterms:created>
  <dcterms:modified xsi:type="dcterms:W3CDTF">2026-02-22T15:46:29Z</dcterms:modified>
</cp:coreProperties>
</file>